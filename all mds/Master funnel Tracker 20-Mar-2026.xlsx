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erp final\Erp_code\"/>
    </mc:Choice>
  </mc:AlternateContent>
  <xr:revisionPtr revIDLastSave="0" documentId="8_{DC5FBAE6-8CC6-437B-B428-705D0216167D}" xr6:coauthVersionLast="47" xr6:coauthVersionMax="47" xr10:uidLastSave="{00000000-0000-0000-0000-000000000000}"/>
  <bookViews>
    <workbookView xWindow="-110" yWindow="-110" windowWidth="19420" windowHeight="11500" tabRatio="849" activeTab="4" xr2:uid="{00000000-000D-0000-FFFF-FFFF00000000}"/>
  </bookViews>
  <sheets>
    <sheet name="Master Sheet_2" sheetId="17" r:id="rId1"/>
    <sheet name="Reference ID" sheetId="2" r:id="rId2"/>
    <sheet name="Opened" sheetId="4" r:id="rId3"/>
    <sheet name="Cancelled" sheetId="6" r:id="rId4"/>
    <sheet name="No-Go" sheetId="14" r:id="rId5"/>
    <sheet name="Sheet2" sheetId="18" r:id="rId6"/>
    <sheet name="Completed Project" sheetId="7" r:id="rId7"/>
    <sheet name="Master Sheet" sheetId="1" r:id="rId8"/>
    <sheet name="Bidded" sheetId="8" r:id="rId9"/>
    <sheet name="Pre-Bid Query  Tracker " sheetId="9" r:id="rId10"/>
    <sheet name="UD" sheetId="10" r:id="rId11"/>
    <sheet name="Not Favourable" sheetId="11" r:id="rId12"/>
    <sheet name="No Go ( Cancelled )" sheetId="12" r:id="rId13"/>
    <sheet name="Old Tender ID" sheetId="3" r:id="rId14"/>
    <sheet name="Blue Funnel" sheetId="5" r:id="rId15"/>
    <sheet name="To_be_Opened" sheetId="13" r:id="rId16"/>
  </sheets>
  <definedNames>
    <definedName name="_xlnm.Print_Area" localSheetId="7">'Master Sheet'!$A$5:$O$35</definedName>
    <definedName name="_xlnm.Print_Area" localSheetId="0">'Master Sheet_2'!$A$1:$P$34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6" i="17" l="1"/>
  <c r="J16" i="17"/>
  <c r="D16" i="17"/>
  <c r="J20" i="17"/>
  <c r="D20" i="17"/>
  <c r="L7" i="4" l="1"/>
  <c r="L17" i="14"/>
  <c r="L19" i="14"/>
  <c r="L8" i="4"/>
  <c r="L11" i="4"/>
  <c r="L34" i="17"/>
  <c r="J34" i="17"/>
  <c r="D34" i="17"/>
  <c r="L29" i="14"/>
  <c r="L37" i="14"/>
  <c r="L18" i="17" l="1"/>
  <c r="L20" i="17" s="1"/>
  <c r="U51" i="14" l="1"/>
  <c r="P69" i="13"/>
  <c r="P67" i="13"/>
  <c r="P64" i="13"/>
  <c r="P48" i="12"/>
  <c r="P47" i="12"/>
  <c r="P46" i="12"/>
  <c r="P45" i="12"/>
  <c r="P44" i="12"/>
  <c r="P17" i="12"/>
  <c r="M12" i="10"/>
  <c r="M11" i="10"/>
  <c r="M10" i="10"/>
  <c r="M8" i="10"/>
  <c r="P7" i="10"/>
  <c r="N7" i="10"/>
  <c r="B7" i="10"/>
  <c r="XFD18" i="9"/>
  <c r="O28" i="8"/>
  <c r="O25" i="8"/>
  <c r="O24" i="8"/>
  <c r="O21" i="8"/>
  <c r="O15" i="8"/>
  <c r="M28" i="7"/>
  <c r="XFD12" i="7"/>
  <c r="L23" i="6"/>
  <c r="M36" i="5"/>
  <c r="M18" i="5"/>
  <c r="K18" i="5"/>
  <c r="C18" i="5"/>
  <c r="L132" i="4"/>
  <c r="L102" i="4"/>
  <c r="L35" i="1"/>
  <c r="J35" i="1"/>
  <c r="D35" i="1"/>
</calcChain>
</file>

<file path=xl/sharedStrings.xml><?xml version="1.0" encoding="utf-8"?>
<sst xmlns="http://schemas.openxmlformats.org/spreadsheetml/2006/main" count="12965" uniqueCount="6163">
  <si>
    <t xml:space="preserve">Funnel Tracker </t>
  </si>
  <si>
    <t>Sr. No.</t>
  </si>
  <si>
    <t>Handled By</t>
  </si>
  <si>
    <t>Bid By</t>
  </si>
  <si>
    <t xml:space="preserve">Est value in Crores </t>
  </si>
  <si>
    <t>Tender Name</t>
  </si>
  <si>
    <t xml:space="preserve">Pre-Bid
Queries Sub </t>
  </si>
  <si>
    <t>Pre- Bid
 Meeting</t>
  </si>
  <si>
    <t>Due Dt and Time</t>
  </si>
  <si>
    <t>Bid Opening Dt and Time</t>
  </si>
  <si>
    <t>EMD Amount</t>
  </si>
  <si>
    <t>PBG%</t>
  </si>
  <si>
    <t>PBG Amt</t>
  </si>
  <si>
    <t>Payment Instruments</t>
  </si>
  <si>
    <t>Latest Corrigendum Date &amp; Description</t>
  </si>
  <si>
    <t>Remark</t>
  </si>
  <si>
    <t>Consultant Contact Detals</t>
  </si>
  <si>
    <t>Customer Nmae / Contact no:-</t>
  </si>
  <si>
    <t>PRE BID Meeting Details</t>
  </si>
  <si>
    <t>Nisha Mam</t>
  </si>
  <si>
    <t>T</t>
  </si>
  <si>
    <t>Bhopal PHQ Body Worn Camera (V2) (Q2) (1000 pieces)</t>
  </si>
  <si>
    <t>Before Pre-Bid</t>
  </si>
  <si>
    <t>29-01-26 12:00 PM</t>
  </si>
  <si>
    <t>07-02-26 09:00 PM</t>
  </si>
  <si>
    <t>07-02-26 09:30 PM</t>
  </si>
  <si>
    <t>Not Found</t>
  </si>
  <si>
    <t>Corr._Response-02-Feb</t>
  </si>
  <si>
    <t xml:space="preserve">Qualified TISPL,  SISPL </t>
  </si>
  <si>
    <t>S</t>
  </si>
  <si>
    <t>Bhopal SB PHQ CCTV(New+Old PHQ)</t>
  </si>
  <si>
    <t>23-12-25 5:00 PM</t>
  </si>
  <si>
    <t xml:space="preserve">24-12-25 12:00 PM </t>
  </si>
  <si>
    <t>09-02-26 04:00 PM</t>
  </si>
  <si>
    <t>Online</t>
  </si>
  <si>
    <t>PQ-Qualified by TISPL, SISPL</t>
  </si>
  <si>
    <t>No CONSULTANT</t>
  </si>
  <si>
    <t>Narendra Ghalot :- 9713417632,E-mail: aigg-sb@mppolice.gov.in</t>
  </si>
  <si>
    <t>Bhopal SB PHQ CCTV (Raj Bhawan)</t>
  </si>
  <si>
    <t>Bhopal RHQ external Video Wall System</t>
  </si>
  <si>
    <t>11-02-26  03:00 PM</t>
  </si>
  <si>
    <t>Qualified by T &amp; S</t>
  </si>
  <si>
    <t>Indore AAI CCTV 2nd Call GEM</t>
  </si>
  <si>
    <t>NA</t>
  </si>
  <si>
    <t>Online/ BG</t>
  </si>
  <si>
    <t>Bhopal</t>
  </si>
  <si>
    <t>Mumbai Police CCTV Katol Safe City GEM</t>
  </si>
  <si>
    <t>27-01-26 05:30 PM</t>
  </si>
  <si>
    <t>28-01-26 11:00 PM</t>
  </si>
  <si>
    <t>NO Corrigendum</t>
  </si>
  <si>
    <t>New Delhi MNRE Video Wall GEM</t>
  </si>
  <si>
    <t xml:space="preserve">Bhopal </t>
  </si>
  <si>
    <t>Ahmedabad_SCADL_E-Challan</t>
  </si>
  <si>
    <t>04-12-25 12:00 PM</t>
  </si>
  <si>
    <t>BG/DD</t>
  </si>
  <si>
    <t>Not Qualified 
*Challenge in TO &amp; Experience Criteria.</t>
  </si>
  <si>
    <t xml:space="preserve">Not Shared </t>
  </si>
  <si>
    <t xml:space="preserve">Not attended </t>
  </si>
  <si>
    <t>Bhubaneswar BSCL Traffic Signal Pelican Signal and Blinker</t>
  </si>
  <si>
    <t>12-01-26 5:00 PM</t>
  </si>
  <si>
    <t>13-01-26 3:00 PM</t>
  </si>
  <si>
    <t>DD/BG</t>
  </si>
  <si>
    <t xml:space="preserve">Not Qualified </t>
  </si>
  <si>
    <t>Delhi</t>
  </si>
  <si>
    <t xml:space="preserve">Rajasthan Police CCTV Camera </t>
  </si>
  <si>
    <t>02-02-26 06:00 PM</t>
  </si>
  <si>
    <t>03-02-26 04:00 PM</t>
  </si>
  <si>
    <t>DD/BG/BC/FDR</t>
  </si>
  <si>
    <t>~</t>
  </si>
  <si>
    <t>05-02-26 03:00 PM</t>
  </si>
  <si>
    <t>06-02-26 11:30 AM</t>
  </si>
  <si>
    <t>20-02-26 11:00 AM</t>
  </si>
  <si>
    <t>Online / BG</t>
  </si>
  <si>
    <t>Not Qualified PQ - 05 Turnover</t>
  </si>
  <si>
    <t>UP Lucknow Gramin Bank VC (Q2) RA GEM</t>
  </si>
  <si>
    <t>Before Pre -Bid</t>
  </si>
  <si>
    <t>06-02-26 11:00 AM</t>
  </si>
  <si>
    <t>20-02-26 03:00 PM</t>
  </si>
  <si>
    <t>20-02-26 03:30 PM</t>
  </si>
  <si>
    <t>Not Qualified  PQ C1- N2D</t>
  </si>
  <si>
    <t>Haryana HARTRON State Data Centre Haryana</t>
  </si>
  <si>
    <t xml:space="preserve"> 01-8-25</t>
  </si>
  <si>
    <t xml:space="preserve"> 04-08-25 02:30 PM</t>
  </si>
  <si>
    <t>BG</t>
  </si>
  <si>
    <t>PQ- N2D PQ-06 &amp; 07
Payment - Ok</t>
  </si>
  <si>
    <t>Punjab_Sultanpur Lodhi Smart City</t>
  </si>
  <si>
    <t>05-02-26 05:00 PM</t>
  </si>
  <si>
    <t>05-02-26 11:00 AM</t>
  </si>
  <si>
    <t>24-02-26 11:00 AM</t>
  </si>
  <si>
    <t>Qualified TISPL</t>
  </si>
  <si>
    <t>Balaghat BNP Traffic signal equipments</t>
  </si>
  <si>
    <t>25-02-26 05:30 PM</t>
  </si>
  <si>
    <t>27-02-26 11:00 AM</t>
  </si>
  <si>
    <t xml:space="preserve">Puri OCAC City Surveillance </t>
  </si>
  <si>
    <t>06-02-26 04:00 PM</t>
  </si>
  <si>
    <t>09-02-26 12:00 PM</t>
  </si>
  <si>
    <t>27-02-26 03:00 PM</t>
  </si>
  <si>
    <t>27-02-26 04:30 PM</t>
  </si>
  <si>
    <t>Qualified by TISPL</t>
  </si>
  <si>
    <t>Bhopal MPRDC Accident Response System and Traffic Management Centre</t>
  </si>
  <si>
    <t xml:space="preserve"> 04-02-26 03:30 PM</t>
  </si>
  <si>
    <t>04-02-26 03:30 PM</t>
  </si>
  <si>
    <t>05-03-26 03:30 PM</t>
  </si>
  <si>
    <t>06-03-26 03:30 PM</t>
  </si>
  <si>
    <t>Total</t>
  </si>
  <si>
    <t>LOCK CASE</t>
  </si>
  <si>
    <t>*Bhopal RHQ CCTV sur. system 49 PSOPs 3rd call</t>
  </si>
  <si>
    <t>12-02-26 03:00 PM</t>
  </si>
  <si>
    <t>13-02-26 03:10 AM</t>
  </si>
  <si>
    <t>Online/Offline</t>
  </si>
  <si>
    <t xml:space="preserve"> 13-02-26 5:00 PM</t>
  </si>
  <si>
    <t xml:space="preserve"> 13-02-26 5:30 PM</t>
  </si>
  <si>
    <t>Corr. _Changes-29,20-Jan
Corr. _Dt_Ext-29,20-Jan 
Corr._Response-27-Jan</t>
  </si>
  <si>
    <t>PQ - N2D - 11 (A)</t>
  </si>
  <si>
    <t>No Consultant</t>
  </si>
  <si>
    <t>Mr Swetank /Mr Shubham MM Department and ENT Department</t>
  </si>
  <si>
    <t xml:space="preserve">no Pre bid arranged </t>
  </si>
  <si>
    <t xml:space="preserve">Current 1140 Cameras of Royal Engineering and Sparsh is been used trying to connect all OEMs buit faied to meet up the Compliance </t>
  </si>
  <si>
    <t>Total -</t>
  </si>
  <si>
    <t>BLUE FUNNEL</t>
  </si>
  <si>
    <t>Bhopal MPRDC Hybrid ETC PACKAGE – A</t>
  </si>
  <si>
    <t>'09-01-26 03:30 PM</t>
  </si>
  <si>
    <t>11-02-26 03:30 PM</t>
  </si>
  <si>
    <t>12-02-26 03:30 PM</t>
  </si>
  <si>
    <t>Bhopal MPRDC Hybrid ETC PACKAGE – B</t>
  </si>
  <si>
    <t>Bhopal_DHE_Computer Lab 323 Govt College</t>
  </si>
  <si>
    <t>19-01-26 06:00 PM</t>
  </si>
  <si>
    <t>19-01-26 02:00 PM</t>
  </si>
  <si>
    <t>Online/ FD/BG</t>
  </si>
  <si>
    <t>Not Qualified, Challenge in 36.3</t>
  </si>
  <si>
    <t xml:space="preserve">E-mail: spdmpwb@gmail.com </t>
  </si>
  <si>
    <t>PNB Banking Sector Next Gen GEM</t>
  </si>
  <si>
    <t>15-11-25 12:00 PM</t>
  </si>
  <si>
    <t>Online/ Offline</t>
  </si>
  <si>
    <t>Not Qualified PQ-13 &amp; N2D 4&amp;5</t>
  </si>
  <si>
    <t>EOI Chandigarh Punjab Fire &amp; Emergency Services. ICCC</t>
  </si>
  <si>
    <t xml:space="preserve">13-10-25 11:00 AM </t>
  </si>
  <si>
    <t>Bhopal Transport Department ITMS</t>
  </si>
  <si>
    <t xml:space="preserve">13-11-25 11:30 AM </t>
  </si>
  <si>
    <t xml:space="preserve">Pre-Bid Query Tracker </t>
  </si>
  <si>
    <t>Status</t>
  </si>
  <si>
    <t xml:space="preserve">Pre-Bid 
Queries </t>
  </si>
  <si>
    <t>Pre- Bid
 Meeting Mode</t>
  </si>
  <si>
    <t>Days Remain
(Queries)</t>
  </si>
  <si>
    <t>Days Remain
(Meeting)</t>
  </si>
  <si>
    <t>Queries Ready</t>
  </si>
  <si>
    <t>PQ/TQ Queries Ready (Yes/No)</t>
  </si>
  <si>
    <t>Technical Queries Ready (Yes/No)</t>
  </si>
  <si>
    <t>Queries Send (Yes/No)</t>
  </si>
  <si>
    <t>UD</t>
  </si>
  <si>
    <t>Offline</t>
  </si>
  <si>
    <t>Yes</t>
  </si>
  <si>
    <t>Sl. No.</t>
  </si>
  <si>
    <t>Tender ID</t>
  </si>
  <si>
    <t>Website</t>
  </si>
  <si>
    <t>GEM/2026/B/7150139</t>
  </si>
  <si>
    <t>https://bidplus.gem.gov.in/</t>
  </si>
  <si>
    <t>07-02-26  09:00 PM</t>
  </si>
  <si>
    <t>2025_MPP_469514_1</t>
  </si>
  <si>
    <t>https://mptenders.gov.in/</t>
  </si>
  <si>
    <t>2025_MPP_469525_1</t>
  </si>
  <si>
    <t>2026_MPP_478668_1</t>
  </si>
  <si>
    <t>https://mptenders.gov.in/nicgep/app</t>
  </si>
  <si>
    <t>GEM/2026/B/7140697</t>
  </si>
  <si>
    <t>https://gem.gov.in/</t>
  </si>
  <si>
    <t>GEM/2026/B/7136080</t>
  </si>
  <si>
    <t>GEM/2026/B/7135150</t>
  </si>
  <si>
    <t>https://bidplus.gem.gov.in/all-bids</t>
  </si>
  <si>
    <t>https://tender.nprocure.com/</t>
  </si>
  <si>
    <t>2026_BSCL_124288_1</t>
  </si>
  <si>
    <t>https://tendersodisha.gov.in/nicgep/app</t>
  </si>
  <si>
    <t>2026_RJPOL_532663_1</t>
  </si>
  <si>
    <t>https://eproc.rajasthan.gov.in/nicgep/app</t>
  </si>
  <si>
    <t>https://eproc2.bihar.gov.in/</t>
  </si>
  <si>
    <t>GEM/2026/B/7158363</t>
  </si>
  <si>
    <t xml:space="preserve"> 20-02-26 3:00 PM</t>
  </si>
  <si>
    <t>2025_HBC_460163_1</t>
  </si>
  <si>
    <t>https://etenders.hry.nic.in/</t>
  </si>
  <si>
    <t>2026_DLG_158901_1</t>
  </si>
  <si>
    <t>https://eproc.punjab.gov.in</t>
  </si>
  <si>
    <t>2026_UAD_477712_1</t>
  </si>
  <si>
    <t>https://enivida.odisha.gov.in/</t>
  </si>
  <si>
    <t>2026_MPRDC_478671_1</t>
  </si>
  <si>
    <t>Bhopal RHQ CCTV sur. system 49 PSOPs 3rd call</t>
  </si>
  <si>
    <t>2026_MPP_479779_1</t>
  </si>
  <si>
    <t>GEM/2025/B/7048952</t>
  </si>
  <si>
    <t>13-02-26 05:00 PM</t>
  </si>
  <si>
    <t>2026_MPRDC_472934_1</t>
  </si>
  <si>
    <t>2026_MPRDC_472934_2</t>
  </si>
  <si>
    <t>2026_HED_475292_1</t>
  </si>
  <si>
    <t>GEM/2025/B/6862075</t>
  </si>
  <si>
    <t>2025_DLG_151336_1</t>
  </si>
  <si>
    <t>https://eproc.punjab.gov.in/</t>
  </si>
  <si>
    <t>MP Village Datla Pahad , Tahsil Rajnagar Distt- Chhatarpur</t>
  </si>
  <si>
    <t>2025_MPTB_468017_1</t>
  </si>
  <si>
    <t>GO</t>
  </si>
  <si>
    <t>12-03-26 04:00 PM</t>
  </si>
  <si>
    <t>MP Village Orchha Tahsil Orchha Distt Niwari Kh. No. 191/1</t>
  </si>
  <si>
    <t>2025_MPTB_468017_2</t>
  </si>
  <si>
    <t>12-03-26 04:01 PM</t>
  </si>
  <si>
    <t>MP Village Orchha Tahsil Orchha Distt Niwari Kh. No.404/6/1</t>
  </si>
  <si>
    <t>2025_MPTB_468017_3</t>
  </si>
  <si>
    <t>12-03-26 04:02 PM</t>
  </si>
  <si>
    <t>MP Village Chauka Tahsil Sagar Distt. Sagar</t>
  </si>
  <si>
    <t>2025_MPTB_468017_4</t>
  </si>
  <si>
    <t>12-03-26 04:03 PM</t>
  </si>
  <si>
    <t>MP Village Gurgunda Tahsil Shahpur Distt. Betul</t>
  </si>
  <si>
    <t>2025_MPTB_468017_5</t>
  </si>
  <si>
    <t>12-03-26 04:04 PM</t>
  </si>
  <si>
    <t>MP Village Palatwada Tahsil Chaurai Distt Chhindwara</t>
  </si>
  <si>
    <t>2025_MPTB_468017_6</t>
  </si>
  <si>
    <t>12-03-26 04:05 PM</t>
  </si>
  <si>
    <t>MP Village Bothiya Tahsil Bhaisadehi Distt Betul</t>
  </si>
  <si>
    <t>2025_MPTB_468017_7</t>
  </si>
  <si>
    <t>12-03-26 04:06 PM</t>
  </si>
  <si>
    <t>MP Village Bassi Tahsil Rampura Distt Nimach Plot No. 1</t>
  </si>
  <si>
    <t>2025_MPTB_468017_8</t>
  </si>
  <si>
    <t>12-03-26 04:07 PM</t>
  </si>
  <si>
    <t>MP Village Bassi Tahsil Rampura Distt Nimach Plot No. 2</t>
  </si>
  <si>
    <t>2025_MPTB_468017_9</t>
  </si>
  <si>
    <t>12-03-26 04:08 PM</t>
  </si>
  <si>
    <t>MP Village Bassi Tahsil Rampura Distt Nimach Plot No. 4</t>
  </si>
  <si>
    <t>2025_MPTB_468017_10</t>
  </si>
  <si>
    <t>12-03-26 04:09 PM</t>
  </si>
  <si>
    <t>MP Village Bassi Tahsil Rampura Distt Nimach Plot No. 3</t>
  </si>
  <si>
    <t>2025_MPTB_468017_11</t>
  </si>
  <si>
    <t>12-03-26 04:10 PM</t>
  </si>
  <si>
    <t>MP Village Dhodha Tahsil Jaysinghnagar Distt Shahdol</t>
  </si>
  <si>
    <t>2025_MPTB_468017_12</t>
  </si>
  <si>
    <t>12-03-26 04:11 PM</t>
  </si>
  <si>
    <t>MP Village Kanghatti Tahsil Malhargarh Distt Mandsaur</t>
  </si>
  <si>
    <t>2025_MPTB_468017_13</t>
  </si>
  <si>
    <t>12-03-26 04:12 PM</t>
  </si>
  <si>
    <t>MP Village Murlikhedi Tahsil Raisen Distt Raisen</t>
  </si>
  <si>
    <t>2025_MPTB_468017_14</t>
  </si>
  <si>
    <t>12-03-26 04:13 PM</t>
  </si>
  <si>
    <t>MP Village Mahalgaon Tahsil Alirajpur Distt Alirajpur</t>
  </si>
  <si>
    <t>2025_MPTB_468017_15</t>
  </si>
  <si>
    <t>12-03-26 04:14 PM</t>
  </si>
  <si>
    <t>MP Village Salaiya ganji Tahsil Jaiseenagar Dsitt Sagar</t>
  </si>
  <si>
    <t>2025_MPTB_468017_16</t>
  </si>
  <si>
    <t>12-03-26 04:15 PM</t>
  </si>
  <si>
    <t>MP Village Malasari Tapu Distt Mandsaur</t>
  </si>
  <si>
    <t>2025_MPTB_468017_17</t>
  </si>
  <si>
    <t>12-03-26 04:16 PM</t>
  </si>
  <si>
    <t>Village Amajhiriya Distt Panna</t>
  </si>
  <si>
    <t>2025_MPTB_468017_18</t>
  </si>
  <si>
    <t>12-03-26 04:17 PM</t>
  </si>
  <si>
    <t>MP Village Gandhi Sagar Distt Mandsaur</t>
  </si>
  <si>
    <t>2025_MPTB_468017_19</t>
  </si>
  <si>
    <t>12-03-26 04:18 PM</t>
  </si>
  <si>
    <t>MP Village Badera Tahsil Chanderi Distt. Ashoknagar</t>
  </si>
  <si>
    <t>2025_MPTB_468017_20</t>
  </si>
  <si>
    <t>12-03-26 04:19 PM</t>
  </si>
  <si>
    <t>MP Village Lawakhedi Distt Sehore Plot No. 5</t>
  </si>
  <si>
    <t>2025_MPTB_468017_21</t>
  </si>
  <si>
    <t>12-03-26 04:20 PM</t>
  </si>
  <si>
    <t>MP Village Lawakhedi Distt Sehore Plot No. 1</t>
  </si>
  <si>
    <t>2025_MPTB_468017_22</t>
  </si>
  <si>
    <t>12-03-26 04:21 PM</t>
  </si>
  <si>
    <t>MP Village Lawakhedi Distt Sehore Plot No. 2</t>
  </si>
  <si>
    <t>2025_MPTB_468017_23</t>
  </si>
  <si>
    <t>12-03-26 04:22 PM</t>
  </si>
  <si>
    <t>MP Village Lawakhedi Distt Sehore Plot No. 3</t>
  </si>
  <si>
    <t>2025_MPTB_468017_24</t>
  </si>
  <si>
    <t>12-03-26 04:23 PM</t>
  </si>
  <si>
    <t>MP Village Lawakhedi Distt Sehore Plot No. 4</t>
  </si>
  <si>
    <t>2025_MPTB_468017_25</t>
  </si>
  <si>
    <t>12-03-26 04:24 PM</t>
  </si>
  <si>
    <t>MP Village Brajrajkhedi Distt Ujjain</t>
  </si>
  <si>
    <t>2025_MPTB_468017_26</t>
  </si>
  <si>
    <t>12-03-26 04:25 PM</t>
  </si>
  <si>
    <t>2025_MPTB_468017_27</t>
  </si>
  <si>
    <t>12-03-26 04:26 PM</t>
  </si>
  <si>
    <t>MP Village chandankhedi Tah kukshi Dist Dhar</t>
  </si>
  <si>
    <t>2025_MPTB_468017_28</t>
  </si>
  <si>
    <t>12-03-26 04:27 PM</t>
  </si>
  <si>
    <t>2025_MPTB_468017_29</t>
  </si>
  <si>
    <t>12-03-26 04:28 PM</t>
  </si>
  <si>
    <t>MP Laxmipur palace Distt Panna</t>
  </si>
  <si>
    <t>2025_MPTB_468017_30</t>
  </si>
  <si>
    <t>Bhopal_BMC_LAN and CCTV</t>
  </si>
  <si>
    <t>2026_UAD_476807_1</t>
  </si>
  <si>
    <t>NO-GO</t>
  </si>
  <si>
    <t>19-02-26 05:30 PM</t>
  </si>
  <si>
    <t>SHIMLA DIT Disaster Recovery Services</t>
  </si>
  <si>
    <t>2026_DIT_124958_1</t>
  </si>
  <si>
    <t>https://hptenders.gov.in/nicgep/app</t>
  </si>
  <si>
    <t xml:space="preserve"> Jharkhand JMHIDPCL CCTV ICCC</t>
  </si>
  <si>
    <t>2025_JMHID_105660_1</t>
  </si>
  <si>
    <t>https://jharkhandtenders.gov.in/nicgep/app</t>
  </si>
  <si>
    <t>Maharashtra Gramin Bank CCTV 635 branches  RA GEM</t>
  </si>
  <si>
    <t>GEM/2026/B/7130007</t>
  </si>
  <si>
    <t>Punjab PPHC CCTV Thane</t>
  </si>
  <si>
    <t>2025_DHA_156480_1</t>
  </si>
  <si>
    <t>https://eproc.punjab.gov.in/nicgep/app</t>
  </si>
  <si>
    <t>09-02-26 11:00 AM</t>
  </si>
  <si>
    <t>Bhopal MPSEDC LAN Network</t>
  </si>
  <si>
    <t>2026_SEDC_476417_1</t>
  </si>
  <si>
    <t>09-02-26 03:00 AM</t>
  </si>
  <si>
    <t>Bhopal SCRB PHQ SDWAN RA GEM</t>
  </si>
  <si>
    <t>GEM/2025/B/6906206</t>
  </si>
  <si>
    <t>Technical Evaluation</t>
  </si>
  <si>
    <t>05-02-26 06:00 PM</t>
  </si>
  <si>
    <t>Bhopal DPI CCTV System (V2) (Q2) GEM</t>
  </si>
  <si>
    <t>GEM/2026/B/7108906</t>
  </si>
  <si>
    <t>Jammu &amp; Kashmir IA AI Based Image and Video Analytics</t>
  </si>
  <si>
    <t>GEM/2026/B/7111058</t>
  </si>
  <si>
    <t>Patna BSEDC COMPUTER, LAPTOP AND All in One</t>
  </si>
  <si>
    <t>Ujjain DHE  ICT Equipment</t>
  </si>
  <si>
    <t>2026_HED_475240_1</t>
  </si>
  <si>
    <t>Bhopal RHQ CCTV surveillance system 49 PSOPs 2nd call</t>
  </si>
  <si>
    <t>2026_MPP_478140_1</t>
  </si>
  <si>
    <t>Cancelled </t>
  </si>
  <si>
    <t>West Bengal WBCSSC Live CCTV and HHMD</t>
  </si>
  <si>
    <t>2026_DSE_984411_1</t>
  </si>
  <si>
    <t>https://www.wbtenders.gov.in/nicgep/app</t>
  </si>
  <si>
    <t>To_be_Opened</t>
  </si>
  <si>
    <t>Delhi_IHMCL_Centralized ITS Monitoring and Advanced Data Analytics Center</t>
  </si>
  <si>
    <t xml:space="preserve">IHMCL/IMAC/2025/01 </t>
  </si>
  <si>
    <t>https://ihmcl.co.in/tenders/</t>
  </si>
  <si>
    <t>19-02-2025  05:00 PM</t>
  </si>
  <si>
    <t>Hasimara IAF CCTV SURVEILLANCE SYSTEM RA GEM</t>
  </si>
  <si>
    <t>GEM/2025/B/6949475</t>
  </si>
  <si>
    <t>Not Evaluated</t>
  </si>
  <si>
    <t xml:space="preserve">Bhopal DHE CCTV Turnkey Basis 247 Govt College </t>
  </si>
  <si>
    <t>2025_HED_470249_1</t>
  </si>
  <si>
    <t>Jaipur MD RISL Video Conference &amp; WiFi (Rajasthan)</t>
  </si>
  <si>
    <t>2025_RISL_509067_1</t>
  </si>
  <si>
    <t>Technical Bid Opening</t>
  </si>
  <si>
    <t>Greater Noida DMIC IIT LSC ICT Components UP</t>
  </si>
  <si>
    <t xml:space="preserve">2025_DMICG_1026034_1 </t>
  </si>
  <si>
    <t>https://etender.up.nic.in/</t>
  </si>
  <si>
    <t>Nisha MAM</t>
  </si>
  <si>
    <t>Bhopal SCRB PHQ Multifunction Machine MFM (V2) (Q2) RA GEM</t>
  </si>
  <si>
    <t>GEM/2026/B/7068426</t>
  </si>
  <si>
    <t>Porbandar PMC CCTV</t>
  </si>
  <si>
    <t>Not Showing</t>
  </si>
  <si>
    <t>Rajasthan CUR CCTV and Control Room</t>
  </si>
  <si>
    <t>2026_CURAJ_894190_1</t>
  </si>
  <si>
    <t>https://eprocure.gov.in/eprocure/app</t>
  </si>
  <si>
    <t>Bhopal RHQ CCTV surveillance system 49 PSOPs</t>
  </si>
  <si>
    <t>2025_MPP_468423_1</t>
  </si>
  <si>
    <t xml:space="preserve">Cancelled 
</t>
  </si>
  <si>
    <t>Bhopal NATHU BARKHEDA DSYW_Video Score Board</t>
  </si>
  <si>
    <t>2025_DSYW_472091_1</t>
  </si>
  <si>
    <t>VISAKHAPATNAM GVMC ITMS</t>
  </si>
  <si>
    <t>https://tender.apeprocurement.gov.in/</t>
  </si>
  <si>
    <t>Not showing</t>
  </si>
  <si>
    <t>KOLKATA_IIM_CCTV-INTERACTIVE PANEL</t>
  </si>
  <si>
    <t>GEM/2026/B/7109496</t>
  </si>
  <si>
    <t>Bhopal_DLFA_Laptop, computers, Printer Cum Scanners</t>
  </si>
  <si>
    <t>2026_DLFAC_474607_1</t>
  </si>
  <si>
    <t>Patna Agriculture Department ICCC</t>
  </si>
  <si>
    <t>Chandigarh CRID LAN 2nd</t>
  </si>
  <si>
    <t>2025_HRY_478020_1</t>
  </si>
  <si>
    <t>Bidded</t>
  </si>
  <si>
    <t>Chennai Airports CCTV System RA GEM</t>
  </si>
  <si>
    <t>GEM/2025/B/7018762</t>
  </si>
  <si>
    <t>Bhopal Home dept. Body worn (V2) (Q2) Qty-100 GEM</t>
  </si>
  <si>
    <t>GEM/2025/B/6784682</t>
  </si>
  <si>
    <t>Cancelled By Department</t>
  </si>
  <si>
    <t>Chhattisgarh TD IT Projects GEM</t>
  </si>
  <si>
    <t>GEM/2025/B/6777914</t>
  </si>
  <si>
    <t>NOIDA BSNL (EOI) ICT Components for Noida Safe City Project UP</t>
  </si>
  <si>
    <t>2025_BSNL_877188_1</t>
  </si>
  <si>
    <t>Bhopal MP Pollution Control Board Ambient Air Quality MP</t>
  </si>
  <si>
    <t>2025_MPPCB_434838_1</t>
  </si>
  <si>
    <t>Thiruvananthapuram Kerala Police PTHQ 60 units of AI Surveillance Drones Kerala</t>
  </si>
  <si>
    <t>2025_KP_779205_1</t>
  </si>
  <si>
    <t>https://etenders.kerala.gov.in/</t>
  </si>
  <si>
    <t>Bhopal MP Police Vindhansabha Bhawan AMC of CCTV Cameras MP</t>
  </si>
  <si>
    <t>2025_MPP_441464_1</t>
  </si>
  <si>
    <t>Bhopal PHQ SCRB L2 Access Switch (V2) (Q2) RA GEM</t>
  </si>
  <si>
    <t>GEM/2025/B/6598769</t>
  </si>
  <si>
    <t>Ujjain Zone Police traffic signal lights GEM</t>
  </si>
  <si>
    <t>GEM/2025/B/6574016</t>
  </si>
  <si>
    <t xml:space="preserve">Bhubaneswar Traffic Signal Control System </t>
  </si>
  <si>
    <t>2025_BSCL_117584_1</t>
  </si>
  <si>
    <t>Bhopal SCRB PHQ Network Items MP</t>
  </si>
  <si>
    <t>2025_MPP_452127_1</t>
  </si>
  <si>
    <t>Bhubaneswar Cuttack Police Video Wall</t>
  </si>
  <si>
    <t>2025_ODPOL_117779_1</t>
  </si>
  <si>
    <t>https://tendersodisha.gov.in/</t>
  </si>
  <si>
    <t>Rangpuri Airports CCTV System (V2) (Q2) RA GEM</t>
  </si>
  <si>
    <t>GEM/2025/B/6661050</t>
  </si>
  <si>
    <t>Guwahati Assam Transport Dept. ITMS GEM</t>
  </si>
  <si>
    <t xml:space="preserve"> GEM/2025/B/6664469</t>
  </si>
  <si>
    <t>Chhattisgarh RSDC CCTV System (V3) (Q2) GEM</t>
  </si>
  <si>
    <t xml:space="preserve"> GEM/2025/B/6877520</t>
  </si>
  <si>
    <t>Bhopal DHS NHM Command and Control Center</t>
  </si>
  <si>
    <t>2025_DHS_464673_1</t>
  </si>
  <si>
    <t>Bhopal MPSEDC State Wide Area Network</t>
  </si>
  <si>
    <t>2025_SEDC_471096_1</t>
  </si>
  <si>
    <t>Bhoapl MANIT Surveillance System GEM</t>
  </si>
  <si>
    <t>GEM/2025/B/6950117</t>
  </si>
  <si>
    <t>Nava Raipur NRANVP ICCC AMC</t>
  </si>
  <si>
    <t>http://eproc.cgstate.gov.in</t>
  </si>
  <si>
    <t>Amravati MahaIT CCTV based Sur Sys MH</t>
  </si>
  <si>
    <t>2025_ITD_1203583_1</t>
  </si>
  <si>
    <t>https://mahatenders.gov.in/</t>
  </si>
  <si>
    <t>Bhopal Traffic Signal 2nd Call GEM</t>
  </si>
  <si>
    <t>GEM/2025/B/7022233</t>
  </si>
  <si>
    <t>Mumbai Police CCTV-based Surveillance System</t>
  </si>
  <si>
    <t>2025_CPMUM_1224943_1</t>
  </si>
  <si>
    <t>https://mahatenders.gov.in/nicgep/app</t>
  </si>
  <si>
    <t>Noida NOIDA ICT Components for Safe City Project UP</t>
  </si>
  <si>
    <t xml:space="preserve">2025_NOIDA_1026035_1 </t>
  </si>
  <si>
    <t>Cancellation of Tender</t>
  </si>
  <si>
    <t>Odisha OCAC Centre-Cum-Data Centre</t>
  </si>
  <si>
    <t>OCAC-DC-PMU-0001-2025-25118</t>
  </si>
  <si>
    <t>www.ocac.in</t>
  </si>
  <si>
    <t>No-Go</t>
  </si>
  <si>
    <t>Bhopal PHQ GIS Map, Geotagging Application</t>
  </si>
  <si>
    <t>2025_MPP_471242_1</t>
  </si>
  <si>
    <t>Mathura Nagar Nigam Out Door Video Wall</t>
  </si>
  <si>
    <t>2025_DOLBU_1097631_1</t>
  </si>
  <si>
    <t>Not Attempt</t>
  </si>
  <si>
    <t>Bhopal CLRS (MDM) Point Device</t>
  </si>
  <si>
    <t>2025_CLR_460823_1</t>
  </si>
  <si>
    <t>https://mptenders.gov.in</t>
  </si>
  <si>
    <t>Hisar India Army CCTV RA GEM</t>
  </si>
  <si>
    <t>GEM/2025/B/6874900</t>
  </si>
  <si>
    <t>Bhopal PHQ Modern War Room</t>
  </si>
  <si>
    <t>2025_MPP_455748_1</t>
  </si>
  <si>
    <t>Bhopal PHQ Smart Conferencing Room</t>
  </si>
  <si>
    <t>2025_MPP_456084_1</t>
  </si>
  <si>
    <t>Mahalaxmi IP based Video Surveillance System (VSS) in EMU/MEMU Coaches</t>
  </si>
  <si>
    <t>EL90-MX-2025-26-05RT</t>
  </si>
  <si>
    <t>https://www.ireps.gov.in/</t>
  </si>
  <si>
    <t>Bihar IP Based Video Surveillance System (VSS) in LHB coaches</t>
  </si>
  <si>
    <t>WR-PL-ME-EST-656049B</t>
  </si>
  <si>
    <t>Singrauli_NCL_CCTV RA GEM</t>
  </si>
  <si>
    <t>GEM/2025/B/6961645</t>
  </si>
  <si>
    <t>Bhopal SB PHQ Body Worn Camera Qty-120 MP</t>
  </si>
  <si>
    <t>2025_MPP_455595_1</t>
  </si>
  <si>
    <t>NO-Go</t>
  </si>
  <si>
    <t>Bhopal MP Police PHQ Door Frame</t>
  </si>
  <si>
    <t>2025_MPP_455743_1</t>
  </si>
  <si>
    <t xml:space="preserve">Bhatinda IAF CCTV CAMERAS QTY- 82 RA GEM </t>
  </si>
  <si>
    <t>GEM/2025/B/6833026</t>
  </si>
  <si>
    <t>Lucknow Body Worn Camera (V2) (Q2) RA GEM</t>
  </si>
  <si>
    <t>GEM/2025/B/6925474</t>
  </si>
  <si>
    <t>No-go</t>
  </si>
  <si>
    <t>Bhubaneswar NACL CCTV (Gate and Tower) RA GEM</t>
  </si>
  <si>
    <t>GEM/2025/B/6818957</t>
  </si>
  <si>
    <t xml:space="preserve">Bhopal MPSEDC Data center </t>
  </si>
  <si>
    <t>2025_SEDC_465350_1</t>
  </si>
  <si>
    <t>Bhopal SCRB PHQ AEBAS (Q2) RA GEM</t>
  </si>
  <si>
    <t>GEM/2025/B/6843988</t>
  </si>
  <si>
    <t>Bhubaneswar NALCO CCTV System and accs. RA GEM</t>
  </si>
  <si>
    <t>GEM/2025/B/6838433</t>
  </si>
  <si>
    <t>Mumbai RTO Body Worn Camera Qty- 600 GEM</t>
  </si>
  <si>
    <t>GEM/2025/B/6977502</t>
  </si>
  <si>
    <t>Dehradun PDU AI Face recognition and data analytics software RA GEM</t>
  </si>
  <si>
    <t>GEM/2025/B/6982333</t>
  </si>
  <si>
    <t>Rajasthan Central University Wireless Outdoor CCTV System and Unified CCTV Central Control Room</t>
  </si>
  <si>
    <t>2025_CURAJ_890970_1</t>
  </si>
  <si>
    <t>Bhopal PHQ Network Revamping</t>
  </si>
  <si>
    <t>2025_MPP_467068_1</t>
  </si>
  <si>
    <t>Jammu Indian Army Body Worn Camera (V2) (Q2) RA GEM</t>
  </si>
  <si>
    <t>GEM/2025/B/6959632</t>
  </si>
  <si>
    <t>Chhattisgarh TDC Speed Display &amp; Traffic Calming GEM</t>
  </si>
  <si>
    <t>GEM/2025/B/6919407</t>
  </si>
  <si>
    <t>Raipur NTPC SITC &amp; AMC CCTV Camera</t>
  </si>
  <si>
    <t>2025_NTPC_102069_1</t>
  </si>
  <si>
    <t>https://eprocurentpc.nic.in/nicgep/app</t>
  </si>
  <si>
    <t>Danapur IP Based Video Surveillance System (VSS)</t>
  </si>
  <si>
    <t>MC-237-13_VSS</t>
  </si>
  <si>
    <t>Malti Location IP Based Video Surveillance System (VSS) in ICF coaches</t>
  </si>
  <si>
    <t>WR-PL-ME-EST-655244B</t>
  </si>
  <si>
    <t>Bhopal DPI Desktop Computer GEM</t>
  </si>
  <si>
    <t>GEM/2025/B/6857074</t>
  </si>
  <si>
    <t xml:space="preserve">Rajkot_PGVCL_Body_Camera System </t>
  </si>
  <si>
    <t>Bhopal DPI IP CPU (Q2) GEM</t>
  </si>
  <si>
    <t>GEM/2025/B/6837213</t>
  </si>
  <si>
    <t>Allahabad Indian Army LED Data Wall RA GEM</t>
  </si>
  <si>
    <t>GEM/2025/B/6753088</t>
  </si>
  <si>
    <t>Bhopal Rajbhavan AMC CCTV</t>
  </si>
  <si>
    <t>2025_MPP_437727_2</t>
  </si>
  <si>
    <t>Udhampur Indian Army OFC RA GEM</t>
  </si>
  <si>
    <t>GEM/2025/B/6601528</t>
  </si>
  <si>
    <t>Udhampur Indian Army OFC 12 Core RA GEM</t>
  </si>
  <si>
    <t>GEM/2025/B/6603376</t>
  </si>
  <si>
    <t>Barwaha UAD Numeric traffic led GEM</t>
  </si>
  <si>
    <t>GEM/2025/B/6795779</t>
  </si>
  <si>
    <t>TQ-UD</t>
  </si>
  <si>
    <t>Ujjain UAD Traffic Management System ITMS</t>
  </si>
  <si>
    <t>2025_UAD_460290_1</t>
  </si>
  <si>
    <t>Bhopal Police Body Worn Camera Qty-100 GEM 2 Call</t>
  </si>
  <si>
    <t>GEM/2025/B/6926092</t>
  </si>
  <si>
    <t>Faridabad Smart City O and M for ICCC for three years</t>
  </si>
  <si>
    <t>2026_HRY_496229_1</t>
  </si>
  <si>
    <t>NO-GO
because only o&amp;m</t>
  </si>
  <si>
    <t>Allahabad ECIL CCTV System &amp; Public Address RA GEM</t>
  </si>
  <si>
    <t>GEM/2025/B/6973396</t>
  </si>
  <si>
    <t>Jaipur Rajasthan Council of School Education ICT Labs</t>
  </si>
  <si>
    <t>2025_RCSCE_499578_1</t>
  </si>
  <si>
    <t>https://eproc.rajasthan.gov.in/</t>
  </si>
  <si>
    <t>Dehradun ICFRE Data Centre Uttarakhand GEM</t>
  </si>
  <si>
    <t>GEM/2025/B/6647357</t>
  </si>
  <si>
    <t>Odisha Bhubaneswar Women and Child Desktop Computers</t>
  </si>
  <si>
    <t>2025_WCDD_117645_1</t>
  </si>
  <si>
    <t>Noida NMRC CAMC of CCTV System UP</t>
  </si>
  <si>
    <t>2025_NMRCL_1068604_1</t>
  </si>
  <si>
    <t xml:space="preserve"> Technical Opined</t>
  </si>
  <si>
    <t xml:space="preserve"> Ujjain UAD Street Light System</t>
  </si>
  <si>
    <t>2025_UAD_453148_1</t>
  </si>
  <si>
    <t xml:space="preserve">Patna Bihar BSEDC CCTV surveillance System </t>
  </si>
  <si>
    <t>https://eproc2.bihar.gov.in</t>
  </si>
  <si>
    <t>Rishikesh AIIMS Medical Sciences CCTV Cameras with CAMC</t>
  </si>
  <si>
    <t>2025_IMSR_870445_1</t>
  </si>
  <si>
    <t>https://eprocure.gov.in/</t>
  </si>
  <si>
    <t xml:space="preserve">New Delhi AIIMS SITC of LED Digital Display Board </t>
  </si>
  <si>
    <t>25 /EE(E)I/AIIMS/2025-26</t>
  </si>
  <si>
    <t xml:space="preserve"> www.aiims.edu</t>
  </si>
  <si>
    <t>Bhopal RHQ Police PASS 3rd Call</t>
  </si>
  <si>
    <t>2025_MPP_465470_1</t>
  </si>
  <si>
    <t>Ghaziabad Pcim &amp; H CCTV Camera</t>
  </si>
  <si>
    <t>GEM/2025/B/6853472</t>
  </si>
  <si>
    <t>Bhopal Police RHQ Wifi Facility Services</t>
  </si>
  <si>
    <t>2025_MPP_462390_1</t>
  </si>
  <si>
    <t>Mumbai DGS NMS Maharashtra</t>
  </si>
  <si>
    <t>2025_DGS_877215_1</t>
  </si>
  <si>
    <t xml:space="preserve">Gujarat_GIL_Body worn camera </t>
  </si>
  <si>
    <t>2025_MPP_418932_1</t>
  </si>
  <si>
    <t>Bhopal PHQ SCRB Data Wall Display (Q2) RA GEM</t>
  </si>
  <si>
    <t>GEM/2025/B/6599010</t>
  </si>
  <si>
    <t>Delhi Grid India CCTV Surveillance GEM</t>
  </si>
  <si>
    <t>GEM/2025/B/6514229</t>
  </si>
  <si>
    <t>Cochin IAL Active LED Display Walls KER</t>
  </si>
  <si>
    <t>2025_CIAL_782201_1</t>
  </si>
  <si>
    <t>Jammu Kashmir SICOP CCTV Surveillance System</t>
  </si>
  <si>
    <t>2025_SICOP_291010_1</t>
  </si>
  <si>
    <t>www.jktenders.gov.in.</t>
  </si>
  <si>
    <t>Retender</t>
  </si>
  <si>
    <t>Bhopal DHE Computer Lab MP</t>
  </si>
  <si>
    <t>2025_HED_455084_1</t>
  </si>
  <si>
    <t>Bhopal Home dept. Body Worn Camera Qty-800 (V2) (Q2) RA GEM</t>
  </si>
  <si>
    <t>GEM/2025/B/6802685</t>
  </si>
  <si>
    <t>Leh Ladakh IAF PTZ cameras RA GEM</t>
  </si>
  <si>
    <t>GEM/2025/B/6702648</t>
  </si>
  <si>
    <t>Bhopal RHQ Police PASS 2nd Call</t>
  </si>
  <si>
    <t>2025_MPP_465385_1</t>
  </si>
  <si>
    <t xml:space="preserve">Bhopal PHQ Firewall </t>
  </si>
  <si>
    <t>2025_MPP_461157_1</t>
  </si>
  <si>
    <t>Bihar Sheohar UDHD CCTV System RA GEM</t>
  </si>
  <si>
    <t>GEM/2025/B/6755512</t>
  </si>
  <si>
    <t>Bhopal RHQ Police PASS</t>
  </si>
  <si>
    <t>2025_MPP_458824_1</t>
  </si>
  <si>
    <t>Bhopal PHQ Ground Penetrating Radar MP</t>
  </si>
  <si>
    <t>2025_MPP_455467_1</t>
  </si>
  <si>
    <t>Chandigarh Airport CCTV System (V3) (Q2) RA GEM</t>
  </si>
  <si>
    <t>GEM/2025/B/6802859</t>
  </si>
  <si>
    <t xml:space="preserve">GWALIOR MES SCADA Water Supply </t>
  </si>
  <si>
    <t xml:space="preserve">	2025_MES_739244_1</t>
  </si>
  <si>
    <t>https://www.defproc.gov.in/nicgep/app</t>
  </si>
  <si>
    <t>Shillong BSF Bullet Camera RA GEM</t>
  </si>
  <si>
    <t>GEM/2025/B/6681603</t>
  </si>
  <si>
    <t>Guwahati_EDA_Integrated PA System</t>
  </si>
  <si>
    <t>GEM/2025/B/6815333</t>
  </si>
  <si>
    <t>Haryana Madhuban Police Housing CCTV Surveillance 11 Dist</t>
  </si>
  <si>
    <t>2025_HBC_470353_1</t>
  </si>
  <si>
    <t>Bhopal PHQ Tablet Computer (V2) (Q2) RA GEM</t>
  </si>
  <si>
    <t>GEM/2025/B/6609111</t>
  </si>
  <si>
    <t>Ajmer CUR Data Centre RAJ</t>
  </si>
  <si>
    <t>2025_CURAJ_876755_1</t>
  </si>
  <si>
    <t>Bhopal_Home department_Traffic signal_GEM</t>
  </si>
  <si>
    <t>GEM/2025/B/6793829</t>
  </si>
  <si>
    <t>Punjab PPHC AI based CCTV Surveillance System in 11 Nos. Jails 2 Call</t>
  </si>
  <si>
    <t>2025_DHA_151113_1</t>
  </si>
  <si>
    <t>Punjab PPHC AI based CCTV Surveillance System in 11 Nos. Jails Punjab</t>
  </si>
  <si>
    <t>2025_DHA_145423_1</t>
  </si>
  <si>
    <t>Jaipur RSHS IT Equipments RAJ</t>
  </si>
  <si>
    <t>2025_MEDIC_446379_1</t>
  </si>
  <si>
    <t>Gwalior Police Traffic Management System GEM</t>
  </si>
  <si>
    <t>GEM/2025/B/6805061</t>
  </si>
  <si>
    <t>GOA NCPOR Data Center and Storage</t>
  </si>
  <si>
    <t>2025_NCAOR_817660_1</t>
  </si>
  <si>
    <t>https://eprocure.gov.in/epublish/app</t>
  </si>
  <si>
    <t>2025_DPS_870005_1</t>
  </si>
  <si>
    <t>Kerala Police Dept. Body Worn Camera GEM</t>
  </si>
  <si>
    <t>GEM/2025/B/6775891</t>
  </si>
  <si>
    <t>Nashik_NMSCDCL_CCTV SUR. MH</t>
  </si>
  <si>
    <t>2025_NMC_1219026_1</t>
  </si>
  <si>
    <t>Indore Airport IP Camera GEM 2 Call</t>
  </si>
  <si>
    <t>GEM/2025/B/6784782</t>
  </si>
  <si>
    <t>Indore Airport IP Camera GEM</t>
  </si>
  <si>
    <t>GEM/2025/B/6672951</t>
  </si>
  <si>
    <t>Chandigarh CRID LAN Haryana</t>
  </si>
  <si>
    <t>2025_HRY_459311_1</t>
  </si>
  <si>
    <t>Vidisha UAD Nagar Prishad MP</t>
  </si>
  <si>
    <t>2025_UAD_455108_1</t>
  </si>
  <si>
    <t>Nisha</t>
  </si>
  <si>
    <t>Kolkata KP BODY WORN CAMERA WB</t>
  </si>
  <si>
    <t>2025_KP_899538_1</t>
  </si>
  <si>
    <t>https://wbtenders.gov.in/</t>
  </si>
  <si>
    <t>No -Go</t>
  </si>
  <si>
    <t>Banglore_CPRI_CCTV_GEM</t>
  </si>
  <si>
    <t>GEM/2025/B/6712164</t>
  </si>
  <si>
    <t>Ujjan SP Radio CCTV Item MP 2 Call</t>
  </si>
  <si>
    <t>2025_MPP_455414_1</t>
  </si>
  <si>
    <t>Bhopal_DPI_Atal Tinkering lab</t>
  </si>
  <si>
    <t>2025_DPI_454722_1</t>
  </si>
  <si>
    <t>Bhopal_MANIT_CCTV_GEM 1st Call</t>
  </si>
  <si>
    <t>GEM/2025/B/6724762</t>
  </si>
  <si>
    <t>Delhi Dept. Home CAMC Network Devices RA GEM</t>
  </si>
  <si>
    <t>GEM/2025/B/6732121</t>
  </si>
  <si>
    <t>No-Go By HB sir</t>
  </si>
  <si>
    <t>Bhubaneswar FED CCTV (V3) (Q2) GEM</t>
  </si>
  <si>
    <t>GEM/2025/B/6734499</t>
  </si>
  <si>
    <t>No-Go By HB Sir</t>
  </si>
  <si>
    <t>Singrauli NCL Biometric Attendance System RA GEM</t>
  </si>
  <si>
    <t>GEM/2025/B/6529145</t>
  </si>
  <si>
    <t>'Bhubaneswar AIIMS WLAN –Traffic Segmentation GEM</t>
  </si>
  <si>
    <t>GEM/2025/B/6606352</t>
  </si>
  <si>
    <t>Chandigarh DG Police SICT of 125 Nos. Body Worn Camera and 04 Nos.</t>
  </si>
  <si>
    <t>2025_CHD_88035_1</t>
  </si>
  <si>
    <t>https://etenders.chd.nic.in/nicgep/app</t>
  </si>
  <si>
    <t xml:space="preserve">Kolkata West Bengal Food &amp; Supplies Tracking System </t>
  </si>
  <si>
    <t>2025_DFS_893067_1</t>
  </si>
  <si>
    <t>https://wbtenders.gov.in/nicgep/app</t>
  </si>
  <si>
    <t xml:space="preserve">	Technical Evaluation</t>
  </si>
  <si>
    <t xml:space="preserve">Punjab ICT Vidhan Sabha Curved Video Walls in </t>
  </si>
  <si>
    <t xml:space="preserve">2025_IC_148771_1 </t>
  </si>
  <si>
    <t xml:space="preserve">KOLKATA POLICE Traffic Department ANPR SYSTEM </t>
  </si>
  <si>
    <t>2025_KP_898145_1</t>
  </si>
  <si>
    <t>Bhopal AIIMS CAMC CCTV System CPPP</t>
  </si>
  <si>
    <t>2025_IMSBP_871177_1</t>
  </si>
  <si>
    <t>Dibiyapur UP Gail India Limited LED Display System GEM</t>
  </si>
  <si>
    <t>GEM/2025/B/6470076</t>
  </si>
  <si>
    <t>Odisha Cuttack Body Worn Camera (V2) Q2 RA GEM</t>
  </si>
  <si>
    <t>GEM/2025/B/6666366</t>
  </si>
  <si>
    <t>Bhopal Khushilal Sharma Ayurvedic cctv camera supply and installation MP</t>
  </si>
  <si>
    <t>2025_KSGAC_447388_1</t>
  </si>
  <si>
    <t>Gandinagar GIL Body Worn Camera Jail</t>
  </si>
  <si>
    <t>NO - GO</t>
  </si>
  <si>
    <t>Punjab Police- SSP Barnala City Surveillance</t>
  </si>
  <si>
    <t>GEM/2025/B/6628961</t>
  </si>
  <si>
    <t>Ujjain_SP Radio_cctv item_MP</t>
  </si>
  <si>
    <t>2025_MPP_448582_1</t>
  </si>
  <si>
    <t>Jammu Indian Army Video Wall RA GEM</t>
  </si>
  <si>
    <t>GEM/2025/B/6631618</t>
  </si>
  <si>
    <t>Jodhpur AIIMS CCTV Surveillance along with central command and control room GEM</t>
  </si>
  <si>
    <t>GEM/2025/B/6382544</t>
  </si>
  <si>
    <t>Rajkot Municipal Corporation RSCDL ATCS and Traffic Enforcement System QCBS</t>
  </si>
  <si>
    <t>Bhopal Women And Child Development Department Television (TV) (V2) (Q2) GEM</t>
  </si>
  <si>
    <t xml:space="preserve"> GEM/2025/B/6318512</t>
  </si>
  <si>
    <t>Bhopal MP Police - RHQ GIS Map GEM</t>
  </si>
  <si>
    <t>GEM/2025/B/6553896</t>
  </si>
  <si>
    <t>Delhi Punjab National Bank Network Monitoring Software (V2) (Q2) RA GEM</t>
  </si>
  <si>
    <t>GEM/2025/B/6455072</t>
  </si>
  <si>
    <t>Delhi NDMA LAN and Wifi setup RA GEM</t>
  </si>
  <si>
    <t>GEM/2025/B/6624413</t>
  </si>
  <si>
    <t>Prayagraj Ministry Of Defence Video Recorder for CCTV System UP</t>
  </si>
  <si>
    <t>GEM/2025/B/6594695</t>
  </si>
  <si>
    <t>Bhopal 'MPSEDC Smart Rack (V2) (Q2) GEM</t>
  </si>
  <si>
    <t>GEM/2025/B/6508159</t>
  </si>
  <si>
    <t>Ahmedabad Roads and Buildings CCTV Surveillance system Gujrat</t>
  </si>
  <si>
    <t>J&amp;K Transport Commissioner Vehicle Tracking Platform RA GEM</t>
  </si>
  <si>
    <t>GEM/2025/B/6597685</t>
  </si>
  <si>
    <t>Bhopal UADD IT Equipment MP</t>
  </si>
  <si>
    <t>2025_UAD_447625_1</t>
  </si>
  <si>
    <t>OEM Not Suppoted</t>
  </si>
  <si>
    <t xml:space="preserve">Odisha Bhubaneswar IP CCTV, ITMS, and FRS SYSTEM </t>
  </si>
  <si>
    <t>2025_BSCL_117563_1</t>
  </si>
  <si>
    <t>Solan Himachal Indian Army LED VIDEO WALL RA GEM</t>
  </si>
  <si>
    <t>GEM/2025/B/6618582</t>
  </si>
  <si>
    <t>Ujjain Development Authority traffic signals MP</t>
  </si>
  <si>
    <t>2025_DTCP_445751_1</t>
  </si>
  <si>
    <t>Madhopur PRD All in One Computer other materials MP</t>
  </si>
  <si>
    <t>2025_PRD_504928_1</t>
  </si>
  <si>
    <t>No-Go By Nisha Mam</t>
  </si>
  <si>
    <t>22-12-25</t>
  </si>
  <si>
    <t>23-12-25 12:00 PM</t>
  </si>
  <si>
    <t>11-02-26 12:00 PM</t>
  </si>
  <si>
    <t>Not Qualified</t>
  </si>
  <si>
    <t>Corr_Changes-25-Dec</t>
  </si>
  <si>
    <t>16-03-26 12:00 PM</t>
  </si>
  <si>
    <t xml:space="preserve">Estim value in CR  </t>
  </si>
  <si>
    <t>GO/ NO GO Status</t>
  </si>
  <si>
    <t>(PQ/ TQ)</t>
  </si>
  <si>
    <t>Due Date and Time</t>
  </si>
  <si>
    <t>Opening Date</t>
  </si>
  <si>
    <t>EMD  Amount</t>
  </si>
  <si>
    <t>PBG Percent</t>
  </si>
  <si>
    <t>Finding/Tracking/Status</t>
  </si>
  <si>
    <t>*Bhopal_BMC_LAN and CCTV</t>
  </si>
  <si>
    <t>28-01-26 12:00 PM</t>
  </si>
  <si>
    <t>Corr_Pre-Bid_Response-03-Feb</t>
  </si>
  <si>
    <t>NO-GO--Lock Case</t>
  </si>
  <si>
    <t>Email-id support@bmconline.gov.in</t>
  </si>
  <si>
    <t>!</t>
  </si>
  <si>
    <t>15-10-25 1:00 PM</t>
  </si>
  <si>
    <t xml:space="preserve">24-10-25 3:00 PM </t>
  </si>
  <si>
    <t>Online/BG</t>
  </si>
  <si>
    <t>Not Qualified 
*Challenge in similar work Experience criteria.</t>
  </si>
  <si>
    <t>Contact/ Helpline No. of E-Procurement Cell :- +91-8709368893
E-mail: jmhidpc2014@gmail.com</t>
  </si>
  <si>
    <t>*Punjab PPHC CCTV Thane</t>
  </si>
  <si>
    <t>30-12-25 11:00 AM</t>
  </si>
  <si>
    <t>31-12-25 12:00 PM</t>
  </si>
  <si>
    <t>10-02-26 11:00 AM</t>
  </si>
  <si>
    <t>Corr._Dt_Ext-28,15-Jan</t>
  </si>
  <si>
    <t>PQ-Qualified by TISPL, 
SISPL PQ- 10</t>
  </si>
  <si>
    <t>Ranjod Singh ji :- 0172-0172-2804506</t>
  </si>
  <si>
    <t>Attended by Ambuj pm</t>
  </si>
  <si>
    <t>Poornima mam cordinating</t>
  </si>
  <si>
    <t>08-01-26 11:00 AM</t>
  </si>
  <si>
    <t>13-02-26 03:30 PM</t>
  </si>
  <si>
    <t>Corr._Dt_Ext-30,22-Jan</t>
  </si>
  <si>
    <t>PQ- Qualify by TISPL
Payment - OK</t>
  </si>
  <si>
    <t>Phone and Fax: +91-177-2628914</t>
  </si>
  <si>
    <t>Maharashtra Gramin Bank CCTV 635 branches RA GEM</t>
  </si>
  <si>
    <t>28-01-26 11:00 AM</t>
  </si>
  <si>
    <t>29-01-26 11:00 AM</t>
  </si>
  <si>
    <t>11-02-26 03:00 PM</t>
  </si>
  <si>
    <t>Corr. _For-Changes-31-Jan</t>
  </si>
  <si>
    <t>Not Qualified - PQ-12</t>
  </si>
  <si>
    <t xml:space="preserve">27-01-26 03:00 PM </t>
  </si>
  <si>
    <t>09-02-26 03:00 PM</t>
  </si>
  <si>
    <t>10-02-26 03:00 PM</t>
  </si>
  <si>
    <t>Tel: 0755-2518602, 2518300, 2518500
Email :- marketing@mpsedc.com.</t>
  </si>
  <si>
    <t>28-11-25 6:00 PM</t>
  </si>
  <si>
    <t>28-11-25 12:00 PM</t>
  </si>
  <si>
    <t>05-02-26 6:00 PM</t>
  </si>
  <si>
    <t>05-02-26 6:30 PM</t>
  </si>
  <si>
    <t xml:space="preserve">Corr. _Changes-26,19-Jan
'Corr. _Dt_Ext-04,02-Feb,26,19,16,08,06-Jan, 31,29,22,18,08-Dec
</t>
  </si>
  <si>
    <t>Ajay Sahakar -MPSEDC</t>
  </si>
  <si>
    <t>AIG MAM Richa Choubey/Manish Choubey</t>
  </si>
  <si>
    <t>Not Attended</t>
  </si>
  <si>
    <t>Awaiting Corriengdum</t>
  </si>
  <si>
    <t>22-01-26  04:00 PM</t>
  </si>
  <si>
    <t>04-02-26  06:00 PM</t>
  </si>
  <si>
    <t>04-02-26  06:30 PM</t>
  </si>
  <si>
    <t>Corr._Response-29-Jan</t>
  </si>
  <si>
    <t>Qualified TISPL, 
SISPL N2D PQ_1</t>
  </si>
  <si>
    <t>E-Mail: tenders@vimarsh.mp.gov.in</t>
  </si>
  <si>
    <t>West Bengal WBCSSC Live CCTV and  HHMD</t>
  </si>
  <si>
    <t xml:space="preserve">08-01-26 </t>
  </si>
  <si>
    <t>13-01-26  03:00 PM</t>
  </si>
  <si>
    <t>31-01-26 03:00 PM</t>
  </si>
  <si>
    <t>03-02-26 09:00 AM</t>
  </si>
  <si>
    <t>Corr._Changes-27,14-Jan</t>
  </si>
  <si>
    <t>13-01-26 03:00 PM</t>
  </si>
  <si>
    <t>30-01-26 10:00 AM</t>
  </si>
  <si>
    <t>30-01-26 10:30 AM</t>
  </si>
  <si>
    <t>DD/BG/FDR</t>
  </si>
  <si>
    <t>Qualified via OEM's Credentials only</t>
  </si>
  <si>
    <t>MOBILE No :  8972938332</t>
  </si>
  <si>
    <t xml:space="preserve"> 30-12-25 6:00 PM</t>
  </si>
  <si>
    <t>30-12-25 12:00 PM</t>
  </si>
  <si>
    <t>30-01-26 3:00 PM</t>
  </si>
  <si>
    <t>Corr. _Changes-21-Jan
'Corr. _Dt_Ext-19-Jan</t>
  </si>
  <si>
    <t>Qualified TISPL, SISPL- via OEM Credentials</t>
  </si>
  <si>
    <t>Grand Thronaton, -Ashish Pandey / Nitin</t>
  </si>
  <si>
    <t>Vijiyan Shekar / Suneel Singh, Jt Direvctor Finance ,E-mail: spdmpwb@gmail.com</t>
  </si>
  <si>
    <t xml:space="preserve">Queries submitted </t>
  </si>
  <si>
    <t>Pre bid attended , CP Plus, Sparsh. Honeywell,Prema and few bidders attended and raised quieries, Awaiting the commissioner time for fix up a meeting with Neeraj sir</t>
  </si>
  <si>
    <t>07-11-25</t>
  </si>
  <si>
    <t>06-11-25 11:00 AM</t>
  </si>
  <si>
    <t>27-01-26 04:00 PM</t>
  </si>
  <si>
    <t>27-01-26 05:00 PM</t>
  </si>
  <si>
    <t>Corr_Dt_Ext-16,09-Jan, 17-Dec, 19-Nov
Corr_Technical-24,10-Jan
Corr_ Revised BOQ-09-Dec
Corr_Revised RFP-17-Dec</t>
  </si>
  <si>
    <t>Not Qualified Due VC 8 CR</t>
  </si>
  <si>
    <t xml:space="preserve"> 14-04-25</t>
  </si>
  <si>
    <t>15-04-25 03:00 PM</t>
  </si>
  <si>
    <t>30-01-26 03:00 PM</t>
  </si>
  <si>
    <t>Corr._Dt _Ext-24-Dec, 24-Nov, 24-Oct, 24-Sep, 25- Aug, 24-Jul, 23-Jun, 29,08-May</t>
  </si>
  <si>
    <t>Phone: +91 120 2336044, +91 120 2336045
Email: info@iitgnl.com</t>
  </si>
  <si>
    <t>12-01-26 6:00 PM</t>
  </si>
  <si>
    <t>12-01-26 12:00 PM</t>
  </si>
  <si>
    <t>23-01-26 06:00 PM</t>
  </si>
  <si>
    <t>23-01-26 06:30 PM</t>
  </si>
  <si>
    <t>Corr_Dt_Ext-19-Jan
Corr_Response-19-Jan</t>
  </si>
  <si>
    <t>Not Qualified - PQ 03-N2D</t>
  </si>
  <si>
    <t xml:space="preserve">23-01-26 05:30 PM </t>
  </si>
  <si>
    <t>23-01-26 06:10 PM</t>
  </si>
  <si>
    <t>Corr._Dt_Ext-20
Revised Make list-13-Jan</t>
  </si>
  <si>
    <t>Qualified by T</t>
  </si>
  <si>
    <t xml:space="preserve"> copbr2008@gmail.com </t>
  </si>
  <si>
    <t>18-12-25 5:00 PM</t>
  </si>
  <si>
    <t>19-12-25 12:00 PM</t>
  </si>
  <si>
    <t>22-01-26 03:00 PM</t>
  </si>
  <si>
    <t>23-01-26 03:10 PM</t>
  </si>
  <si>
    <t>DD/BD/BG</t>
  </si>
  <si>
    <t>Corr. _Dt_Ext-15,06-Jan,29-Dec
Corr_Changes-20-Dec
Corr_Revised_EMD-20-Dec</t>
  </si>
  <si>
    <t>Anil Shukla/ A.K Bhagat -Purchase Phone No. :- 0755-2443674,
E-mail: ssp_radio@mppolice.gov.in</t>
  </si>
  <si>
    <t xml:space="preserve">Not Attended </t>
  </si>
  <si>
    <t>Awaiting Correinedum dtae extention done</t>
  </si>
  <si>
    <t>19-01-26 04:00 PM</t>
  </si>
  <si>
    <t>20-01-26 04:30 PM</t>
  </si>
  <si>
    <t>NEFT/ RTGS</t>
  </si>
  <si>
    <t>PQ-N2D - 2 &amp; 3</t>
  </si>
  <si>
    <t>Collage Design :- 7900004330</t>
  </si>
  <si>
    <t>Mr. B S Yadav Jt. Director / Sunil Shravan</t>
  </si>
  <si>
    <t>No PRE Bid</t>
  </si>
  <si>
    <t>Met with the director Sir and submitted the queries personally will look in tit as said by him</t>
  </si>
  <si>
    <t>Before  Pre -Bid</t>
  </si>
  <si>
    <t>12-12-25 11:00 AM</t>
  </si>
  <si>
    <t>17-01-26 4:00 PM</t>
  </si>
  <si>
    <t>17-01-26 5:00 PM</t>
  </si>
  <si>
    <t xml:space="preserve">Corr. _Dt_Ext-09-Jan, 26,22,15-Dec
Corr-For _Pre-bid meeting Clarifications-03-Jan
</t>
  </si>
  <si>
    <t>PQ-Qualified by TISPL
Payment Terms - OK</t>
  </si>
  <si>
    <t>Praad ji :-9848308824, 7337401813</t>
  </si>
  <si>
    <t>Before 
Pre -Bid</t>
  </si>
  <si>
    <t>02-Dec-2025
03:30 PM</t>
  </si>
  <si>
    <t>12-Jan-2026
 04:00 PM</t>
  </si>
  <si>
    <t>13-Jan-2026
 05:00 PM</t>
  </si>
  <si>
    <t>RTGS/NEFT</t>
  </si>
  <si>
    <t>Corr_Date_Ext-05-Jan
Corr_For Cahnges-15-Dec</t>
  </si>
  <si>
    <t>Not Qualified - PQ -2 &amp; 3</t>
  </si>
  <si>
    <t>08-Jan-2026
 05:00 PM</t>
  </si>
  <si>
    <t>08-Jan-2026
 05:30 PM</t>
  </si>
  <si>
    <t>'Corr. _Date_Ext-01-Jan</t>
  </si>
  <si>
    <t>PQ-Qualified by  TISPL, SISPL
Bid - S</t>
  </si>
  <si>
    <t>Sudheer Kumar Arya</t>
  </si>
  <si>
    <t>*Bihar  IP Based Video Surveillance System (VSS) in LHB coaches</t>
  </si>
  <si>
    <t>Go</t>
  </si>
  <si>
    <t>30-Dec-2025
 03:00 PM</t>
  </si>
  <si>
    <t>Corr. _Date_Ext-17-Dec
'Corr_Changes-2-Dec</t>
  </si>
  <si>
    <t>PQ-N2D
Bid - T</t>
  </si>
  <si>
    <t>Under Evaluation</t>
  </si>
  <si>
    <t>*Nava Raipur NRANVP ICCC AMC</t>
  </si>
  <si>
    <t>NQ</t>
  </si>
  <si>
    <t>17-Nov-2025 
 03:00 PM</t>
  </si>
  <si>
    <t>20-Nov-2025
 12:00 PM</t>
  </si>
  <si>
    <t>29-Dec-2025 03:00 PM</t>
  </si>
  <si>
    <t>'30-Dec-2025 04:00 PM</t>
  </si>
  <si>
    <t>FDR/BG</t>
  </si>
  <si>
    <t>Corr. _Date_Ext-17-Dec
'Corr. _Date_Ext-10-Dec
'Corr. _Date_Ext-&amp; Changes -28-Nov</t>
  </si>
  <si>
    <t xml:space="preserve">PQ-TQ-NQ-by TISPL
</t>
  </si>
  <si>
    <t>*Mahalaxmi IP based Video Surveillance System (VSS) in EMU/MEMU Coaches</t>
  </si>
  <si>
    <t>25-Nov-2025
 12:00 PM</t>
  </si>
  <si>
    <t>29-Dec-2025 
12:00 PM</t>
  </si>
  <si>
    <t>Corr._Date _Ext-25-Dec
'Corr._Date _Ext-16-Dec
Corr_Changes-03-Dec</t>
  </si>
  <si>
    <t>24-Dec-2025
 03:00 PM</t>
  </si>
  <si>
    <t>Corr. _Date_Ext-16-Dec
'Corr_Changes-28-Nov</t>
  </si>
  <si>
    <t>Nisha
Mam</t>
  </si>
  <si>
    <t>15-Oct- 2025 
03:00 PM</t>
  </si>
  <si>
    <t>22-Dec-2025 11:30 AM</t>
  </si>
  <si>
    <t>24-Dec-2025 10:00 AM</t>
  </si>
  <si>
    <t>Corr. _Date_Ext-19-Dec
'Corr._For_Changes-17-Dec
'Corr. _Date_Ext-16-Dec
'Corr_ Revised_EMD-Changes-01-Dec
Corr_Date_Ext-17-Nov</t>
  </si>
  <si>
    <t>Qualified as 3rd consortium partner</t>
  </si>
  <si>
    <t>22-Dec-2025
 07:00 PM</t>
  </si>
  <si>
    <t>PQ- Qualify by TISPL
Bid - T</t>
  </si>
  <si>
    <t>09-Oct-2025
05:00 PM</t>
  </si>
  <si>
    <t>10-Oct-2025
12:00 PM</t>
  </si>
  <si>
    <t>22-Dec-2025 04:00 PM</t>
  </si>
  <si>
    <t>23-Dec-2025 04:00 PM</t>
  </si>
  <si>
    <t>Corr._For_Changes-16-Dec
'Corr. _Date_Ext-11-Dec
'Corr. _Date_Ext-01-Dec
Corr. _Date_Ext-&amp; Changes -22-Nov
'Corr. _Date_Ext-14-Nov
Corr._Date _Ext-30-Oct
Corr._Date _Ext.-21-Oct</t>
  </si>
  <si>
    <t>PQ-2-N2D, TISPL
Bid - T,S</t>
  </si>
  <si>
    <t>Bhopal SB PHQ Body Worn Camera  Qty-120 MP</t>
  </si>
  <si>
    <t>08-Oct-2025
05:00 PM</t>
  </si>
  <si>
    <t xml:space="preserve">09-Oct-2025
 12:00 PM </t>
  </si>
  <si>
    <t>20-Dec-2025
 04:00 PM</t>
  </si>
  <si>
    <t>22-Dec-2025
 04:00 PM</t>
  </si>
  <si>
    <t>Corr._For_Changes-16-Dec
'Corr. _Date_Ext-11-Dec
'Corr. _Date_Ext-01-Dec
'Corr. _Date_Ext-&amp; Changes -22-Nov
Corr. _Date_Ext-14-Nov
Corr. _Date_Ext-30-Oct
Corr. _Date_Ext- 21-Oct</t>
  </si>
  <si>
    <t xml:space="preserve">13-Oct-2025 
 5: 00 PM </t>
  </si>
  <si>
    <t>14-Oct-2025
12:00 PM</t>
  </si>
  <si>
    <t>19-Dec-2025
 04:00 PM</t>
  </si>
  <si>
    <t>Corr._For_Changes-16-Dec
'Corr._Date _Ext-9-Dec
'Corr._Date _Ext-28-Nov
Corr._For_Changes-24-Nov
Corr._For_Changes &amp; Date Ext-18-Nov
Corr._Date_Ext-30-Oct
Corr._Date_Ext-21-Oct</t>
  </si>
  <si>
    <t>PQ-2-N2D, TISPL
Bid - T</t>
  </si>
  <si>
    <t xml:space="preserve">	19-Dec-2025
 04:00 PM</t>
  </si>
  <si>
    <t>Corr._For_Changes-16-Dec
'Corr._Date _Ext-9-Dec
'Corr._Date _Ext-28-Nov
'Corr._For_Changes-24-Nov
Corr._For_Changes &amp; Date Ext-18-Nov
Corr._Date_Ext-30-Oct
Corr._Date_Ext-21-Oct</t>
  </si>
  <si>
    <t>21-Nov-2025
 12:00</t>
  </si>
  <si>
    <t>17-Dec-2025
 12:00 PM</t>
  </si>
  <si>
    <t>online/BG</t>
  </si>
  <si>
    <t>Corr_Changes-28-Nov</t>
  </si>
  <si>
    <t>PQ-Qualified by SISPL</t>
  </si>
  <si>
    <t>Before 
Pre-Bid</t>
  </si>
  <si>
    <t>15-Nov-2025  12:00 PM</t>
  </si>
  <si>
    <t>17-Dec-2025  02:00 PM</t>
  </si>
  <si>
    <t>17-Dec-2025  02:30 PM</t>
  </si>
  <si>
    <t>FDR</t>
  </si>
  <si>
    <t>Corr. _Date_Ext-13-Dec
'Response Date: 13-Dec</t>
  </si>
  <si>
    <t>''PQ-Qualified by  TISPL, SISPL</t>
  </si>
  <si>
    <t>'15-Dec-2025  05:00 PM</t>
  </si>
  <si>
    <t>15-Dec-2025  05:30 PM</t>
  </si>
  <si>
    <t>DD</t>
  </si>
  <si>
    <t>Corr_For_Changes-25-Nov</t>
  </si>
  <si>
    <t>PQ-Qualified by TISPL</t>
  </si>
  <si>
    <t>10-Nov-2025
01:00 PM</t>
  </si>
  <si>
    <t>10-Dec-2025 
7:00 PM</t>
  </si>
  <si>
    <t>10-Dec-2025 
7:30 PM</t>
  </si>
  <si>
    <t>Online /Offline</t>
  </si>
  <si>
    <t>Corr._Date_Ext-02-Dec
Corr._Date_Ext-26-Nov
Corr.-Responses-19-Nov</t>
  </si>
  <si>
    <t>PQ-Qualified by TISPL ,SISPL</t>
  </si>
  <si>
    <t xml:space="preserve">18-Nov-2025
 04:30 PM </t>
  </si>
  <si>
    <t>10-Dec-2025
 04:30 PM</t>
  </si>
  <si>
    <t>13-Dec-2025
 04:30 PM</t>
  </si>
  <si>
    <t>Onilne</t>
  </si>
  <si>
    <t>Corr._For_Changes-&amp;- Dete_Ext-05-Dec</t>
  </si>
  <si>
    <t>X</t>
  </si>
  <si>
    <t>11-Nov-2025 
1:00 AM</t>
  </si>
  <si>
    <t>11-Nov-2025 
1:30 AM</t>
  </si>
  <si>
    <t>PQ- Qualify by OEM TISPL</t>
  </si>
  <si>
    <t>03-Aug-2025 11:50 PM</t>
  </si>
  <si>
    <t xml:space="preserve"> 28-Jul-2025 12:00 PM</t>
  </si>
  <si>
    <t>10-Nov-2025
 05:00 PM</t>
  </si>
  <si>
    <t>11-Nov-2025
 12:00 PM</t>
  </si>
  <si>
    <t>Corr. _Date_Ext-29-Oct
Corr. __Date_Ext-&amp;-Changes - 03-Oct
Corr. __Date_Ext-25-Sep-06-Sep
Corr. __Date_Ext. - 12-Aug</t>
  </si>
  <si>
    <t>PQ-TQ Qualify by TISPL
Payment -  Ok</t>
  </si>
  <si>
    <t xml:space="preserve"> 12-Feb-2025</t>
  </si>
  <si>
    <t xml:space="preserve"> 13-Feb-2025
12:00 PM</t>
  </si>
  <si>
    <t>10-Nov-2025
 02:00 PM</t>
  </si>
  <si>
    <t xml:space="preserve">	10-Nov-2025
 05:00 PM</t>
  </si>
  <si>
    <t>Corr. __Date_Ext-31-Oct
Corr_For _ Changes-09-Oct
Corr. __Date_Ext- 25-Sep
Corr. __Date_Ext 27- Aug
Corr. __Date_Ext.-  29-Jul, 27-Jun, 27-May, 28-Apr, 03-Apr
Corr._Dt_Ext.- 12-Mar, 26-Feb
Corr._Email-ID Change- 13-Feb</t>
  </si>
  <si>
    <t>PQ- Qualify by TISPL
Payment -  OK</t>
  </si>
  <si>
    <t>(Dr. Bharti Dixit), 
Telephone No.: 0141- 2221590, Email: md-nrhm-rj@nic.in</t>
  </si>
  <si>
    <t>07-Nov-2025
 7:00 PM</t>
  </si>
  <si>
    <t>07-Nov-2025
 7:30 PM</t>
  </si>
  <si>
    <t xml:space="preserve"> DD/BG/FDR </t>
  </si>
  <si>
    <t>PQ_6 -NQ, &amp; PQ_10-N2D 
Waiting for Corrigendum/Pre-bid Response</t>
  </si>
  <si>
    <t>06-Nov-2025 
1:00 PM</t>
  </si>
  <si>
    <t>06-Nov-2025 
1:30 PM</t>
  </si>
  <si>
    <t>Demand Draft</t>
  </si>
  <si>
    <t>Corr. _Date_Ext-31-Oct
Response-02-Nov</t>
  </si>
  <si>
    <t>PQ-TQ Qualified by TISPL ,SISPL
payment -OK</t>
  </si>
  <si>
    <t>30-Oct-2025
11:00 AM</t>
  </si>
  <si>
    <t>06-Nov-2025 
11:00 AM</t>
  </si>
  <si>
    <t>07-Nov-2025 
11:00 AM</t>
  </si>
  <si>
    <t xml:space="preserve">Bhubaneswar Cuttack Police Video Wall  </t>
  </si>
  <si>
    <t xml:space="preserve">19-Sep-2025
 12:00 PM </t>
  </si>
  <si>
    <t xml:space="preserve">
31-Oct-2025
 05:00 PM
 </t>
  </si>
  <si>
    <t>01-Nov-2025
 05:00 PM</t>
  </si>
  <si>
    <t>Corr. -for Changes-25-Oct
Corr._Date _Ext.-24-Oct
Corr._Date _Ext.-13-Oct
Corr._Date _Ext.-03-Oct</t>
  </si>
  <si>
    <t>PQ-TQ Qualified by TISPL ,SISPL</t>
  </si>
  <si>
    <t>Ajmer CUR  Data Centre RAJ</t>
  </si>
  <si>
    <t>17-Sep-2025
11:30 AM</t>
  </si>
  <si>
    <t xml:space="preserve">	31-Oct-2025 
03:00 PM</t>
  </si>
  <si>
    <t>01-Nov-2025
 04:00 PM</t>
  </si>
  <si>
    <t>DD/FDR/BG</t>
  </si>
  <si>
    <t xml:space="preserve">Corr. _Date_Ext-28-Oct
Corr. _Date_Ext - &amp; - Changes -19-Oct
Corr. _Date_Ext-15-Oct
Corr. _Date_Ext-01-Oct
</t>
  </si>
  <si>
    <t xml:space="preserve">Megha </t>
  </si>
  <si>
    <t>Jagdalpur Home Dept. CCTV System (V3) (Q2) GEM</t>
  </si>
  <si>
    <t>18-Oct-2025
 6:00 PM</t>
  </si>
  <si>
    <t>18-Oct-2025
 6:30 PM</t>
  </si>
  <si>
    <t>Corr. __Date_Ext._14-Oct</t>
  </si>
  <si>
    <t>NQ-PQ-5</t>
  </si>
  <si>
    <t>03-Sep-2025
12:00 PM</t>
  </si>
  <si>
    <t>18-Oct-2025 
6:00 PM</t>
  </si>
  <si>
    <t>18-Oct-2025 
6:30 PM</t>
  </si>
  <si>
    <t>Corr. _Date_Ext-15-Oct
Corr. _Date_Ext-&amp; Changes-06-Oct
'Corr. _Date_Ext-01-Oct
Corr. _Date_Ext-24-Sep
Corr. _Date_Ext-19-Sep
Corr. _Date_Ext-12-Sep</t>
  </si>
  <si>
    <t>PQ- Qualified by TISPL, SISPL
Payment - Ok</t>
  </si>
  <si>
    <t>Bhopal PHQ SCRB L2 Access Switch (V2) (Q2)  RA GEM</t>
  </si>
  <si>
    <t>29-Aug-2025
12:00 PM</t>
  </si>
  <si>
    <t>17-Oct-2025
 6:00 PM</t>
  </si>
  <si>
    <t>17-Oct-2025
 6:30 PM</t>
  </si>
  <si>
    <t>Corr._For Changes-10-Oct
Corr. _Date_Ext-08-Oct
Corr. _Date_Ext-30-Sep
Corr. _Date_Ext-19-Sep-23-Sep-25-Sep
Corr. _Date Response-16-Sep
Corr. _Date_Ext-12-Sep</t>
  </si>
  <si>
    <t>PQ- Qualified by TISPL
Payment - Ok</t>
  </si>
  <si>
    <t>16-Oct-2025
 03:00 PM</t>
  </si>
  <si>
    <t>17-Oct-2025
 03:30 PM</t>
  </si>
  <si>
    <t>Corr. __Date_Ext.-13-Oct
Corr._for Changes-10-Oct
Corr. __Date_Ext-26-Sep
'Corr_Pre Bid Queries Response-19-Sep
Corr. __Date_Ext-19-Sep
Corr. __Date_Ext-09-Sep</t>
  </si>
  <si>
    <t>PQ- NQ in Local Presence 
Payment -  OK</t>
  </si>
  <si>
    <t>Bhubaneswar Traffic Signal Control System Odisha</t>
  </si>
  <si>
    <t>10-Sep-2025 
 05:30 PM</t>
  </si>
  <si>
    <t>12-Sep-2025
03:30 PM</t>
  </si>
  <si>
    <t xml:space="preserve">	15-Oct-2025 
05:30 PM</t>
  </si>
  <si>
    <t>18-Oct-2025
 03:30 PM</t>
  </si>
  <si>
    <t>Demand Draft/BG</t>
  </si>
  <si>
    <t>Corr. __Date_Ext-06-Oct
Corr_for_Changes-4-Oct
Corr. __Date_Ext.-25-Sep</t>
  </si>
  <si>
    <t>PQ- TQ- NQ
Payment -  OK</t>
  </si>
  <si>
    <t>20-Aug-2025
 11:00 AM</t>
  </si>
  <si>
    <t>13-Oct-2025
 3:00 PM</t>
  </si>
  <si>
    <t>13-Oct-2025
 3:30 PM</t>
  </si>
  <si>
    <t>Corr_date_Chages-29-Sep</t>
  </si>
  <si>
    <t>PQ- Qualified by TISPL,SISPL</t>
  </si>
  <si>
    <t>Megha Mam</t>
  </si>
  <si>
    <t>10-Sep-2025 
 12:00 PM</t>
  </si>
  <si>
    <t>10-Oct-2025
 6:00 PM</t>
  </si>
  <si>
    <t>10-Oct-2025
 6:30 PM</t>
  </si>
  <si>
    <t xml:space="preserve">Corr._Date _Ext-08-Oct
Corr._Date _Ext-30-Sep
Corr._Date _Ext-16-Sep -22-Sep-25-Sep
</t>
  </si>
  <si>
    <t>PQ- Qualified by TISPL</t>
  </si>
  <si>
    <t>10-Oct-2025
 10:00 AM</t>
  </si>
  <si>
    <t>10-Oct-2025
 10:30 AM</t>
  </si>
  <si>
    <t>PQ- Qualified by TISPL,SISPL,Infobase</t>
  </si>
  <si>
    <t>New Delhi NICSI MSP Vidhan Sabha CP</t>
  </si>
  <si>
    <t>26-Sep-2025
 1:00 PM</t>
  </si>
  <si>
    <t xml:space="preserve">26-Sep-2025
 03:00 PM </t>
  </si>
  <si>
    <t>08-Oct-2025
 03:00 PM</t>
  </si>
  <si>
    <t>09-Sep-2025
 07:11 PM</t>
  </si>
  <si>
    <t>Corr_Date_Ext_&amp;_Response to Pre-BID-Queries-29-Sep
Corr_ Link_Pre-Bid Meeting -25-Sep</t>
  </si>
  <si>
    <t xml:space="preserve">PQ- Qualified by TISPL
</t>
  </si>
  <si>
    <t>Bhopal SCRB PHQ TABLET  MP</t>
  </si>
  <si>
    <t xml:space="preserve"> 05-May-2025 12:00 PM</t>
  </si>
  <si>
    <t xml:space="preserve"> 04-Oct-2025
 06:00 PM</t>
  </si>
  <si>
    <t xml:space="preserve"> 06-Oct-2025
 11:00 AM</t>
  </si>
  <si>
    <t>Corr. _Date_Ext.-29-Sep
Corr. _For Technical Changes-19-Sep
Corr. _Date_Ext-18-Sep
Corr. _Date_Ext.- 18-Aug, 30-Jul, 01-July, 16-Jun, 30-May, 14-May</t>
  </si>
  <si>
    <t>Waiting for Response 
PQ - NQ in Experience Criteria
TQ - Under discussion</t>
  </si>
  <si>
    <t>Bhopal SCRB PHQ  Network Items MP</t>
  </si>
  <si>
    <t>04-Oct-2025
 05:00 PM</t>
  </si>
  <si>
    <t>06-Oct-2025
 11:00 AM</t>
  </si>
  <si>
    <t>Corr._Date _Ext.-29-Sep</t>
  </si>
  <si>
    <t>Bhubaneswar AIIMS  WLAN –Traffic Segmentation GEM</t>
  </si>
  <si>
    <t>02-Sep-2025
 03:00 AM</t>
  </si>
  <si>
    <t xml:space="preserve"> 03-Oct-2025
 6:00 PM</t>
  </si>
  <si>
    <t xml:space="preserve"> 03-Oct-2025
 6:30 PM</t>
  </si>
  <si>
    <t>Corr._Date _Ext. &amp; Changes-26-Sep
Corr._Date _Ext-22-Sep
'Corr._Date _Ext-16-Sep
Corr. _for Pre -Bid - 27-Aug</t>
  </si>
  <si>
    <t xml:space="preserve">PQ-TQ Qualified by TISPL
</t>
  </si>
  <si>
    <t>26-Sep-2025
 11:00 AM</t>
  </si>
  <si>
    <t>27-Sep-2025
 11:30 AM</t>
  </si>
  <si>
    <t>BG/DD/NEFT/
RTGS</t>
  </si>
  <si>
    <t>PQ- NQ- PQ-2 (Turnover)
Payment -  OK</t>
  </si>
  <si>
    <t>25-Sep-2025
 04:05 PM</t>
  </si>
  <si>
    <t>25-Sep-2025
 04:10 PM</t>
  </si>
  <si>
    <t>'NO Corrigendum</t>
  </si>
  <si>
    <t>PQ - Not Qualified</t>
  </si>
  <si>
    <t>Indore IRPU SAN Storage based Computing Setup MP</t>
  </si>
  <si>
    <t>12-Aug-2025
10:00 AM</t>
  </si>
  <si>
    <t>25-Sep-2025
 02:30 PM</t>
  </si>
  <si>
    <t>26-Sep-2025
 02:30 PM</t>
  </si>
  <si>
    <t xml:space="preserve">Demand Draft </t>
  </si>
  <si>
    <t>Corr. __Changes &amp; Date_Ext-10-Sep</t>
  </si>
  <si>
    <t>PQ-TQ Qualified by TISPL</t>
  </si>
  <si>
    <t>04-Sep-2025 
 11:30 AM</t>
  </si>
  <si>
    <t>22-Sep-2025
 05:00 PM</t>
  </si>
  <si>
    <t>26-Sep-2025
 11:30 AM</t>
  </si>
  <si>
    <t>12-Sep-2025
  11:00 AM</t>
  </si>
  <si>
    <t>22-Sep-2025
 4:00 PM</t>
  </si>
  <si>
    <t>22-Sep-2025
 4:30 PM</t>
  </si>
  <si>
    <t>Corr._Response_Date_Ext-18-Sep</t>
  </si>
  <si>
    <t>02-Sep-2025
 12:00 PM</t>
  </si>
  <si>
    <t>17-Sep-2025
 06:55 PM</t>
  </si>
  <si>
    <t>19-Sep-2025
 06:55 PM</t>
  </si>
  <si>
    <t>Corr. __Date_Ext-16-Sep
Corr_for_Changes-04-Sep</t>
  </si>
  <si>
    <t xml:space="preserve">PQ-'TQ- Not Qualified </t>
  </si>
  <si>
    <t>26-Aug-2025
12:30 PM</t>
  </si>
  <si>
    <t>17-Sep-2025 05:30 PM</t>
  </si>
  <si>
    <t>19-Sep-2025 10:30 AM</t>
  </si>
  <si>
    <t>Corr._Date_Ext-&amp; -Changes-03-Sep</t>
  </si>
  <si>
    <t>PQ- NQ in PQ -B (ii) (Construction Turnover)</t>
  </si>
  <si>
    <t>Punjab ICT Vidhan Sabha Curved Video Walls in  Punjab</t>
  </si>
  <si>
    <t>16-Sep-2025
 05:00 PM</t>
  </si>
  <si>
    <t>18-Sep-2025
 10:00 AM</t>
  </si>
  <si>
    <t>PQ-TQ Qualified by TISPL ,SISPL
Payment - Ok</t>
  </si>
  <si>
    <t>01-Sep-2025
 12:30</t>
  </si>
  <si>
    <t xml:space="preserve">	15-Sep-2025
 05:00 PM</t>
  </si>
  <si>
    <t>16-Sep-2025
 10:00 AM</t>
  </si>
  <si>
    <t>Dmant Draft</t>
  </si>
  <si>
    <t>Qualified By OEM Based</t>
  </si>
  <si>
    <t>Bhopal MPSEDC Smart Rack (V2) (Q2) GEM</t>
  </si>
  <si>
    <t>5 Aug- 2025, 12:30  PM</t>
  </si>
  <si>
    <t>15-Sep-2025
 03:00 PM</t>
  </si>
  <si>
    <t>15-Sep-2025
 03:30 PM</t>
  </si>
  <si>
    <t>Corr._Date _Ext - 08-Sep
Corr. __Publish Representations -04-Sep
Corr._Date _Ext-26-Aug
'Corr._Date _Ext-19-Aug
Corr. _ Revised RFP- 19-Aug</t>
  </si>
  <si>
    <t>PQ- Qualify by TISPL</t>
  </si>
  <si>
    <t>09-Sep-2025 
 10:00 AM</t>
  </si>
  <si>
    <t>09-Sep-2025 
 10:30 AM</t>
  </si>
  <si>
    <t xml:space="preserve">Corr. __Publish Representation - 26 - Aug
</t>
  </si>
  <si>
    <t>PQ- Qualified via OEM
Payment - Ok</t>
  </si>
  <si>
    <t>12-Sep-2025
 07:00 PM</t>
  </si>
  <si>
    <t>12-Sep-2025
 07:30 PM</t>
  </si>
  <si>
    <t>Corr. __Date_Ext. - 18-Aug</t>
  </si>
  <si>
    <t xml:space="preserve">PQ- NQ in PQ </t>
  </si>
  <si>
    <t>Ujjain UDA Muncipal Supply of Wireless Devices MP</t>
  </si>
  <si>
    <t>08-Sep-2025
 05:00 PM</t>
  </si>
  <si>
    <t>09-Sep-2025
 05:05 PM</t>
  </si>
  <si>
    <t>Bhopal MP Police - RHQ GIS Mapping RA GEM</t>
  </si>
  <si>
    <t xml:space="preserve"> 01-Sep-2025 05:00 PM</t>
  </si>
  <si>
    <t xml:space="preserve"> 01-Sep-2025 05:30 PM</t>
  </si>
  <si>
    <t xml:space="preserve">Corr_Date_Ext-22-Aug
Corr. _1 Revised RFP 22-Aug
</t>
  </si>
  <si>
    <t>PQ- N2D PQ - 03 (Experience)
Payment - Ok</t>
  </si>
  <si>
    <t xml:space="preserve"> 19-Aug-2025 11:00 AM</t>
  </si>
  <si>
    <t xml:space="preserve"> 26-Aug-2025 11:00 AM</t>
  </si>
  <si>
    <t xml:space="preserve"> 27-Aug-2025 11:00 AM</t>
  </si>
  <si>
    <t>Corr._for changes Form No. II Date-20-Aug
NO Corrigendum</t>
  </si>
  <si>
    <t>PQ- Qualified by SISPL
Payment - Ok</t>
  </si>
  <si>
    <t>Raebareli Modern Coach Factory IP based Video surveillance system in LHB coaches</t>
  </si>
  <si>
    <t xml:space="preserve"> 29-Jul-2025  11:00 AM</t>
  </si>
  <si>
    <t xml:space="preserve"> 23-Aug-2025 11:00 PM</t>
  </si>
  <si>
    <t>Corr. _1 Revised Documents (3) - 06-Aug</t>
  </si>
  <si>
    <t>Gwalior GSCDCL Smart Public Address System 2nd Call MP</t>
  </si>
  <si>
    <t xml:space="preserve"> 14-Aug-2025
03:00 PM</t>
  </si>
  <si>
    <t xml:space="preserve"> 23-Aug-2025 05:30 PM</t>
  </si>
  <si>
    <t xml:space="preserve"> 25-Aug-2025 05:30 PM</t>
  </si>
  <si>
    <t>Jodhpur Division NWR CCTV cameras</t>
  </si>
  <si>
    <t>18-Aug-2025
  03:00 PM</t>
  </si>
  <si>
    <t>PQ Qualiefied by TISPL
Payment -  OK</t>
  </si>
  <si>
    <t xml:space="preserve">Raebareli Modern Coach Factory CCTV surveillance system </t>
  </si>
  <si>
    <t>18-Aug-2025
  03:30 PM</t>
  </si>
  <si>
    <t xml:space="preserve">West Bengal ER Integrated Security Surveillance System </t>
  </si>
  <si>
    <t>09-Aug-2025
  12:00 PM</t>
  </si>
  <si>
    <t xml:space="preserve">Corr._Retender Doc. - 19-Jul </t>
  </si>
  <si>
    <t>Bhopal RHQ MP Police GIS Software (V2) (Q2) RA GEM</t>
  </si>
  <si>
    <t>18-Jul-2025
  12:00 PM</t>
  </si>
  <si>
    <t>08-Aug-2025
  05:00 PM</t>
  </si>
  <si>
    <t>08-Aug-2025
  05:30 PM</t>
  </si>
  <si>
    <t>Corr._Changes (2)- 20-Jul 
Corr._Representations - 24-Jul</t>
  </si>
  <si>
    <t>PQ - N2D PQ-01</t>
  </si>
  <si>
    <t>Ranchi Women Child Development &amp; Social Security Department Television (TV) (V2) (Q2) GEM</t>
  </si>
  <si>
    <t>01-Jul-2025
04:00 PM</t>
  </si>
  <si>
    <t xml:space="preserve"> 05-Aug-2025 06:00 PM</t>
  </si>
  <si>
    <t xml:space="preserve"> 05-Aug-2025 06:30 PM</t>
  </si>
  <si>
    <t>Corr._Revised RFP &amp; Date _Ext - 22-Jul
Corr._Date _Ext- 02-Aug, 14- July</t>
  </si>
  <si>
    <t>PQ Qualiefied by SISPL
Payment -  OK</t>
  </si>
  <si>
    <t>Bhopal Barkatullah University Computer &amp; Laptop MP</t>
  </si>
  <si>
    <t xml:space="preserve"> 16-Jul-2025 </t>
  </si>
  <si>
    <t xml:space="preserve"> 16-Jul-2025 02:00 PM</t>
  </si>
  <si>
    <t xml:space="preserve"> 05-Aug-2025 04:00 PM</t>
  </si>
  <si>
    <t xml:space="preserve"> 06-Aug-2025 02:00 PM</t>
  </si>
  <si>
    <t>Corr._Tech. Changes - 01-Aug
Corr._Tech. Changes &amp; Date_Ext - 26-Jul</t>
  </si>
  <si>
    <t>Bhopal MPSEDC E-Gate Based DigiPass Access Control System MP</t>
  </si>
  <si>
    <t xml:space="preserve"> 17-Jul-2025</t>
  </si>
  <si>
    <t xml:space="preserve"> 30-Jun-2025 03:00 PM</t>
  </si>
  <si>
    <t xml:space="preserve"> 31-Jul-2025 03:00 PM</t>
  </si>
  <si>
    <t xml:space="preserve"> 01-Aug-2025 03:00 PM</t>
  </si>
  <si>
    <t>online</t>
  </si>
  <si>
    <t>Corr. __Date_Ext.-24-Jul, 04-Jul
Corr_Changes- 11-Jul
Corr._Pre-bid Queries/Response - 11-Jul</t>
  </si>
  <si>
    <t>PQ- NQ- PQ-3 (Experience)
Payment -  OK</t>
  </si>
  <si>
    <t>Bhopal Indian Army CCTV Camera System (V3) GEM</t>
  </si>
  <si>
    <t xml:space="preserve"> 31-Jul-2025 02:00 PM</t>
  </si>
  <si>
    <t xml:space="preserve"> 31-Jul-2025 02:30 PM</t>
  </si>
  <si>
    <t>Corr._Representations - 18-Jul</t>
  </si>
  <si>
    <t>PQ Qualiefied by Infobase
Payment -  OK</t>
  </si>
  <si>
    <t>Bhopal MPSEDC GPS Based Vehicle Tracking System MP</t>
  </si>
  <si>
    <t xml:space="preserve"> 16-Jul-2025 01:04 PM</t>
  </si>
  <si>
    <t xml:space="preserve">  01-Aug-2025 03:00 PM</t>
  </si>
  <si>
    <t>Corri._Changes &amp; Tech Pre-bid- 22-Jul</t>
  </si>
  <si>
    <t>Not Qualifying as a Lead Bidder
Payment -  OK</t>
  </si>
  <si>
    <t>Jabalpur M.P. Medical Science University CCTV Survellance System and UPS MP</t>
  </si>
  <si>
    <t>09-Jul-2025
  12:30 PM</t>
  </si>
  <si>
    <t xml:space="preserve"> 31-Jul-2025 06:00 PM</t>
  </si>
  <si>
    <t xml:space="preserve"> 05-Aug-2025 11:00 AM</t>
  </si>
  <si>
    <t>Pre-bid Response - 23-Jul
Corr._Date _Ext- 	16-Jul</t>
  </si>
  <si>
    <t>Jaipur Rajasthan Council of School Education ICT Lab</t>
  </si>
  <si>
    <t xml:space="preserve"> 27-Jan-2025
03:00 PM</t>
  </si>
  <si>
    <t>30-Jul-2025 01:00 PM</t>
  </si>
  <si>
    <t>30-Jul-2025 04:00 PM</t>
  </si>
  <si>
    <t>Corr._Technical Changes - 22-Jul, 12-May
Corr._Date_Ext.- 08-July, 02-July, 27-Jun, 22-Jun, 17-Jun, 12-Jun, 02-Jun, 12-May, 09-Apr, 23-Apr. 09-Apr, 27-Mar, 19-Mar, 11-Mar, 03-Mar, 13-Feb</t>
  </si>
  <si>
    <t>Bhopal MPSEDC Drone-As-A-Service (DaaS) MP</t>
  </si>
  <si>
    <t xml:space="preserve"> 29-Jun-2025
11:30 AM</t>
  </si>
  <si>
    <t xml:space="preserve"> 30-Jun-2025
11:30 AM</t>
  </si>
  <si>
    <t xml:space="preserve"> 29-Jul-2025 03:30 PM</t>
  </si>
  <si>
    <t xml:space="preserve"> 30-Jul-2025 03:30 PM</t>
  </si>
  <si>
    <t>Corr._Changes - 22-Jul, 08-Jul
Corr._Online Pre Bid Meeting - 27-Jun</t>
  </si>
  <si>
    <t>PQ- NQ
Payment -  OK</t>
  </si>
  <si>
    <t>Jabalpur Smart city Limited 2nd call CMC ITMS MP</t>
  </si>
  <si>
    <t xml:space="preserve"> 14-Jul-2025 03:00 PM </t>
  </si>
  <si>
    <t xml:space="preserve"> 28-Jul-2025 05:30 PM</t>
  </si>
  <si>
    <t xml:space="preserve"> 29-Jul-2025 05:30 PM</t>
  </si>
  <si>
    <t>Corr._Pre Bid Responses- 26-Jul
Corr._Date _Ext_- 23-Jul</t>
  </si>
  <si>
    <t>PQ- Qualify by SISPL
Payment -  OK</t>
  </si>
  <si>
    <t xml:space="preserve"> 04-Jul-2025 03:00 PM</t>
  </si>
  <si>
    <t xml:space="preserve"> 30-Jul-2025 03:00 PM</t>
  </si>
  <si>
    <t>DD/ BG/FDR</t>
  </si>
  <si>
    <t>Corr._Date _Ext- 	16-Jul</t>
  </si>
  <si>
    <t>Faridabad NHPC Limited Active LED Display System RA GEM</t>
  </si>
  <si>
    <t xml:space="preserve"> 25-Jul-2025 
06:00 PM</t>
  </si>
  <si>
    <t xml:space="preserve"> 25-Jul-2025 
06:30 PM</t>
  </si>
  <si>
    <t>BD/ Banker’s Cheque/BG/ Insurance Surety Bond</t>
  </si>
  <si>
    <t>Corr._Date _Ext.- 15-Jul
Corr._Changes - 15-Jul, 15-Jul</t>
  </si>
  <si>
    <t>PQ - N2D PQ- 1.3 (Similar Work)</t>
  </si>
  <si>
    <t>Surat AAI CCTV SYSTEM GEM</t>
  </si>
  <si>
    <t xml:space="preserve"> 22-Jul-2025 03:00 PM</t>
  </si>
  <si>
    <t xml:space="preserve"> 22-Jul-2025 03:30 PM</t>
  </si>
  <si>
    <t>No</t>
  </si>
  <si>
    <t>NEFT/RTGS</t>
  </si>
  <si>
    <t>Corr._Revised ATC - 01-Jul
Corr._Changes - 01-Jul</t>
  </si>
  <si>
    <t>PQ Qualified by SISPL
Payment -  OK</t>
  </si>
  <si>
    <t>Kolkata DCSWB 400 Body Worn Camera without SIM CARD WB</t>
  </si>
  <si>
    <t xml:space="preserve"> 14-Jul-2025 01:00 PM </t>
  </si>
  <si>
    <t xml:space="preserve"> 21-Jul-2025 06:30 PM</t>
  </si>
  <si>
    <t xml:space="preserve"> 23-Jul-2025 06:35 PM</t>
  </si>
  <si>
    <t>Corr._Clarification - 17-Jul</t>
  </si>
  <si>
    <t>PQ-NQ (Query Need to Send)</t>
  </si>
  <si>
    <t>Jhabua Supply of  Interactive Panels with CPU (Q2) GEM</t>
  </si>
  <si>
    <t xml:space="preserve"> 17-July-2025
06:00 PM</t>
  </si>
  <si>
    <t xml:space="preserve"> 17-July-2025
06:30 PM</t>
  </si>
  <si>
    <t>PQ Qualiefied TISPL, SISPL, ISISPL
TQ - Under discussion'Infobase</t>
  </si>
  <si>
    <t xml:space="preserve">M P Pollution Control Board 
E 5 Sector Paryawaran Parisar Arera Colony Bhopal 462016 </t>
  </si>
  <si>
    <t>Jaipur Rajasthan Police IT Infrastructure for ICJS project</t>
  </si>
  <si>
    <t xml:space="preserve"> 11-Jun-2025</t>
  </si>
  <si>
    <t xml:space="preserve"> 06-Jun-2025
11:00 AM</t>
  </si>
  <si>
    <t xml:space="preserve"> 11-Jul-2025 04:00 PM</t>
  </si>
  <si>
    <t xml:space="preserve"> 11-Jul-2025 05:00 PM</t>
  </si>
  <si>
    <t>Corr_Date_Ext-02-Jul-2025
Corr._Tech. Chng &amp; Date _Extn.- 23-Jun</t>
  </si>
  <si>
    <t>PQ- Qualify by SISPL 
Payment -  OK</t>
  </si>
  <si>
    <t xml:space="preserve">Bihar Public Service Commission BPSC CCTV Surveillance services </t>
  </si>
  <si>
    <t xml:space="preserve"> 24-Jun-2025 03:00 PM</t>
  </si>
  <si>
    <t xml:space="preserve"> 07-Jul-2025 03:00 PM</t>
  </si>
  <si>
    <t xml:space="preserve"> 07-Jul-2025 04:00 PM</t>
  </si>
  <si>
    <t>'Corr. __Date_Ext 05-July
Corr. __Date_Ext. - 1-July</t>
  </si>
  <si>
    <t>waiting for Query Response 
PQ Qualiefied 
Payment -  OK</t>
  </si>
  <si>
    <t>Ahmedabad SCADL Dashcam along with AI based solution for surveillance</t>
  </si>
  <si>
    <t xml:space="preserve"> 23-May-2025 05:00 PM</t>
  </si>
  <si>
    <t xml:space="preserve"> 23-May-2025 04:00 PM</t>
  </si>
  <si>
    <t xml:space="preserve"> 05-Jul-2025 05:00 PM</t>
  </si>
  <si>
    <t xml:space="preserve"> 05-Jul-2025 06:00 PM</t>
  </si>
  <si>
    <t>Corr._Date _Extn.- 20-Jun, 04-Jun</t>
  </si>
  <si>
    <t>Milan patel (head consultant) - 9725052720 
Apurva solanki (DGM operations) - 9328198732
Contact Details	9374514391</t>
  </si>
  <si>
    <t>Delhi Metro Rail Corporation Limited DMRC Upgradation of CCTV system CPPP</t>
  </si>
  <si>
    <t xml:space="preserve"> 15-May-2025 05:00 PM</t>
  </si>
  <si>
    <t xml:space="preserve"> 16-May2025 11:00 AM</t>
  </si>
  <si>
    <t>RTGS, NEFT &amp; IMPS</t>
  </si>
  <si>
    <t>Corr. _Date_Ext.- 26-Jun
Corr. __Date_Ext.&amp; Addendum- 11-Jun, 03-Jun</t>
  </si>
  <si>
    <t>PQ- NQ in Experience Criteria
Payment -  OK</t>
  </si>
  <si>
    <t>Bhopal MP Pollution Control Board Tablet PC MP</t>
  </si>
  <si>
    <t xml:space="preserve"> 27-May-2025
03:00 PM</t>
  </si>
  <si>
    <t xml:space="preserve"> 28-May-2025
03:00 PM</t>
  </si>
  <si>
    <t>Tech Pre-Bid- 11-Jun
Corr. __Date_Ext. - 02-Jun</t>
  </si>
  <si>
    <t>PQ - NQ 
TQ - Under discussion</t>
  </si>
  <si>
    <t>Shillong Assam Rifles Central Armed Police Forces Camera GEM</t>
  </si>
  <si>
    <t xml:space="preserve"> 04-Jul-2025 05:00 PM</t>
  </si>
  <si>
    <t xml:space="preserve"> 04-Jul-2025 05:30 PM</t>
  </si>
  <si>
    <t xml:space="preserve">DD/FDR/ Banker’s Cheque </t>
  </si>
  <si>
    <t>PQ Qualiefied
Payment -  OK</t>
  </si>
  <si>
    <t>Bhopal MPSEDC Directorate of Agriculture Vindhyachal Bhavan LAN Network MP</t>
  </si>
  <si>
    <t xml:space="preserve"> 01-Jul-2025 03:00 PM</t>
  </si>
  <si>
    <t xml:space="preserve"> 02-Jul-2025 03:00 PM</t>
  </si>
  <si>
    <t>PQ- NQ in PQ - 07 (MTCTE
Compliance)
Payment -  OK</t>
  </si>
  <si>
    <t>Noida Metro Rail Corporation Ltd. CAMC of CCTV System UP</t>
  </si>
  <si>
    <t xml:space="preserve"> 10-Jun-2025
05:30 PM</t>
  </si>
  <si>
    <t xml:space="preserve"> 11-Jun-2025
11:30 AM</t>
  </si>
  <si>
    <t xml:space="preserve"> 01-Jul-2025 03:30 PM</t>
  </si>
  <si>
    <t>Varanasi Nagar Nigam Surveillance Cameras at Namo Ghat UP</t>
  </si>
  <si>
    <t xml:space="preserve"> 27-Jun-2025 05:00 PM</t>
  </si>
  <si>
    <t xml:space="preserve"> 28-Jun-2025 05:00 PM</t>
  </si>
  <si>
    <t>FDR/DD/BG/ RTGS/NEFT/ IMPS</t>
  </si>
  <si>
    <t>GEM/2025/B/6575075</t>
  </si>
  <si>
    <t>EOI Guwahati Transport Department Provide Solutions for Monitoring Assam</t>
  </si>
  <si>
    <t xml:space="preserve"> 20-May-2025 11:30 AM </t>
  </si>
  <si>
    <t xml:space="preserve"> 30-May-2025 03:00 PM</t>
  </si>
  <si>
    <t xml:space="preserve"> 31-May-2025 03:00 PM</t>
  </si>
  <si>
    <t>Corr._tech_prebid_Response -27-May
Corr._Changes- 27-May</t>
  </si>
  <si>
    <t>Patna AIIMS Bullet Camera RA GEM</t>
  </si>
  <si>
    <t xml:space="preserve"> 02-Jun-2025 03:00 PM</t>
  </si>
  <si>
    <t xml:space="preserve"> 28-Jun-2025 04:00 PM</t>
  </si>
  <si>
    <t xml:space="preserve"> 28-Jun-2025 04:30 PM</t>
  </si>
  <si>
    <t>This Tender is low budget tender and also this tender have RA Clause</t>
  </si>
  <si>
    <t>As per the Recent Corrigendum we sent Date Extension request to the dept. but date is not extended till date</t>
  </si>
  <si>
    <t>Bhopal MP Pollution Control Board Laptop MP</t>
  </si>
  <si>
    <t xml:space="preserve"> 22-Apr-2025
03:00 PM</t>
  </si>
  <si>
    <t xml:space="preserve"> 23-Apr-2025
03:00 PM</t>
  </si>
  <si>
    <t xml:space="preserve"> 27-May-2025 03:00 PM</t>
  </si>
  <si>
    <t>Corr._tech_prebid_Response- 06-Apr</t>
  </si>
  <si>
    <t>In this tender we have some Technical Issues and this tender is Locked by someone other</t>
  </si>
  <si>
    <t>Bhopal MP Pollution Control Board Multifucntion Machine (Printer) - Colour MP</t>
  </si>
  <si>
    <t>In this tender have some Technical Issues</t>
  </si>
  <si>
    <t>Bhopal MP Pollution Control Board Multifucntion Machine (Printer) -Mono MP</t>
  </si>
  <si>
    <t>Sagar Higher Education Camera for CCTV System (V3) (Q2)</t>
  </si>
  <si>
    <t xml:space="preserve"> 27-May-2025 02:00 PM</t>
  </si>
  <si>
    <t xml:space="preserve"> 27-May-2025 02:30 PM</t>
  </si>
  <si>
    <t>Due to EMD Approving Reasons we not able to bid this Tender</t>
  </si>
  <si>
    <t>Gwalior Smart City Development Corp. Ltd. Upgradation of City CCTV Surveillance MP</t>
  </si>
  <si>
    <t xml:space="preserve"> 03-May-2025 05:30 PM</t>
  </si>
  <si>
    <t xml:space="preserve"> 05-May-2025 11:00 AM</t>
  </si>
  <si>
    <t xml:space="preserve"> 26-May-2025 05:30 PM</t>
  </si>
  <si>
    <t xml:space="preserve"> 27-May-2025 05:30 PM</t>
  </si>
  <si>
    <t>Corr._tech_prebid_Reply- 13-May
Corr._Technical Bid -13-May</t>
  </si>
  <si>
    <t>In this tender have some Technical Issues thus we not bid this project</t>
  </si>
  <si>
    <t>Bathinda Indian Army PTZ Camera, NVR 16, PC All in one, LED TV RA GEM</t>
  </si>
  <si>
    <t xml:space="preserve">	12-May-2025 09:00 AM</t>
  </si>
  <si>
    <t xml:space="preserve"> 26-May-2025 05:00 PM</t>
  </si>
  <si>
    <t>In this tender we have some Technical Challenges</t>
  </si>
  <si>
    <t>Bhopal Commissioner Land Records and Settlement Digitization of Legacy Records MP</t>
  </si>
  <si>
    <t xml:space="preserve"> 15-May-2025</t>
  </si>
  <si>
    <t xml:space="preserve"> 15-May-2025
03:00 PM</t>
  </si>
  <si>
    <t xml:space="preserve"> 26-May-2025 03:00 PM</t>
  </si>
  <si>
    <t>Corr._Date_Ext.-20-May
Corr._Pre bid queries responses-20-May</t>
  </si>
  <si>
    <t>Not Qualifying as a Lead Bidder</t>
  </si>
  <si>
    <t>Mathura-Vrindavan MVDA CCTV, PA system, and ITMS UP</t>
  </si>
  <si>
    <t xml:space="preserve"> 28-Mar-2025 </t>
  </si>
  <si>
    <t xml:space="preserve"> 28-Mar-2025 12:30 PM</t>
  </si>
  <si>
    <t xml:space="preserve"> 24-May-2025 05:00 PM</t>
  </si>
  <si>
    <t xml:space="preserve"> 26-May-2025 02:00 PM</t>
  </si>
  <si>
    <t>Corr._Date_Ext.-14-May, 28-Apr, 17-Apr
Corr._Pre-Bid Query Resp.- 11-Apr</t>
  </si>
  <si>
    <t>This tender is in our Funnel tracker, but due some Reasons Department Cancel this Tender</t>
  </si>
  <si>
    <t>Chandigarh International Airport Limited SCCTV System GEM RA</t>
  </si>
  <si>
    <t xml:space="preserve">	07-May-2025 03:00 PM</t>
  </si>
  <si>
    <t xml:space="preserve">	22-May-2025 02:00 PM</t>
  </si>
  <si>
    <t xml:space="preserve">	22-May-2025 02:30 PM</t>
  </si>
  <si>
    <t>Online through RTGS / internet banking</t>
  </si>
  <si>
    <t>Corr._Pre-Bid Meeting - 03-Apr</t>
  </si>
  <si>
    <t>In This tender Rakesh Sir is working on that and we attendes the Pre-Bid Meeting Virtually we raised our queries but department not publish any Corrigendum or Clarrification and this tender is not live on GEM Portal.
Due to STQC Certificate Reasons this tender is going to be scrap or department may release new ATC Document - Rakesh Sir</t>
  </si>
  <si>
    <t>Bhopal Minor Forest Produce Processing and Research Center CCTV System MP</t>
  </si>
  <si>
    <t xml:space="preserve"> 14-May-2025
03:00 PM</t>
  </si>
  <si>
    <t xml:space="preserve"> 21-May-2025 03:00 PM</t>
  </si>
  <si>
    <t xml:space="preserve"> 22-May-2025 03:00 PM</t>
  </si>
  <si>
    <t>This tender is in our (Nisha Mam) Funnel tracker, Himanshu sir attends the Pre-Bid Meeting but Department said this tender is going to be Cancelled due to Civil work reasons</t>
  </si>
  <si>
    <t>Bhopal IISER Drone with optical camera and accessories MP</t>
  </si>
  <si>
    <t xml:space="preserve"> 15-May-2025 03:00 PM</t>
  </si>
  <si>
    <t xml:space="preserve"> 16-May-2025 03:00 PM</t>
  </si>
  <si>
    <t>Corr. __Date_Ext. - 13-May</t>
  </si>
  <si>
    <t>PQ- NQ in PQ-02
In this tender we are Not Qualified in Organizational Experience</t>
  </si>
  <si>
    <t>Bhopal SDERF HCDDM Thermal imaging camera MP</t>
  </si>
  <si>
    <t xml:space="preserve"> 12-May-2025 03:00 PM</t>
  </si>
  <si>
    <t xml:space="preserve"> 13-May-2025 03:30 PM</t>
  </si>
  <si>
    <t xml:space="preserve">PQ- NQ in (PQ-6) Experience </t>
  </si>
  <si>
    <t>Sangeeta Devendra Kumar, Divisional commandant (SDERF MP)Noorbag camp jahangirabad, Bhopal M.P.
Phone: 7049163458, E-mail: sangita.devendra@mp.gov.in</t>
  </si>
  <si>
    <t>Bhopal Higher Education Dept. ICT Equipment Desktop and Laptop MP</t>
  </si>
  <si>
    <t xml:space="preserve"> 17-Jun-2025
02:00 PM</t>
  </si>
  <si>
    <t xml:space="preserve"> 14-Jul-2025 12:00 PM</t>
  </si>
  <si>
    <t xml:space="preserve"> 15-Jul-2025 03:00 PM</t>
  </si>
  <si>
    <t>Corr._Date_Ext.- 	27-Jun</t>
  </si>
  <si>
    <t>NO -GO (NK)
PQ Qualiefied by TISPL 
Payment -  OK</t>
  </si>
  <si>
    <t>Bhopal MPSEDC Laptop, Desktop, Workstations and Multi-Functional Machine (MFM)</t>
  </si>
  <si>
    <t xml:space="preserve"> 17-Jun-2025 03:00 PM</t>
  </si>
  <si>
    <t>15-July -2025
  03:00 pm</t>
  </si>
  <si>
    <t xml:space="preserve"> 16-Jul-2025
 03:00 PM</t>
  </si>
  <si>
    <t>Corr. __Date_Ext-10-July
Corr. __Date_Ext - 04-Jul
Corr. _Pre Bid Response- 24-Jun
Corr._Tech. Chng - 24-Jun</t>
  </si>
  <si>
    <t>SURAT AIRPORTS AUTHORITY OF INDIA SITC of SCCTV System</t>
  </si>
  <si>
    <t>16-July -2025
02:00</t>
  </si>
  <si>
    <t>16-July-2025
02:30</t>
  </si>
  <si>
    <t>Corr._Technical Changes 1-July-2025</t>
  </si>
  <si>
    <t xml:space="preserve">
Not Visible in Portal
PQ Qualiefied by TISPL</t>
  </si>
  <si>
    <t>West Bengal SCRB Home And Hill Affairs Dept. Camera , UPS &amp; Camera GEM RA</t>
  </si>
  <si>
    <t>21-Apr-2025
01:00 PM</t>
  </si>
  <si>
    <t xml:space="preserve"> 07-May-2025 02:00 PM</t>
  </si>
  <si>
    <t xml:space="preserve"> 07-May-2025 02:30 PM</t>
  </si>
  <si>
    <t>Corr._Revised ATC-22 Apr
Corr._Date _Ext_-30-Apr, 22 Apr</t>
  </si>
  <si>
    <t>PQ- NQ in Camera Experience Criteria
We share our queries but department not Responded</t>
  </si>
  <si>
    <t xml:space="preserve">Bathinda PPHC Body Worn Cameras 150 Nos. Punjab </t>
  </si>
  <si>
    <t xml:space="preserve"> 05-May-2025
11:00 AM</t>
  </si>
  <si>
    <t xml:space="preserve"> 06-May-2025
11:00 AM</t>
  </si>
  <si>
    <t>PQ Qualiefied 
TQ - Under discussion</t>
  </si>
  <si>
    <t>Nava Raipur Atal Nagar Vikas Pradhikaran (NRANVP) Outdoor video wall CHIPS</t>
  </si>
  <si>
    <t xml:space="preserve"> 28-Apr-2025 03:00 PM</t>
  </si>
  <si>
    <t xml:space="preserve"> 29-Apr-2025 04:00 PM</t>
  </si>
  <si>
    <t>Both</t>
  </si>
  <si>
    <t>Corr._Date_Ext.-15-Apr</t>
  </si>
  <si>
    <t>MR  Kamlesh Kumar  Verma ( EE (Electrical ))
Office Phone : + 91 771 2211008, Mobile No. : +91-9685530490
Mail ID. : eee1.nranvp@cg.gov.in</t>
  </si>
  <si>
    <t>Bhopal Co-operation Department Madhya Pradesh Entry and Mid Level Desktop Computer GeM RA (V2) (Q2) MP</t>
  </si>
  <si>
    <t xml:space="preserve"> 09-Apr-2025 03:00 PM</t>
  </si>
  <si>
    <t xml:space="preserve"> 25-Apr-2025 05:00 PM</t>
  </si>
  <si>
    <t xml:space="preserve"> 19-Apr-2025 05:30 PM</t>
  </si>
  <si>
    <t>Corr._Revised ATC-17 Apr
Corr._Date _Ext_-17 Apr
Corr._Representation- 16-Apr</t>
  </si>
  <si>
    <t>Narsinghgarh Rajgarh-Nagar Palika  Town Area CCTV Based Surveillance, Smart City Framework, PA System &amp; Outdoor LED MP</t>
  </si>
  <si>
    <t xml:space="preserve"> 24-Apr-2025 05:30 PM</t>
  </si>
  <si>
    <t xml:space="preserve"> 25-Apr-2025 05:35 PM</t>
  </si>
  <si>
    <t>PQ- Qualify by Info
Payment -  OK</t>
  </si>
  <si>
    <t>Bhopal Minor Forest Produce Processing and Research Center CCTV system MP</t>
  </si>
  <si>
    <t xml:space="preserve"> 24-Apr-2025 03:00 PM</t>
  </si>
  <si>
    <t xml:space="preserve"> 25-Apr-2025 03:00 PM</t>
  </si>
  <si>
    <t>(0755) 2970629,  2970629, 4331459 
Website: www.vindhyherbals.in
 , Email: mfpparc@gmail.com</t>
  </si>
  <si>
    <t>Secl Bilaspur Chhattisgarh CCTV Surveillance System (V4) GEM RA</t>
  </si>
  <si>
    <t xml:space="preserve"> 23-Apr-2025 08:00 PM</t>
  </si>
  <si>
    <t xml:space="preserve"> 23-Apr-2025 08:30 PM</t>
  </si>
  <si>
    <t>Corr._Representation- 19-Apr</t>
  </si>
  <si>
    <t>Nawada Town CCTV based Surveillance System Bihar</t>
  </si>
  <si>
    <t xml:space="preserve"> 18-Mar-2025</t>
  </si>
  <si>
    <t xml:space="preserve"> 19-03-2025 11:00 AM</t>
  </si>
  <si>
    <t xml:space="preserve"> 22-Apr-2025 05:00 PM</t>
  </si>
  <si>
    <t xml:space="preserve"> 22-Apr-2025 05:30 PM</t>
  </si>
  <si>
    <t xml:space="preserve"> </t>
  </si>
  <si>
    <t>Corr._Date_Ext.-15-Apr, 04-Apr, 27-Mar
PreBid Replies</t>
  </si>
  <si>
    <t>Sri Vivek Kumar Nirala (Project Lead)	- 8527979500</t>
  </si>
  <si>
    <t>Delhi Sashastra Seema Bal (SSB) Body Worn Camera GEM</t>
  </si>
  <si>
    <t xml:space="preserve"> 26-Mar-2025 11:00 AM</t>
  </si>
  <si>
    <t xml:space="preserve"> 19-Apr-2025 12:00 PM</t>
  </si>
  <si>
    <t xml:space="preserve"> 19-Apr-2025 12:30 PM</t>
  </si>
  <si>
    <t>Corr._Date_Ext.-15-Apr, 09-Apr</t>
  </si>
  <si>
    <t>PQ- Qualify by RS
Payment -  OK</t>
  </si>
  <si>
    <t>Bhopal Van Vihar National Park MP Forest Department Night Vision Thermal Drone</t>
  </si>
  <si>
    <t xml:space="preserve">27-Mar-2025 03:00 PM </t>
  </si>
  <si>
    <t>18-Apr-2025 04:00 PM</t>
  </si>
  <si>
    <t xml:space="preserve"> 19-Apr-2025 04:00 PM</t>
  </si>
  <si>
    <t>Corr. _Changes in Specs- 09-Apr
Corr. _Date_Ext.-09-Apr, 04-Apr, 03-Apr</t>
  </si>
  <si>
    <t>Challenge in Demonstration Reason
PQ- Qualify by RS
Payment -  OK</t>
  </si>
  <si>
    <t>Noapara Kolkata CCTV Surveillance System Metro Railway IREPS</t>
  </si>
  <si>
    <t xml:space="preserve"> 16-Apr-2025 03:00 PM</t>
  </si>
  <si>
    <t>Delhi Training And Technical Education Dept. Audio, Led Video Wall &amp; Webcasting system GEM RA</t>
  </si>
  <si>
    <t xml:space="preserve"> 12-Apr-2025 05:00 PM</t>
  </si>
  <si>
    <t xml:space="preserve"> 12-Apr-2025 05:30 PM</t>
  </si>
  <si>
    <t>Representations- 03-Apr</t>
  </si>
  <si>
    <t>Uttrakhand Haldwani ITMS &amp; CCC IPMU (Urban Sector) UK</t>
  </si>
  <si>
    <t>27-Feb-2025 11:30 AM</t>
  </si>
  <si>
    <t>11-Apr-2025 12:00 PM</t>
  </si>
  <si>
    <t>11-Apr-2025 12:30 PM</t>
  </si>
  <si>
    <t xml:space="preserve">Corr._for Amend-5-Apr, 2-Apr
'Corr. For Pre-bid reply- 24-Mar
Corr. _Clarification Changes-24-Mar
Corr._Date _Ext-19-Mar
</t>
  </si>
  <si>
    <t>PQ/TQ - Not Qualified. 
Payment -  Need to Discuss</t>
  </si>
  <si>
    <t>Bhopal NICSI Vidhan Sabha IT Infrastructure GEM RA</t>
  </si>
  <si>
    <t xml:space="preserve"> 17 Mar-2025 05;30 PM</t>
  </si>
  <si>
    <t xml:space="preserve"> 09-Apr-2025 10:00 AM</t>
  </si>
  <si>
    <t xml:space="preserve"> 09-Apr-2025 10:30 AM</t>
  </si>
  <si>
    <t>Corr._Date_Ext.- 4-Apr
'Corr._Query Resp- 21-Mar
Corr._Pre-Bid Meeting Date_Ext.-  07-Mar,  08-Mar,  15-Mar,  17-Mar
Corr._Date_Ext.- 28-Mar, 07-Mar</t>
  </si>
  <si>
    <t>PQ- Qualify by NK
Payment -  OK</t>
  </si>
  <si>
    <t>Shri Swadesh Kumar Shrivastava (General Manager)- 07552554600 swadesh.sh@nic.in</t>
  </si>
  <si>
    <t>Bhopal MP Police PHQ Special Branch Smart Conferencing Room</t>
  </si>
  <si>
    <t>26-Dec-2024 05:00 PM</t>
  </si>
  <si>
    <t>02-Jan-2024
11:00 AM</t>
  </si>
  <si>
    <t xml:space="preserve"> 08-Apr-2025 04:00 PM</t>
  </si>
  <si>
    <t xml:space="preserve"> 09-Apr-2025 04:00 PM</t>
  </si>
  <si>
    <t>Corr._Changes- 27-Mar
Corr._Date_Ext.- 25-Mar, 10-Mar, 25-Feb, 10-Feb, 28-Jan, 13-Jan</t>
  </si>
  <si>
    <t>Narendra Gotke (Sub-Inspector)
9713417632</t>
  </si>
  <si>
    <t xml:space="preserve">Bhopal MP Police PHQ Special Branch Modern War Room </t>
  </si>
  <si>
    <t>Bhopal MPSEDC VC Setup GEM</t>
  </si>
  <si>
    <t xml:space="preserve"> 27-02-2025  12:00 PM</t>
  </si>
  <si>
    <t xml:space="preserve"> 08-Apr-2025  02:00 PM</t>
  </si>
  <si>
    <t xml:space="preserve"> 08-Apr-2025  02:30 </t>
  </si>
  <si>
    <t>Date_Ext.-  23-Mar
Corr._Changes &amp; Dt_Ext.-27-Mar, 13-Mar</t>
  </si>
  <si>
    <t>Not Participated due to non qualification
PQ- Not Qualify - PQ- 03
Payment -  OK</t>
  </si>
  <si>
    <t>Bhopal PHQ SB CAMC of Connecting CCTV Control Room MP</t>
  </si>
  <si>
    <t xml:space="preserve"> 31-Mar-2025 05:00 PM</t>
  </si>
  <si>
    <t xml:space="preserve"> 01-Apr-2025 05:00 PM</t>
  </si>
  <si>
    <t>PQ- Qualify by PSK
Payment -  OK</t>
  </si>
  <si>
    <t>Delhi NICSI IT Projects RA GEM- I</t>
  </si>
  <si>
    <t xml:space="preserve"> 26-Mar-2025  04:00 PM</t>
  </si>
  <si>
    <t>28-Mar-2024 11:00 AM</t>
  </si>
  <si>
    <t>28-Mar-2024 11:30 AM</t>
  </si>
  <si>
    <t>Corr._Date_Ext. &amp; Pre-Bid-21-Mar</t>
  </si>
  <si>
    <t>91-11-26105054 , +91-11-22900523, +91-11-22900525</t>
  </si>
  <si>
    <t>Delhi NICSI IT Projects RA GEM- II</t>
  </si>
  <si>
    <t>91-11-26105054 , +91-11-22900523, +91-11-22900526</t>
  </si>
  <si>
    <t>West Bengal ECL Biometric Attendance System RA GEM</t>
  </si>
  <si>
    <t>27-Mar-2024 06:00 PM</t>
  </si>
  <si>
    <t>27-Mar-2024 06:30 PM</t>
  </si>
  <si>
    <t>Representations- 20-03-2025</t>
  </si>
  <si>
    <t>PQ- NQ IN PQ-01
Payment - OK</t>
  </si>
  <si>
    <t>Bhavnagar Municipal Corporation GIL IT Infrastructure GEM RA</t>
  </si>
  <si>
    <t xml:space="preserve"> 13-Mar-2025</t>
  </si>
  <si>
    <t xml:space="preserve"> 17-Mar-2025  12:00 PM</t>
  </si>
  <si>
    <t xml:space="preserve"> 27-Mar-2025 06:00 PM</t>
  </si>
  <si>
    <t xml:space="preserve"> 27-Mar-2025 06:30 PM</t>
  </si>
  <si>
    <t>Ranchi JAPIT High Court IT Networking Equipments Jharkhand</t>
  </si>
  <si>
    <t xml:space="preserve"> 03-Mar-2025 03:30 PM </t>
  </si>
  <si>
    <t>04-Mar-2025 
03:30 PM</t>
  </si>
  <si>
    <t xml:space="preserve"> 24-Mar-2025 05:00 PM</t>
  </si>
  <si>
    <t xml:space="preserve"> 26-Mar-2025 03:30 PM</t>
  </si>
  <si>
    <t>Corr._Query Resp.- 12-Mar
Corr._Date_Ext.-07-Mar</t>
  </si>
  <si>
    <t>Delhi QCI Audio Visual System GEM</t>
  </si>
  <si>
    <t xml:space="preserve"> 19-Feb-2025
11:00 AM</t>
  </si>
  <si>
    <t xml:space="preserve"> 19-Mar-2025  06:00 PM</t>
  </si>
  <si>
    <t xml:space="preserve"> 19-Mar-2025  06:30 PM</t>
  </si>
  <si>
    <t>RTGS/ NEFT</t>
  </si>
  <si>
    <t>Corr._Pre-Bid_Resp &amp; Dt_Ext.- 13-Mar, 05-Mar
Corr._Pre-Bid Meeting- 17-Feb</t>
  </si>
  <si>
    <t>PQ- NQ 
Payment - OK</t>
  </si>
  <si>
    <t>Amritsar PPHC CCTV City Surveillance Systems Punjab</t>
  </si>
  <si>
    <t xml:space="preserve"> 21-Feb-2025
09:30 AM</t>
  </si>
  <si>
    <t xml:space="preserve"> 21-Feb-2025
11:00 AM</t>
  </si>
  <si>
    <t xml:space="preserve"> 18-Mar-2025 11:00 AM</t>
  </si>
  <si>
    <t xml:space="preserve"> 19-Mar-2025 11:00 AM</t>
  </si>
  <si>
    <t>Corr._Changes-01-Mar</t>
  </si>
  <si>
    <t>Bhopal PHQ Provisioning Dashboard Camera (V2) (Q2) RA GEM</t>
  </si>
  <si>
    <t xml:space="preserve"> 14-Mar-2025 08:00 PM</t>
  </si>
  <si>
    <t xml:space="preserve"> 14-Mar-2025 08:30 PM</t>
  </si>
  <si>
    <t>Bopal, Ahmedabad ISRO IT Infrastructure for Integrated Data Centre (IDC) GEM</t>
  </si>
  <si>
    <t xml:space="preserve"> 11-Feb-2025 02:00 PM </t>
  </si>
  <si>
    <t xml:space="preserve"> 13-Mar-2025 02:00 PM</t>
  </si>
  <si>
    <t xml:space="preserve"> 13-Mar-2025 02:30 PM</t>
  </si>
  <si>
    <t>Corr._Changes &amp; Date_Ext.-25-Feb</t>
  </si>
  <si>
    <t>PQ- NQ in 06 rack Experience
Payment - OK</t>
  </si>
  <si>
    <t>Amravati Supdt Of Police Integrated Security Surveillance  System GEM-I</t>
  </si>
  <si>
    <t xml:space="preserve"> 26-Feb-2025 01:00 PM</t>
  </si>
  <si>
    <t xml:space="preserve"> 26-Feb-2025 01:30 PM</t>
  </si>
  <si>
    <t>Amravati Supdt Of Police Integrated Security Surveillance  System GEM-II</t>
  </si>
  <si>
    <t>Amravati Supdt Of Police Integrated Security Surveillance  System GEM-III</t>
  </si>
  <si>
    <t xml:space="preserve">Bhopal MP Police PHQ Special Branch Body Worm Camera </t>
  </si>
  <si>
    <t>Q</t>
  </si>
  <si>
    <t>19-Dec-2024
05:00 PM</t>
  </si>
  <si>
    <t>20-Dec-2024
11:00 AM</t>
  </si>
  <si>
    <t xml:space="preserve"> 25-Feb-2025 04:00 PM</t>
  </si>
  <si>
    <t xml:space="preserve"> 27-Feb-2025 04:00 PM</t>
  </si>
  <si>
    <t>BG/Banker’s Cheque/DD/FDR</t>
  </si>
  <si>
    <t>Corr._Addendum - 13-Feb
Corr._Date_Ext.- 10-Feb, 28-Jan, 13-Jan, 27-Dec</t>
  </si>
  <si>
    <t>PQ- Qualify by &amp; SISPL
Payment -  OK</t>
  </si>
  <si>
    <t>West Bengal ECL Integrated Command and Control Centre RA GEM</t>
  </si>
  <si>
    <t xml:space="preserve"> 21-Feb-2025 06:00 PM</t>
  </si>
  <si>
    <t xml:space="preserve"> 21-Feb-2025 06:30 PM</t>
  </si>
  <si>
    <t>Corr._Revised ATC- 13-Feb</t>
  </si>
  <si>
    <t>Pre-NIT Meeting is scheduled on dt.- 24-Feb, 11:00 AM (Offline)
PQ- NQ - PQ-3
Payment - OK</t>
  </si>
  <si>
    <t>Patna COMFED ICCC</t>
  </si>
  <si>
    <t>15-Jan-2025 05:30 PM</t>
  </si>
  <si>
    <t>16-Jan-2025
11:00 AM</t>
  </si>
  <si>
    <t>01-Feb-2025 05:00 PM</t>
  </si>
  <si>
    <t>03-Feb-2025 05:30 PM</t>
  </si>
  <si>
    <t>NEFT/ RTGS/ Net Banking/ Credit / Debit Card</t>
  </si>
  <si>
    <t>Corr._Pre Bid_Clarification-20-Jan</t>
  </si>
  <si>
    <t>PQ- Qualifying, by SISPL
TQ - 38 Marks out of 40 Marks and rest 60 Marks are Subjective
Payment - OK</t>
  </si>
  <si>
    <t>Bhopal Smart City Development Corp. Ltd EV chargers MP</t>
  </si>
  <si>
    <t xml:space="preserve"> 21-Feb-2025 11:00 AM</t>
  </si>
  <si>
    <t xml:space="preserve"> 21-Feb-2025 01:00 PM</t>
  </si>
  <si>
    <t>Nagpur Safe and Smart City Project NSSCDCL Maharashtra</t>
  </si>
  <si>
    <t xml:space="preserve"> 14-Jan-2025 05:00 PM</t>
  </si>
  <si>
    <t xml:space="preserve"> 15-Jan-2025 03:00 PM</t>
  </si>
  <si>
    <t xml:space="preserve"> 20-Feb-2025 05:00 PM</t>
  </si>
  <si>
    <t xml:space="preserve"> 21-Feb-2025 05:00 PM</t>
  </si>
  <si>
    <t>Corr._Dt_Ext.- 14-Feb
Amendment and Clarification- 30-Jan
Corr._Updt_BOQ-  30-Jan
tech_prebid-22-Jan</t>
  </si>
  <si>
    <t>PQ- Not Given
TQ- NQ 
Payment - OK</t>
  </si>
  <si>
    <t xml:space="preserve"> 18-Feb-2025 07:00 PM</t>
  </si>
  <si>
    <t xml:space="preserve"> 18-Feb-2025 07:30 PM</t>
  </si>
  <si>
    <t>Corr._Date_Ext.- 03-Feb
Corr._Revised RFP- 03-Feb</t>
  </si>
  <si>
    <t>New Tender Added</t>
  </si>
  <si>
    <t>Patna Bihar Sharif BSEDC O&amp;M of ICCC Bihar</t>
  </si>
  <si>
    <t xml:space="preserve"> 04-Feb-2025 11:00 AM</t>
  </si>
  <si>
    <t xml:space="preserve"> 18-Feb-2025  05:00 PM</t>
  </si>
  <si>
    <t xml:space="preserve"> 19-Feb-2025  05:30 PM</t>
  </si>
  <si>
    <t>BG/ DD/ Online</t>
  </si>
  <si>
    <t>PQ- Qualify by TISPL
TQ-  Qualify by TISPL
Payment -  OK</t>
  </si>
  <si>
    <t>Bhopal MP Police PHQ Special Branch X-Ray Baggage System</t>
  </si>
  <si>
    <t xml:space="preserve"> 17-Feb-2025 04:00 PM</t>
  </si>
  <si>
    <t xml:space="preserve"> 18-Feb-2025 12:00 PM</t>
  </si>
  <si>
    <t>Corr._Date_Ext.- 11-Feb, 28-Jan, 13-Jan</t>
  </si>
  <si>
    <t>Bhopal SDRF Thermal Imager (Q2) GEM</t>
  </si>
  <si>
    <t xml:space="preserve"> 14-Feb-2025  06:00 PM</t>
  </si>
  <si>
    <t xml:space="preserve"> 14-Feb-2025  06:30 PM</t>
  </si>
  <si>
    <t>PQ- Qualify by OEM Criteria
Payment -  OK</t>
  </si>
  <si>
    <t>Ahmedabad Smart City Development Limited Surveillance System</t>
  </si>
  <si>
    <t>15-Dec-2024  05:00 PM</t>
  </si>
  <si>
    <t>02-Dec-2024  03:00 PM</t>
  </si>
  <si>
    <t>12-Feb-2024 05:00 PM</t>
  </si>
  <si>
    <t>Corr._Date_Ext.- 15-Jan</t>
  </si>
  <si>
    <t>PQ- NQ in PQ-6 &amp; 7 
TQ - Loosing Marks in TQ - 4 &amp; 5
Payment - OK</t>
  </si>
  <si>
    <t>Jabalpur Indore and Gwalior High Court MP Police CCTV Surveillance</t>
  </si>
  <si>
    <t>21-Nov-2024 05:00 PM</t>
  </si>
  <si>
    <t>22-Nov-2024
11:00 AM</t>
  </si>
  <si>
    <t xml:space="preserve"> 10-Feb-2025 04:00 PM</t>
  </si>
  <si>
    <t xml:space="preserve"> 11-Feb-2025 04:00 PM</t>
  </si>
  <si>
    <t>Corr._Date_Ext.- 17-Jan, 27-Dec, 10-Dec
Corr._Updt_BOQ- 29-Nov</t>
  </si>
  <si>
    <t>Waiting for Corrigendum
PQ- Qualify by SISPL
Payment -  OK</t>
  </si>
  <si>
    <t>Bid Opening Date and Time</t>
  </si>
  <si>
    <t>Reference ID</t>
  </si>
  <si>
    <t>Prayagraj Ministry Of Defence Video Recorder for CCTV System GEM</t>
  </si>
  <si>
    <t>08-Sep-2025
11:00 AM</t>
  </si>
  <si>
    <t>23-Sep-2025
1:00 PM</t>
  </si>
  <si>
    <t>23-Sep-2025
1:30 PM</t>
  </si>
  <si>
    <t xml:space="preserve">Corr._Date _Ext - 16-Sep </t>
  </si>
  <si>
    <t xml:space="preserve"> 23-Jul-2025 04:00 PM</t>
  </si>
  <si>
    <t>12-Sep-2025
 4:00 PM</t>
  </si>
  <si>
    <t>12-Sep-2025
 4:30 PM</t>
  </si>
  <si>
    <t>Corr_Publish Representations-08-Sep
Corr._Date _Ext &amp; Query Response-05-Sep
Corr._Date _Ext- 29-Aug
Corr._Date _Ext-21- Aug
Corr._Date _Ext- 14-Aug, 09-Aug, 05-Aug</t>
  </si>
  <si>
    <t>PQ Qualiefied by SISPL</t>
  </si>
  <si>
    <t>Dhurwa Ranchi JAPT Indoor Video Wall  RA GEM</t>
  </si>
  <si>
    <t xml:space="preserve">19-Sep2025  03:00 PM </t>
  </si>
  <si>
    <t>07-Oct-2025  03:00 PM</t>
  </si>
  <si>
    <t>07-Oct-2025  03:30 PM</t>
  </si>
  <si>
    <t>Demand Draft/ Bank Guarantee</t>
  </si>
  <si>
    <t>Corr_Date_Ext-08-Sep
Corr_Date_Ext-&amp; Changes - 26 - Aug
Corr_Date_Ext-&amp; Changes - 18-Aug
Corr_Date_Ext-&amp; Changes - Aug
Corr_Date_Ext-&amp; Changes -25-July
Corr_Date_Ext-&amp; Changes -18-July
Corr_Date_Ext-&amp; Changes - 11-July
Corr_Date_Ext-&amp; Changes - 4-July</t>
  </si>
  <si>
    <t>Kanpur CSJM University  Higher Education Department LED Wall Q2 RA GEM</t>
  </si>
  <si>
    <t>06-Sep-2025
 08:00 PM</t>
  </si>
  <si>
    <t>06-Sep-2025
 08:30 PM</t>
  </si>
  <si>
    <t>PQ- Qualified by TISPL, SISPL</t>
  </si>
  <si>
    <t>Kanpur Led Tender - which is due today 
Current status- Not bidding
Reason - No OEM product under this category is available on portal.
We have applied for extension also.</t>
  </si>
  <si>
    <t>Khandwa_MPP_SP_Khandwa_Supply of equipment_MP</t>
  </si>
  <si>
    <t>08-Sep-2025
 05:30 PM</t>
  </si>
  <si>
    <t>10-Sep-2025
 11:00 AM</t>
  </si>
  <si>
    <t xml:space="preserve">Nalanda Bihar ECR IP based Video Surveillance System </t>
  </si>
  <si>
    <t>06-Sep-2025
11:00 AM</t>
  </si>
  <si>
    <t>Mumbai CR IP based Video Surveillance system in EMU/MEMU/DEMU/ Coaches</t>
  </si>
  <si>
    <t xml:space="preserve"> 08-Sep-2025 12:00 PM</t>
  </si>
  <si>
    <t>Corr._Date _Ext-30-Aug
Corr._Date _Ext_-19-Aug
Corr. _1 Revised Documents (4) - 06-Aug</t>
  </si>
  <si>
    <t xml:space="preserve">Riva Jabalpur Division WCR CCTV Surveillance System </t>
  </si>
  <si>
    <t>08-Sep-2025
12:30 PM</t>
  </si>
  <si>
    <t>Samastipur  ECR Video Surveillance System ( VSS)</t>
  </si>
  <si>
    <t>10-Sep-2025
 03:00 PM</t>
  </si>
  <si>
    <t>Dibrugarh NFR Video Surveillance System 1710 LHB Coaches</t>
  </si>
  <si>
    <t xml:space="preserve"> 13-Aug-2025 11:00 AM</t>
  </si>
  <si>
    <t>11-Sep-2025 03:00</t>
  </si>
  <si>
    <t>Corr._Date _Ext-02-Aug</t>
  </si>
  <si>
    <t>Matunga CR Video Surveillance system in LHB coaches</t>
  </si>
  <si>
    <t xml:space="preserve"> 21-Aug-2025 11:00 AM</t>
  </si>
  <si>
    <t xml:space="preserve"> 15-Sep-2025  12:00 PM</t>
  </si>
  <si>
    <t>Jodhpur Division NWR CCTV cameras for 40 PRS locations</t>
  </si>
  <si>
    <t>15-Sep-2025
  03:00 PM</t>
  </si>
  <si>
    <t>Jhansi NCR Video Surveillance System(VSS) in coaches</t>
  </si>
  <si>
    <t>18-Sep-2025 
 11:00:AM</t>
  </si>
  <si>
    <t>Jhansi NCR Video Surveillance System in coaches</t>
  </si>
  <si>
    <t>18-Sep-2025
 11:00:AM</t>
  </si>
  <si>
    <t>Delhi NTRO Integrated Security and Surveillance RA GEM</t>
  </si>
  <si>
    <t>11-Aug-2025
11:00 AM</t>
  </si>
  <si>
    <t>03-Sep-2025
11:00 AM</t>
  </si>
  <si>
    <t>03-Sep-2025
11:30 AM</t>
  </si>
  <si>
    <t>Mumbai WR IP Based Video Surveillance System (VSS) in LHB coaches</t>
  </si>
  <si>
    <t xml:space="preserve"> 24-Jul-2025  11:00 AM</t>
  </si>
  <si>
    <t xml:space="preserve"> 29-Aug-2025 03:00 PM</t>
  </si>
  <si>
    <t>Corr._Changes &amp; MOM - 12-Aug
Corr._Date _Ext- 	02-Aug</t>
  </si>
  <si>
    <t xml:space="preserve">Mumbai WR IP Based Video Surveillance System (VSS) in ICF coaches </t>
  </si>
  <si>
    <t xml:space="preserve">Mumbai WR IP based Video Surveillance System (VSS) in EMU/MEMU/DEMU Coaches </t>
  </si>
  <si>
    <t xml:space="preserve"> 24-Jul-2025  03:00 PM</t>
  </si>
  <si>
    <t xml:space="preserve"> 29-Aug-2025 12:00 PM</t>
  </si>
  <si>
    <t>Corr._Pre Bid Meeting - 14-Aug
Corr._Changes - 13-Aug
Corr._Date _Ext- 	02-Aug</t>
  </si>
  <si>
    <t>Mathura Indian Army Body Worm Camera RA GEM</t>
  </si>
  <si>
    <t>30-Aug-2025
 03:00 PM</t>
  </si>
  <si>
    <t>30-Aug-2025
 03:30 PM</t>
  </si>
  <si>
    <t>PQ- Qualified by TISPL,SISPL
Payment - Ok</t>
  </si>
  <si>
    <t xml:space="preserve"> 12-Sep-2025 07:00 PM</t>
  </si>
  <si>
    <t xml:space="preserve"> 12-Sep-2025 07:30 PM</t>
  </si>
  <si>
    <t>Corr._Date _Ext- 18-Aug</t>
  </si>
  <si>
    <t>Bhopal MP Police - RHQ SCRB Layer 2 Access Switch (V2) (Q2) RA GEM</t>
  </si>
  <si>
    <t xml:space="preserve"> 27-Sep-2025 09:00 PM</t>
  </si>
  <si>
    <t xml:space="preserve"> 27-Sep-2025 09:30 PM</t>
  </si>
  <si>
    <t>Kerala Police Headquarters 540 Body Worn Camera System (Q2) GEM</t>
  </si>
  <si>
    <t xml:space="preserve"> 21-Aug-2025 03:00 PM</t>
  </si>
  <si>
    <t xml:space="preserve"> 21-Aug-2025 03:30 PM</t>
  </si>
  <si>
    <t>Dhanbad ECR Video Surveillance System (VSS) in coaches</t>
  </si>
  <si>
    <t xml:space="preserve"> 22-Aug-2025 05:00 PM</t>
  </si>
  <si>
    <t>Delhi Police Headquarters Centralized Monitoring System RA GEM</t>
  </si>
  <si>
    <t xml:space="preserve"> 26-Aug-2025 05:00 PM</t>
  </si>
  <si>
    <t xml:space="preserve"> 26-Aug-2025 05:30 PM</t>
  </si>
  <si>
    <t>DD/FDR/ Banker’s Cheque</t>
  </si>
  <si>
    <t>Delhi Indian Air Force CCTV Surveillance System RA GEM</t>
  </si>
  <si>
    <t xml:space="preserve"> 04-Aug-2025 12:00 PM</t>
  </si>
  <si>
    <t xml:space="preserve"> 16-Aug-2025 12:00 PM</t>
  </si>
  <si>
    <t xml:space="preserve"> 16-Aug-2025 12:30 PM</t>
  </si>
  <si>
    <t>PQ Qualiefied by SISPL
Payment -  Not Given</t>
  </si>
  <si>
    <t xml:space="preserve">Indore Indian Army VC Solutions RA GEM </t>
  </si>
  <si>
    <t xml:space="preserve"> 28-Jul-2025 03:00 PM</t>
  </si>
  <si>
    <t xml:space="preserve"> 28-Jul 2025 03:30 PM</t>
  </si>
  <si>
    <t>Corr._Representations - 16-Jul</t>
  </si>
  <si>
    <t>Raipur City ITMS, City Surveillance System &amp; ICCC CGSTATE</t>
  </si>
  <si>
    <t xml:space="preserve"> 30-June-2025</t>
  </si>
  <si>
    <t xml:space="preserve"> 01-July-2025</t>
  </si>
  <si>
    <t xml:space="preserve"> 21-Jul-2025 05:30 PM</t>
  </si>
  <si>
    <t xml:space="preserve"> 25-Jul-2025 05:30 PM</t>
  </si>
  <si>
    <t>Corr._Pre-bid Response 
Corr. __Date_Ext.</t>
  </si>
  <si>
    <t>Shivpuri - Interactive Panels with CPU (Q2) GEM</t>
  </si>
  <si>
    <t xml:space="preserve">  21-July-2025 11:00 AM</t>
  </si>
  <si>
    <t xml:space="preserve">  21-July-2025 11:30 AM</t>
  </si>
  <si>
    <t>DD/FD/Bank Cheque</t>
  </si>
  <si>
    <t>Tripura Power Transmission Limited Drone Surveillance Mechanism for monitoring</t>
  </si>
  <si>
    <t xml:space="preserve"> 28-Jul-2025 12:30 PM </t>
  </si>
  <si>
    <t xml:space="preserve"> 11-Aug-2025 05:00 PM</t>
  </si>
  <si>
    <t xml:space="preserve"> 12-Aug-2025 03:30 PM</t>
  </si>
  <si>
    <t>PQ/TQ - Not Qualified</t>
  </si>
  <si>
    <t>2025_POWER_63956_1</t>
  </si>
  <si>
    <t>Thane Municipal Corporation ICCC Maharashtra</t>
  </si>
  <si>
    <t xml:space="preserve"> 24-Apr-2025 03:00 PM </t>
  </si>
  <si>
    <t xml:space="preserve"> 17-Jul-2025 05:00 PM</t>
  </si>
  <si>
    <t xml:space="preserve"> 21-Jul-2025 03:00 PM</t>
  </si>
  <si>
    <t>Corr._Date _Ext- 	08-Jun, 28-Jun, 06-Jun, 28-May, 07-May</t>
  </si>
  <si>
    <t>Greater Noida Industrial Development Authority ISTMS UP</t>
  </si>
  <si>
    <t xml:space="preserve"> 18-Mar-2024</t>
  </si>
  <si>
    <t>22-Mar-2024  3:00 PM</t>
  </si>
  <si>
    <t xml:space="preserve"> 15-Jul-2025 05:00 PM</t>
  </si>
  <si>
    <t xml:space="preserve"> 17-Jul-2025 11:00 AM</t>
  </si>
  <si>
    <t>Corr_Date_Ext- 02-Jul
Corr. _Clarification Changes- 12-Jun, 14-Feb, 26-Dec
Query Response &amp; Updt RFP - 26-Dec
Date_Ext.- 17-Jun, 22-May, 01-May, 16-Apr, 26-Mar, 11-Mar, 27-Feb, 17-Feb, 04-Feb, 15-Jan, 26-Dec, 04-Dec, 19-Nov, 14-Oct,11-Sep, 21-Aug, 24-Jul, 05-Jul, 14-Jun, 30-May, 29-Apr, 16-Apr, 01-Apr</t>
  </si>
  <si>
    <t>Queries sent waiting for Response
PQ/TQ - Not Qualified. OEM PQ - Yes
Payment -  Need to Discuss</t>
  </si>
  <si>
    <t>Shri Ravi Kumar N.G., (IAS), Chief Executive Officer
91 120-2336004, +91 120-2336005 E-mail- ceo@gnida.in</t>
  </si>
  <si>
    <t>Indore UAD Muncipal Corporation Desktop Computer and All-In-one MP</t>
  </si>
  <si>
    <t xml:space="preserve"> 11-Jun-2025 12:30 PM </t>
  </si>
  <si>
    <t xml:space="preserve"> 30-Jun-2025 05:30 PM</t>
  </si>
  <si>
    <t xml:space="preserve"> 01-Jul-2025 06:00 PM</t>
  </si>
  <si>
    <t>Corr._Changes &amp; Date _Extn.- 21-Jun</t>
  </si>
  <si>
    <t>PQ Qualiefied 
Payment -  OK</t>
  </si>
  <si>
    <t>Gwalior -Nagar Palika Dabra - UAD Computers, Printers, LED Monitor, UPS etc. MP</t>
  </si>
  <si>
    <t xml:space="preserve"> 02-Jul-2025 05:30 PM</t>
  </si>
  <si>
    <t xml:space="preserve"> 04-Jul-2025 11:00 AM</t>
  </si>
  <si>
    <t>Corr. __Revised RFP  - 13-Jun</t>
  </si>
  <si>
    <t>Bhopal MP Pollution Control Board Online UPS (15 KVA) MP</t>
  </si>
  <si>
    <t>Bhopal Planning Economics And Statistics Dept. Tablet Computer (V2) (Q2)</t>
  </si>
  <si>
    <t xml:space="preserve"> 05-Jul-2025 06:30 PM</t>
  </si>
  <si>
    <t>Corr._Date_Ext.- 26-Jun
Corr._Changes - 27-Jun, 18-Jun</t>
  </si>
  <si>
    <t>Shivpuri CAPF Indo Tibetan Border Police (itbp) Body Worm Camera System RA GEM</t>
  </si>
  <si>
    <t xml:space="preserve"> 27-May-2025 11:00 AM</t>
  </si>
  <si>
    <t xml:space="preserve"> 28-Jun-2025 05:30 PM</t>
  </si>
  <si>
    <t>Corr._Representations- 24-Jun</t>
  </si>
  <si>
    <t>Bhopal Barkatullah University CCTV AND Networking MP</t>
  </si>
  <si>
    <t xml:space="preserve"> 30-Jun-2025 02:00 PM</t>
  </si>
  <si>
    <t xml:space="preserve"> 14-Jul-2025 04:00 PM</t>
  </si>
  <si>
    <t xml:space="preserve"> 15-Jul-2025 04:00 PM</t>
  </si>
  <si>
    <t>NO GO By HB sir due to Lock Case by OEM with other</t>
  </si>
  <si>
    <t>Bhopal Bank Of India Entry and Mid Level Desktop Computer (Q2) RA</t>
  </si>
  <si>
    <t xml:space="preserve"> 26-Jun-2025 11:00 AM</t>
  </si>
  <si>
    <t xml:space="preserve"> 26-Jun-2025 11:30 AM</t>
  </si>
  <si>
    <t>Corr._Date _Extn. &amp; Reprstion- 17-Jun</t>
  </si>
  <si>
    <t xml:space="preserve"> 13-Jun-2025 12:00 PM</t>
  </si>
  <si>
    <t xml:space="preserve"> 25 Jun, 2025 05:30 PM</t>
  </si>
  <si>
    <t xml:space="preserve"> 28 Jun, 2025 11:30 AM</t>
  </si>
  <si>
    <t>Corr. __Changes &amp; Addendum (04) - 20-Jun</t>
  </si>
  <si>
    <t>Bhopal Pt. Khushilal Sharma Government (Autonomous) Ayurveda College CCTV MP</t>
  </si>
  <si>
    <t xml:space="preserve"> 13-May-2025 02:00 PM</t>
  </si>
  <si>
    <t xml:space="preserve"> 25-Jun-2025 02:00 PM</t>
  </si>
  <si>
    <t xml:space="preserve"> 26-Jun-2025 02:10 PM</t>
  </si>
  <si>
    <t>Corr. _ Changes- 23-Jun
Corr._Date _Ext_-20-Jun. 28-May
Corr. _Clarification Changes- 20-Jun</t>
  </si>
  <si>
    <t>Not Bidded, Reason- No OEM complied
PQ- Qualify by SISPL
Payment -  OK</t>
  </si>
  <si>
    <t>Bhopal Directorate of Public Instruction Printers (A4) MP</t>
  </si>
  <si>
    <t xml:space="preserve"> 19-Jun-2025 11:30 AM </t>
  </si>
  <si>
    <t xml:space="preserve"> 07-Jul-2025 05:30 PM</t>
  </si>
  <si>
    <t>Corr. _Pre Bid Meeting Postponed- 02-Jun</t>
  </si>
  <si>
    <t>Mangrove Areas Forest Department CCTV Surveillance Maharashtra</t>
  </si>
  <si>
    <t>24-Sep-2024
06:00 PM</t>
  </si>
  <si>
    <t>25-Sep-2024
11:00 AM</t>
  </si>
  <si>
    <t xml:space="preserve"> 27-Jun-2025 01:00 PM</t>
  </si>
  <si>
    <t xml:space="preserve"> 30-Jun-2025 01:00 PM</t>
  </si>
  <si>
    <t>Corr._Date_Ext.- 27-May, 24-Apr, 25-Mar, 25-Feb, 23-Jan, 26-Dec, 29-Nov, 13-Nov, 29-Oct,18-Oct &amp; 11-Oct</t>
  </si>
  <si>
    <t xml:space="preserve">Queries sent waiting for Response
PQ- Qualified, TQ- NQ 
Payment - OK, </t>
  </si>
  <si>
    <t>Abhishek Desai- 80827 14695
Kunal Kasar- 022-69309286</t>
  </si>
  <si>
    <t>Delhi Technological University Digital Video System with LED outdoor Video Wall Delhi</t>
  </si>
  <si>
    <t xml:space="preserve"> 24-Jun-2025 02:00 PM</t>
  </si>
  <si>
    <t>Bhopal Vidhan Sabha MP State Legislative Assembly Secretariat All in One PC (V2) (Q2) GEM</t>
  </si>
  <si>
    <t xml:space="preserve"> 24-Jun-2025 02:30 PM</t>
  </si>
  <si>
    <t>Corr._Technical Changes - 16-Jun, 13-Jun
Corr._Date_Ext.- 16-Jun, 13-Jun</t>
  </si>
  <si>
    <t>Odisha OCAC Excise Department IP Based CCTV Surveillance System</t>
  </si>
  <si>
    <t xml:space="preserve"> 12-Jun-2025 03:00 PM</t>
  </si>
  <si>
    <t xml:space="preserve"> 27-Jun-2025 03:00 PM</t>
  </si>
  <si>
    <t>Corr.- 23-Jun</t>
  </si>
  <si>
    <t>NO GO BY HB Sir, Prama Lock Case with other Local Bidder
PQ- Qualify by SISPL 
Payment -  OK</t>
  </si>
  <si>
    <t>Bhopal Planning Economics And Statistics Dept. MFM, Line Interactive UPS with AVR, All in One PC (V2) (Q2) GEM</t>
  </si>
  <si>
    <t xml:space="preserve"> 23-Jun-2025 06:00 PM</t>
  </si>
  <si>
    <t xml:space="preserve"> 20-Jun-2025 06:30 PM</t>
  </si>
  <si>
    <t>Corr._Date _Extn.- 20-Jun</t>
  </si>
  <si>
    <t>Bhopal MP Police SB PHQ Multifunction Printer MP</t>
  </si>
  <si>
    <t xml:space="preserve"> 08-Jul-2025 04:00 PM</t>
  </si>
  <si>
    <t>NO GO BY HB Sir due To OEMS lock Case
PQ- Qualify by Infobase
Payment -  OK</t>
  </si>
  <si>
    <t>Shillong, IT Department Meghalaya State Data Centre Meghalaya</t>
  </si>
  <si>
    <t xml:space="preserve"> 16-Jun-2025 11:00 AM</t>
  </si>
  <si>
    <t xml:space="preserve"> 16-Jun-2025 03:00 PM</t>
  </si>
  <si>
    <t xml:space="preserve"> 23-Jul-2025 02:00 PM</t>
  </si>
  <si>
    <t>Corr. __Tender Fee Payment - 13-Jun
Corr. __Clarification &amp; Date _Extn.- 20-Jun</t>
  </si>
  <si>
    <t>NO GO BY HB Sir due To lock CasePQ- Qualify by TISPL 
Payment -  OK</t>
  </si>
  <si>
    <t>Bhopal Directorate of Public Instruction Desktop Computers MP</t>
  </si>
  <si>
    <t xml:space="preserve"> 18-Jun-2025
11:30 AM</t>
  </si>
  <si>
    <t xml:space="preserve"> 05-Jul-2025 05:30 PM</t>
  </si>
  <si>
    <t>Sagar Indian Army Establishment of Online exam center RA</t>
  </si>
  <si>
    <t xml:space="preserve"> 20-Jun-2025 09:00 PM</t>
  </si>
  <si>
    <t xml:space="preserve"> 20-Jun-2025 09:30 PM</t>
  </si>
  <si>
    <t>Indore School Education Department IT Equipments GEM</t>
  </si>
  <si>
    <t xml:space="preserve"> 20-Jun-2025 02:00 PM</t>
  </si>
  <si>
    <t xml:space="preserve"> 20-Jun-2025 02:30 PM</t>
  </si>
  <si>
    <t>FDR/ DD / Banker’s Cheque</t>
  </si>
  <si>
    <t>Delhi Niti Aayog Large Formate Display , Television with VC System GEM</t>
  </si>
  <si>
    <t xml:space="preserve"> 10-Jun-2025  11:00 AM</t>
  </si>
  <si>
    <t xml:space="preserve"> 19-Jun-2025 07:00 PM</t>
  </si>
  <si>
    <t xml:space="preserve"> 19-Jun-2025 07:30 PM</t>
  </si>
  <si>
    <t>Corr._Pre-Bid Meeting - 06-Jun, 03-Jun, 02-Jun</t>
  </si>
  <si>
    <t>Chitrakoot MGCGV supply of PPK Drone with base and complete software and hardware MP</t>
  </si>
  <si>
    <t xml:space="preserve"> 10-Jun-2025
11:00 AM</t>
  </si>
  <si>
    <t xml:space="preserve"> 18-Jun-2025 05:00 PM</t>
  </si>
  <si>
    <t>Jabalpur Madhya Pradesh High Court Desktop and Laptop Computers</t>
  </si>
  <si>
    <t xml:space="preserve"> 17-Jun-2025 06:00 PM</t>
  </si>
  <si>
    <t xml:space="preserve"> 19-Jun-2025 11:30 AM</t>
  </si>
  <si>
    <t>Lucknow Commercial Tax Department Body Worn Camera System (Q2) , Server (Q2) RA GEM</t>
  </si>
  <si>
    <t xml:space="preserve"> 16-Jun-2025 06:00 PM</t>
  </si>
  <si>
    <t xml:space="preserve"> 16-Jun-2025 06:30 PM</t>
  </si>
  <si>
    <t>Bhopal National Law Institute University TV Camera &amp; Video Recorder for CCTV System Q2 GEM</t>
  </si>
  <si>
    <t xml:space="preserve"> 14-Jun-2025 05:00 PM</t>
  </si>
  <si>
    <t xml:space="preserve"> 14-Jun-2025 05:30 PM</t>
  </si>
  <si>
    <t>Bhopal MP Police RHQ Integrated Blended Smart Solution &amp; Interactive Panel MP</t>
  </si>
  <si>
    <t xml:space="preserve"> 12-Jun-2025 05:00 PM</t>
  </si>
  <si>
    <t xml:space="preserve"> 13-Jun-2025 05:10 PM</t>
  </si>
  <si>
    <t>Varanasi VSCL Nagar Nigam Namo Ghat Surveillance Cameras UP</t>
  </si>
  <si>
    <t xml:space="preserve"> 12-Jun-2025 05:30 PM</t>
  </si>
  <si>
    <t>Corr._Date _Ext_-29-May
Corr._Pre Bid Meeting Link-20-May</t>
  </si>
  <si>
    <t>Department Inform that this tender is going to be Cancelled 
PQ-TQ - Qualify
Payment -  OK</t>
  </si>
  <si>
    <t>Jodhpur AIIMS CCTV Coverage and Surveillance system RA GEM</t>
  </si>
  <si>
    <t>28-Mar-2025
03:00 PM</t>
  </si>
  <si>
    <t xml:space="preserve"> 12-Jun-2025 03:30 PM</t>
  </si>
  <si>
    <t>DD/ FDR/ Bankers Cheque</t>
  </si>
  <si>
    <t>Corr._Date _Ext_-28-May, 13-May, 02-May, 21-Apr, 07 Apr</t>
  </si>
  <si>
    <t>We attend the pre-bid meeting,and expecting the Cooriegndum for Changes 
PQ- Qualify by SISPL
Payment -  OK</t>
  </si>
  <si>
    <t>Chennai Southern Railway Video Surveillance System (VSS) RA IREPS</t>
  </si>
  <si>
    <t xml:space="preserve"> 14-May-2025 10:00 AM</t>
  </si>
  <si>
    <t xml:space="preserve"> 10-Jun-2025 03:00 PM</t>
  </si>
  <si>
    <t>E -payment gateway</t>
  </si>
  <si>
    <t>07 - Corr. For Changes - 27-May
Corr._Date _Ext_-21-May</t>
  </si>
  <si>
    <t>Ahmedabad Division Western Railway Video wall IREPS</t>
  </si>
  <si>
    <t>PQ- NQ in PQ
Payment -  OK</t>
  </si>
  <si>
    <t>Delhi Meity Head Quarter Upgradation of Networking (LAN &amp; Voice) Data Centre GEM</t>
  </si>
  <si>
    <t xml:space="preserve"> 19-May-2025 03:00 PM</t>
  </si>
  <si>
    <t xml:space="preserve"> 09-Jun-2025 03:00 PM</t>
  </si>
  <si>
    <t xml:space="preserve"> 09-Jun-2025 03:30 PM</t>
  </si>
  <si>
    <t>DD/FDR/
Banker's Cheque</t>
  </si>
  <si>
    <t>Corr._Revised ATC - 28-May</t>
  </si>
  <si>
    <t>Bathinda PWD City Surveillance Punjab</t>
  </si>
  <si>
    <t xml:space="preserve"> 12-Jun-2025 10:00 AM</t>
  </si>
  <si>
    <t xml:space="preserve"> 12-Jun-2025 02:00 PM</t>
  </si>
  <si>
    <t>Locked by some one and Poor Payment Terms PQ Qualiefied by SISPL
Payment -  Not Cleared
Location - 56</t>
  </si>
  <si>
    <t>Uttarakhand Police Headquarter VC/Web Camera (V2) (Q2) , Professional Large Format Display (Q2) , Entry and Mid Level Desktop Computer GEM</t>
  </si>
  <si>
    <t xml:space="preserve"> 02-Jun-2025 05:00 PM</t>
  </si>
  <si>
    <t xml:space="preserve"> 13-Jun-2025 09:00 AM</t>
  </si>
  <si>
    <t xml:space="preserve"> 13-Jun-2025 09:30 AM</t>
  </si>
  <si>
    <t>Corr._Changes and Meeting Link - 02-Jun</t>
  </si>
  <si>
    <t>UP Rajya Vidyut Utpadan Nigam Limited (UPRVUNL) Network Equipment UP</t>
  </si>
  <si>
    <t xml:space="preserve"> 05-Jun-2025 01:00 PM</t>
  </si>
  <si>
    <t xml:space="preserve"> 09-Jun-2025 04:00 PM</t>
  </si>
  <si>
    <t>Corr._Date _Ext_-27-May, 21-May, 05-May
Corr._Changes and Date _Ext - 19-May</t>
  </si>
  <si>
    <t>Nava Raipur Atal Nagar Vikas Pradhikaran (NRANVP) Videowall CHIPS</t>
  </si>
  <si>
    <t xml:space="preserve"> 05-Jun-2025 03:00 PM</t>
  </si>
  <si>
    <t xml:space="preserve"> 06-Jun-2025 04:00 PM</t>
  </si>
  <si>
    <t>BD, BG, FDR</t>
  </si>
  <si>
    <t>Engineer in charge
Name : Mr. Kamlesh Kumar Verma - EE (Electrical )
Office Phone : + 91 771 2211008, Mobile No. : +91-9685530490
Mail ID. : eee1.nranvp@cg.gov.in</t>
  </si>
  <si>
    <t>Delhi Police Headquarters Local Area Networking (LAN)  RA GEM</t>
  </si>
  <si>
    <t xml:space="preserve"> 21-May-2025 11:00 AM</t>
  </si>
  <si>
    <t xml:space="preserve"> 03-Jun-2025 05:00 PM</t>
  </si>
  <si>
    <t xml:space="preserve"> 03-Jun-2025 05:30 PM</t>
  </si>
  <si>
    <t>Not Live on GEM Portal 
PQ- NQ
Payment -  Not Clearly Mention</t>
  </si>
  <si>
    <t>Patna BSEDC IT &amp; Non - IT equipment Bihar</t>
  </si>
  <si>
    <t xml:space="preserve"> 30-Apr-2025 12:00 PM</t>
  </si>
  <si>
    <t xml:space="preserve"> 03-Jun-2025 04:00 PM</t>
  </si>
  <si>
    <t xml:space="preserve">Corr._tech_prebid_Response
Corr._Changes and Date _Ext </t>
  </si>
  <si>
    <t>Udaipur Abhay Command Center CCTV O&amp;M Project Rajasthan</t>
  </si>
  <si>
    <t xml:space="preserve"> 23-Apr-2025 11:00 AM</t>
  </si>
  <si>
    <t xml:space="preserve"> 02-Jun-2025 06:00 PM</t>
  </si>
  <si>
    <t xml:space="preserve"> 03-Jun-2025 11:00 AM</t>
  </si>
  <si>
    <t>Corr._Date _Ext_-20-May, 09-May, 30-Apr</t>
  </si>
  <si>
    <t>Vidisha MP Forest Department Thermal Drone MP</t>
  </si>
  <si>
    <t xml:space="preserve"> 31-May-2025 06:00 PM</t>
  </si>
  <si>
    <t xml:space="preserve"> 02-Jun-2025 11:00 AM</t>
  </si>
  <si>
    <t>Etawah to Pilibhit MoRTH ATMS CPPP</t>
  </si>
  <si>
    <t>N2D</t>
  </si>
  <si>
    <t>30-May-2025
03:00 PM</t>
  </si>
  <si>
    <t xml:space="preserve"> 17-Jun-2025 11:00 AM</t>
  </si>
  <si>
    <t xml:space="preserve"> 18-Jun-2025 12:00 PM</t>
  </si>
  <si>
    <t>Qualification Criteria Not Clearly Mention
Need To Discuss</t>
  </si>
  <si>
    <t>Bhopal MP Warehousing and Logistics Corporation Providing Manpower for Security and CCTV Supervision</t>
  </si>
  <si>
    <t>NO GO</t>
  </si>
  <si>
    <t xml:space="preserve"> 19-May-2025
12:30 PM</t>
  </si>
  <si>
    <t>Corr._tech_prebid_Response</t>
  </si>
  <si>
    <t>This tender is for providing Manpower for Security and CCTV Supervision and Manpower Deploying Experience can bound us</t>
  </si>
  <si>
    <t>Ahemdabad Municipal Corporation GIS enabled MIS System CPPP</t>
  </si>
  <si>
    <t xml:space="preserve"> 07-May-2025
12:00 PM</t>
  </si>
  <si>
    <t xml:space="preserve"> 18-Jun-2025 03:30 PM</t>
  </si>
  <si>
    <t xml:space="preserve"> 18-Jun-2025 04:00 PM</t>
  </si>
  <si>
    <t>Not Qualifying in Experience Criteria</t>
  </si>
  <si>
    <t>2025_WBAMC_857433_1</t>
  </si>
  <si>
    <t>Ahmedabad Municipal Corporation Integrated Transit Management System (ITMS) &amp; Automated Fare Collection System (AFCS)</t>
  </si>
  <si>
    <t xml:space="preserve"> 08-May-2025
06:00 PM</t>
  </si>
  <si>
    <t xml:space="preserve"> 09-May-2025
12:00 PM</t>
  </si>
  <si>
    <t xml:space="preserve"> 05-Jun-2025 03:30 PM</t>
  </si>
  <si>
    <t>Corr._Date_Ext.-29-May</t>
  </si>
  <si>
    <t>Not Qualifying in PQ and Lossing marks in TQ</t>
  </si>
  <si>
    <t>Bhopal MP Board of Secondary Education CCTV arrangement MP</t>
  </si>
  <si>
    <t xml:space="preserve"> 06-Jun-2025 05:00 PM</t>
  </si>
  <si>
    <t xml:space="preserve"> 09-Jun-2025 11:00 AM</t>
  </si>
  <si>
    <t>NO GO By HB Sir - 28-May</t>
  </si>
  <si>
    <t>Odisha bhubaneswar Home Department Body worn Camera (V2) (Q2) RA GEM</t>
  </si>
  <si>
    <t>GEM/2025/B/6577277</t>
  </si>
  <si>
    <t>RR_PR_WC_2093_25-26_63</t>
  </si>
  <si>
    <t>T_25-26_VSS_01</t>
  </si>
  <si>
    <t>'Jhansi NCR Video Surveillance System(VSS) in coaches</t>
  </si>
  <si>
    <t>JHS-RCNK-M-VSS-25-26-23</t>
  </si>
  <si>
    <t>RR_PR_WC_2084_25-26_54</t>
  </si>
  <si>
    <t>WR-PL-ME-EST-655244</t>
  </si>
  <si>
    <t>Mumbai Western Railway IP Based Video Surveillance System (VSS) in LHB coaches</t>
  </si>
  <si>
    <t>WR-PL-ME-EST-656049A</t>
  </si>
  <si>
    <t xml:space="preserve">Mumbai Western Railway IP based Video Surveillance System (VSS) in EMU/MEMU/DEMU Coaches </t>
  </si>
  <si>
    <t>EL90-MX-2025-26-05</t>
  </si>
  <si>
    <t>MC-04-OPEN-2025-26</t>
  </si>
  <si>
    <t>DBWS-NIET-26-2025-26</t>
  </si>
  <si>
    <t>Danapur ECR IP Based Video Surveillance System (VSS) in Coaches</t>
  </si>
  <si>
    <t>MC-237-13-VSS</t>
  </si>
  <si>
    <t>Odisha Sambalpur Mahanadi Coalfields RA GEM</t>
  </si>
  <si>
    <t>GEM/2025/B/6611299</t>
  </si>
  <si>
    <t>GEM/2025/B/6578333</t>
  </si>
  <si>
    <t>SNT-JU-16-2025-26</t>
  </si>
  <si>
    <t>CRW-HRT-M-IP-VSS-25-26-1</t>
  </si>
  <si>
    <t>M-TC-28-08-2025</t>
  </si>
  <si>
    <t>2025_UAD_442694_1</t>
  </si>
  <si>
    <t>GEM/2025/B/6383126</t>
  </si>
  <si>
    <t>Ujjain UDA Muncipal Suuply of Wireless Devices MP</t>
  </si>
  <si>
    <t>2025_UAD_443519_2</t>
  </si>
  <si>
    <t>Kharagpur IIT Virtualization Software WB</t>
  </si>
  <si>
    <t>2025_DoHE_808105_1</t>
  </si>
  <si>
    <t xml:space="preserve">Allahabad Muncipal Public Computer Printer ,UPS </t>
  </si>
  <si>
    <t>2025_NNAMC_1070613_1</t>
  </si>
  <si>
    <t>Bhopal Higher Education Dr.Shyama Prasad Computer Photo Copy Machine</t>
  </si>
  <si>
    <t>2025_HED_448051_1</t>
  </si>
  <si>
    <t>2025_MPP_440513_2</t>
  </si>
  <si>
    <t>Kolkta West Bengal Body Worn Camera (V2) (Q2) RA GEM</t>
  </si>
  <si>
    <t>GEM/2025/B/6607363</t>
  </si>
  <si>
    <t xml:space="preserve">Tiruppuram Tamil Nadu Police ADGP CCTV Camera 442 Location </t>
  </si>
  <si>
    <t>2025_POLIS_598608</t>
  </si>
  <si>
    <t>https://tntenders.gov.in/</t>
  </si>
  <si>
    <t>Ranchi Gail India Data Wall Display (Q2) GEM</t>
  </si>
  <si>
    <t>GEM/2025/B/6603391</t>
  </si>
  <si>
    <t>GEM/2025/B/6379037</t>
  </si>
  <si>
    <t>GEM/2025/B/6525711</t>
  </si>
  <si>
    <t>Matunga CR IP based Video Surveillance system in ICF (AC, NAC &amp; GS) Coaches</t>
  </si>
  <si>
    <t>RR_PR_WC_2083_25-26_53</t>
  </si>
  <si>
    <t>M-200MCFRBLFURVSS</t>
  </si>
  <si>
    <t>Lucknow NR IP based Video Surveillance System (VSS) 1436 ICF Coaches RA</t>
  </si>
  <si>
    <t>2025-AMV-CandW-Etender-46</t>
  </si>
  <si>
    <t>Lucknow NR IP based Video Surveillance System (VSS) in 850 MEMU, DEMU &amp; EMU Coaches</t>
  </si>
  <si>
    <t>W-CB-CCTV-2025-02</t>
  </si>
  <si>
    <t>GEM/2025/B/6523871</t>
  </si>
  <si>
    <t>Delhi State Bank Of India CCTV (Q2) RA GEM</t>
  </si>
  <si>
    <t>GEM/2025/B/6532912</t>
  </si>
  <si>
    <t>Bhopal RHQ SCRB Layer 2 Access Switch (V2) (Q2) RA GEM</t>
  </si>
  <si>
    <t>Lucknow NR IP based Video Surveillance System (VSS) 3853 LHB coaches RA</t>
  </si>
  <si>
    <t>6S-45-TENDER-2025-26-JUDW</t>
  </si>
  <si>
    <t>GEM/2025/B/6242344</t>
  </si>
  <si>
    <t>SIG-504-NEWCCTV-2025</t>
  </si>
  <si>
    <t>SNT-JU-11-2025-26</t>
  </si>
  <si>
    <t>Bhopal Raja Bhoj Airport SCCTV System RA GEM</t>
  </si>
  <si>
    <t>GEM/2025/B/6352503</t>
  </si>
  <si>
    <t>GEM/2025/B/6446137</t>
  </si>
  <si>
    <t>Tripura Power Transmission Limited Drone Surveillance</t>
  </si>
  <si>
    <t xml:space="preserve">2025_POWER_63956_1	</t>
  </si>
  <si>
    <t>https://tripuratenders.gov.in/</t>
  </si>
  <si>
    <t>Patna National Institute Of Technology CCTV System (V2) GEM</t>
  </si>
  <si>
    <t>GEM/2025/B/6512887</t>
  </si>
  <si>
    <t xml:space="preserve">Nawada Town BSEDC CCTV based Surveillance System Bihar  </t>
  </si>
  <si>
    <t>Punjab PPHC City Surveillance and Traffic Management System Punjab</t>
  </si>
  <si>
    <t>2025_DHA_144521_1</t>
  </si>
  <si>
    <t>LRW-4-CCTV-RT-300-2025</t>
  </si>
  <si>
    <t>Prayagraj, DFCCIL CCTV Cameras &amp; ICCC GEM</t>
  </si>
  <si>
    <t>GEM/2025/B/6513360</t>
  </si>
  <si>
    <t>GEM/2025/B/6524369</t>
  </si>
  <si>
    <t>GEM/2025/B/6384249</t>
  </si>
  <si>
    <t>GEM/2025/B/6302269</t>
  </si>
  <si>
    <t xml:space="preserve">2025_BU_436193_1	</t>
  </si>
  <si>
    <t>Bilaspur SECL CCTV Camera Surveillance system RA GEM</t>
  </si>
  <si>
    <t>GEM/2025/B/6478663</t>
  </si>
  <si>
    <t>2025_SEDC_436774_1</t>
  </si>
  <si>
    <t>Punjab PPHC 164 nos. Body Worn Cameras for various Jails Punjab</t>
  </si>
  <si>
    <t>2025_DHA_143690_3</t>
  </si>
  <si>
    <t>Bhopal Directorate of Public Relation LED Video Wall Mobile Van Exhibition Work MP</t>
  </si>
  <si>
    <t>2025_DPR_437008_1</t>
  </si>
  <si>
    <t>2025_SEDC_432522_1</t>
  </si>
  <si>
    <t>2025_RCSCE_443726_1</t>
  </si>
  <si>
    <t>2025_MPMSU_434134_1</t>
  </si>
  <si>
    <t>2025_SEDC_432959_1</t>
  </si>
  <si>
    <t>Jabalpur Smart City 2nd call CMC ITMS MP</t>
  </si>
  <si>
    <t>2025_UAD_435603_1</t>
  </si>
  <si>
    <t>Gwalior Smart City Development Corp. Ltd. AMC Smart Public Address System</t>
  </si>
  <si>
    <t>2025_UAD_432672_1</t>
  </si>
  <si>
    <t>GEM/2025/B/6208564</t>
  </si>
  <si>
    <t>Gwalior DRDO Camera System GEM</t>
  </si>
  <si>
    <t>GEM/2025/B/6257488</t>
  </si>
  <si>
    <t>Gwalior BPCL CCTV cameras &amp; VMS GEM</t>
  </si>
  <si>
    <t>GEM/2025/B/6446715</t>
  </si>
  <si>
    <t xml:space="preserve">Indore Indian Army Video Wall RA GEM </t>
  </si>
  <si>
    <t>GEM/2025/B/6422787</t>
  </si>
  <si>
    <t>Anantnag JK Agriculture Cooperation And Farmers Welfare IT items GEM</t>
  </si>
  <si>
    <t>GEM/2025/B/6437471</t>
  </si>
  <si>
    <t>Dewas - Interactive Panels with CPU (Q2) GEM</t>
  </si>
  <si>
    <t>GEM/2025/B/6411717</t>
  </si>
  <si>
    <t>Bhopal NICSI MP Vidhan Sabha IT Infrastructure GEM</t>
  </si>
  <si>
    <t>GEM/2025/B/6382205</t>
  </si>
  <si>
    <t>Moradabad Smart City Limited MOHUA IP based video surveillance system UP</t>
  </si>
  <si>
    <t>2025_MSCL_1053860_1</t>
  </si>
  <si>
    <t>Dehradun (U-PREPARE) Thermal Imaging Cameras UK</t>
  </si>
  <si>
    <t>2025_GRID1_84370_1</t>
  </si>
  <si>
    <t>https://uktenders.gov.in/</t>
  </si>
  <si>
    <t>GEM/2025/B/6382104</t>
  </si>
  <si>
    <t>2025_DCSWB_873046_1</t>
  </si>
  <si>
    <t>https://eproc.cgstate.gov.in/</t>
  </si>
  <si>
    <t>GEM/2025/B/6267293</t>
  </si>
  <si>
    <t>2025_SEDC_431172_1</t>
  </si>
  <si>
    <t>2025_TMC_116972_1</t>
  </si>
  <si>
    <t xml:space="preserve">https://mahatenders.gov.in/ </t>
  </si>
  <si>
    <t>Gandhinagar (GSCDL) Smart City Components, GIS and ICCC QCBS</t>
  </si>
  <si>
    <t>Lucknow UP Vidhan Sabha Facial Recognition System UP</t>
  </si>
  <si>
    <t>2025_UPVDS_1054994_1</t>
  </si>
  <si>
    <t>Jhabua - Supply of  Interactive Panels with CPU (Q2) GEM</t>
  </si>
  <si>
    <t xml:space="preserve"> GEM/2025/B/6326630</t>
  </si>
  <si>
    <t>2024_GNIDA_915361_1</t>
  </si>
  <si>
    <t>New Delhi JAWAHARLAL NEHRU UNIVERSITY CCTV Camera System</t>
  </si>
  <si>
    <t>2025_JNU_865703_1</t>
  </si>
  <si>
    <t>2025_HED_430033_1</t>
  </si>
  <si>
    <t>2025_SEDC_430767_1</t>
  </si>
  <si>
    <t>2025_UAD_405125_4</t>
  </si>
  <si>
    <t>Bhopal Indian Army Integrated surveillance System (CCTV) (Q2) GEM</t>
  </si>
  <si>
    <t>GEM/2025/B/6169935</t>
  </si>
  <si>
    <t xml:space="preserve"> GEM/2025/B/6342242</t>
  </si>
  <si>
    <t>2025_RJPOL_475675_1</t>
  </si>
  <si>
    <t>Jabalpur Madhya Pradesh High Court Wireless Public Address System MP</t>
  </si>
  <si>
    <t>2025_MPHC_428079_1</t>
  </si>
  <si>
    <t>Bhopal Directorate of Public Instruction Interactive Panel MP</t>
  </si>
  <si>
    <t>2025_DPI_430220_1</t>
  </si>
  <si>
    <t>2025_NMRCL_1044575_1</t>
  </si>
  <si>
    <t>2025_MPPCB_424319_1</t>
  </si>
  <si>
    <t>2025_DMRC_859013_1</t>
  </si>
  <si>
    <t>Aligarh Municipal Corporation ASCL Video Wall IT and Non IT Assets UP</t>
  </si>
  <si>
    <t>2025_DOLBU_1050928_1</t>
  </si>
  <si>
    <t>Bhopal MP Matsya Mahasangh (Sah) Maryadit EOI for Drone &amp; GPS Tracking Technology For Surveillance</t>
  </si>
  <si>
    <t>https://mp.gov.in/fisheries-department</t>
  </si>
  <si>
    <t>Bhopal MP Police RHQ MCU based Video Conferencing and Instant Messenger for MP Police MP</t>
  </si>
  <si>
    <t>2025_MPP_429266_1</t>
  </si>
  <si>
    <t>2025_UAD_427969_1</t>
  </si>
  <si>
    <t>2025_MPPCB_424312_1</t>
  </si>
  <si>
    <t>GEM/2025/B/6294167</t>
  </si>
  <si>
    <t>Shivpuri CAPF Indo Tibetan Border Police (itbp) Body Worn Camera System RA GEM</t>
  </si>
  <si>
    <t>GEM/2025/B/6227497</t>
  </si>
  <si>
    <t>2025_NNVAR_1038999_2</t>
  </si>
  <si>
    <t>2025_BU_432618_1</t>
  </si>
  <si>
    <t>GEM/2025/B/6310256</t>
  </si>
  <si>
    <t>2025_KSGAC_421386_1</t>
  </si>
  <si>
    <t>2025_DPI_430904_1</t>
  </si>
  <si>
    <t>2024_HFFN_1086793_1</t>
  </si>
  <si>
    <t>2025_DTU_274011_1</t>
  </si>
  <si>
    <t>Dabra Nagar Palika Traffic Signal Installation MP</t>
  </si>
  <si>
    <t>2025_UAD_425409_1</t>
  </si>
  <si>
    <t>GEM/2025/B/6284335</t>
  </si>
  <si>
    <t>https://odisha.gov.in/state-tenders-advertisement</t>
  </si>
  <si>
    <t>GEM/2025/B/6292611</t>
  </si>
  <si>
    <t>2025_MPP_428242_1</t>
  </si>
  <si>
    <t>2025_DIT_1735_1</t>
  </si>
  <si>
    <t>https://meghalayatenders.gov.in</t>
  </si>
  <si>
    <t>GEM/2025/B/6291926</t>
  </si>
  <si>
    <t>GEM/2025/B/6247274</t>
  </si>
  <si>
    <t>2025_DPI_430868_1</t>
  </si>
  <si>
    <t>GEM/2025/B/6289638</t>
  </si>
  <si>
    <t>Chitrakoot MGCGV supply of Computer and Printer MP</t>
  </si>
  <si>
    <t>2025_MGCGV_426614_1</t>
  </si>
  <si>
    <t>2025_MGCGV_426447_1</t>
  </si>
  <si>
    <t>2025_MPHC_425472_1</t>
  </si>
  <si>
    <t>GEM/2025/B/6188396</t>
  </si>
  <si>
    <t>Bhopal MP Police PTHQ EOI for S.A.F.E.G.U.A.R.D. - MP</t>
  </si>
  <si>
    <t>2025_MPP_423401_1</t>
  </si>
  <si>
    <t>GEM/2025/B/6309355</t>
  </si>
  <si>
    <t>Jabalpur Smart City Limited Restart and Comp. Maint. &amp; Oper. Suprt for ITMS MP</t>
  </si>
  <si>
    <t>2025_UAD_421833_1</t>
  </si>
  <si>
    <t>2025_MPP_426183_1</t>
  </si>
  <si>
    <t xml:space="preserve"> Porj1MS_VSS_441_SR</t>
  </si>
  <si>
    <t>www.ireps.gov.in</t>
  </si>
  <si>
    <t>2025_NNVAR_1038999_1</t>
  </si>
  <si>
    <t>Jodhpur AIIMS CCTV coverage and surveillance system RA GEM</t>
  </si>
  <si>
    <t>GEM/2025/B/6021321</t>
  </si>
  <si>
    <t>Bhopal Relief Commsioner Command and Control Centre MP</t>
  </si>
  <si>
    <t>2025_RDRCF_426138_1</t>
  </si>
  <si>
    <t>Bhopal MP Pollution Control Board All-in-One Computers MP</t>
  </si>
  <si>
    <t>2025_MPPCB_415591_1</t>
  </si>
  <si>
    <t>DRM-SnT-ADI-Tele07of25-26</t>
  </si>
  <si>
    <t>GEM/2025/B/6266082</t>
  </si>
  <si>
    <t>Bhopal PARAM Foundation CCTV Security Systems mjunction</t>
  </si>
  <si>
    <t>https://eprocurement.mjunction.in/epspropartner/openarea/tender-list</t>
  </si>
  <si>
    <t xml:space="preserve">2025_MoRTH_860498_1	</t>
  </si>
  <si>
    <t>Delhi Police Headquarters 263 No. CCTV Camera System RA GEM</t>
  </si>
  <si>
    <t>GEM/2025/B/6035626</t>
  </si>
  <si>
    <t>2025_CEPW_140917_1</t>
  </si>
  <si>
    <t>GEM/2025/B/6235477</t>
  </si>
  <si>
    <t>2025_RVUNL_1025480_1</t>
  </si>
  <si>
    <t>GEM/2025/B/6217032</t>
  </si>
  <si>
    <t>Majhgawan Panna NMDC Limited AMC of CCTV System of Diamond Mining Project GEM</t>
  </si>
  <si>
    <t>GEM/2025/B/6246382</t>
  </si>
  <si>
    <t>Udaipur Abhay Command Center CCTV O&amp;M Project</t>
  </si>
  <si>
    <t>2025_UITUD_458274_1</t>
  </si>
  <si>
    <t>2025_MPFD_424175_1</t>
  </si>
  <si>
    <t>2025_TDA_44266_1</t>
  </si>
  <si>
    <t>https://assamtenders.gov.in/</t>
  </si>
  <si>
    <t>2025_MPPCB_416011_1</t>
  </si>
  <si>
    <t>2025_MPPCB_416016_1</t>
  </si>
  <si>
    <t>2025_MPPCB_416015_1</t>
  </si>
  <si>
    <t>GEM/2025/B/6204009</t>
  </si>
  <si>
    <t>2025_UAD_418598_1</t>
  </si>
  <si>
    <t xml:space="preserve">Varanasi Director General Of National Cadet Corps (DGNCC) Drone with Maintenance Tools </t>
  </si>
  <si>
    <t>GEM/2025/B/6203182</t>
  </si>
  <si>
    <t>Delhi Indian Army Unmanned Aerial Vehicle &amp; Payload Systems for Surveillance GEM</t>
  </si>
  <si>
    <t>GEM/2025/B/6203084</t>
  </si>
  <si>
    <t>GEM/2025/B/6163065</t>
  </si>
  <si>
    <t>Bhopal Commissioner Land Records and Settlement Digitization of Legacy Records</t>
  </si>
  <si>
    <t>2025_CLR_420494_1</t>
  </si>
  <si>
    <t>2025_UPMVD_1011936_5</t>
  </si>
  <si>
    <t>GEM/2025/B/6166289</t>
  </si>
  <si>
    <t>2025_IISRB_858053_1</t>
  </si>
  <si>
    <t>2025_MFPPR_421924_1</t>
  </si>
  <si>
    <t>Pithampur Nagar Palika, Dhar Traffic Signal MP</t>
  </si>
  <si>
    <t>2025_UAD_417587_1</t>
  </si>
  <si>
    <t>Bhopal EPCO Camera (V3) (Q2) &amp; Video Recorder for CCTV System (V2) (Q2) GEM</t>
  </si>
  <si>
    <t>GEM/2025/B/6200042</t>
  </si>
  <si>
    <t>2025_HCDDM_417627_1</t>
  </si>
  <si>
    <t>Bhopal MP Pollution Control Board Desktop Computers MP</t>
  </si>
  <si>
    <t>2025_MPPCB_416003_1</t>
  </si>
  <si>
    <t>Delhi Road Transport Highways MORTH Integrated Security Surveillance Solutions  GEM</t>
  </si>
  <si>
    <t>GEM/2025/B/6110972</t>
  </si>
  <si>
    <t>Bhopal MP Pollution Control Board UPS 01 KVA MP</t>
  </si>
  <si>
    <t xml:space="preserve">2025_MPPCB_416057_1	</t>
  </si>
  <si>
    <t>GEM/2025/B/6133709</t>
  </si>
  <si>
    <t>2025_DHA_138587_1</t>
  </si>
  <si>
    <t>Ujjain Vikram University Desktop Computer MP</t>
  </si>
  <si>
    <t>2025_VU_418304_1</t>
  </si>
  <si>
    <t>Anuppur-Nagar Palika Bijur town CCTV Surveillance, Smart city Framework CCTV PA System &amp; Outdoor LED</t>
  </si>
  <si>
    <t>2025_UAD_415431_1</t>
  </si>
  <si>
    <t>Chennai Airport AAI SCCTV Cameras Networking System RA GEM</t>
  </si>
  <si>
    <t>GEM/2025/B/6122845</t>
  </si>
  <si>
    <t>Bhopal MP Police PHQ Special Branch Vehicle Mounted Baggage Scanner</t>
  </si>
  <si>
    <t>2025_MPP_410884_1</t>
  </si>
  <si>
    <t>Bhopal MP Police PHQ Special Branch Firewall</t>
  </si>
  <si>
    <t>2025_MPP_410436_1</t>
  </si>
  <si>
    <t>West Bengal ECL Integrated Command and Control Centre (ICCC) RA GEM</t>
  </si>
  <si>
    <t>GEM/2025/B/6059548</t>
  </si>
  <si>
    <t>GEM/2025/B/6101257</t>
  </si>
  <si>
    <t>Bhopal Co-operation Department Madhya Pradesh Entry and Mid Level Desktop Computer GeM RA (V2) (Q2)</t>
  </si>
  <si>
    <t>GEM/2025/B/6082368</t>
  </si>
  <si>
    <t>2025_MFPPR_416516_1</t>
  </si>
  <si>
    <t>2025_UAD_412187_1</t>
  </si>
  <si>
    <t>Bhopal RHQ MP Police Dial 112 Phase II MP</t>
  </si>
  <si>
    <t>2025_MPP_409135_1</t>
  </si>
  <si>
    <t>GEM/2025/B/5944912</t>
  </si>
  <si>
    <t>2025_MPFD_410656_1</t>
  </si>
  <si>
    <t>Bhopal MP Police RHQ Desktop &amp; Laptop Computers MP</t>
  </si>
  <si>
    <t>2025_MPP_410160_1</t>
  </si>
  <si>
    <t>Mauganj MP Police RHQ Telecommunication Integrated Security Surveillance Systems MP</t>
  </si>
  <si>
    <t>2025_MPP_407963_1</t>
  </si>
  <si>
    <t>Jabalpur High Court of Madhya Pradesh PM WANI Wi Fi MP</t>
  </si>
  <si>
    <t>2025_MPHC_415526_1</t>
  </si>
  <si>
    <t>Bhopal MP Police PHQ Special Branch Data Center Upgradation</t>
  </si>
  <si>
    <t>2025_MPP_392897_1</t>
  </si>
  <si>
    <t>MR-EL-RS-NOA-OT-24-25-04</t>
  </si>
  <si>
    <t>Delhi Training And Technical Education Department Led Video Wall system</t>
  </si>
  <si>
    <t>GEM/2025/B/6096579</t>
  </si>
  <si>
    <t>Indore Interactive Panels with CPU (Q2) GEM</t>
  </si>
  <si>
    <t>GEM/2025/B/6067178</t>
  </si>
  <si>
    <t>Rajkot IOCL WRPL Video Wall  Display GEM</t>
  </si>
  <si>
    <t>GEM/2025/B/6033797</t>
  </si>
  <si>
    <t>Uttrakhand Haldwani ITMS &amp; CCC IPMU (Urban Sector)</t>
  </si>
  <si>
    <t>2025_USADB_80423_1</t>
  </si>
  <si>
    <t>https://uktenders.gov.in</t>
  </si>
  <si>
    <t>MP State Coperative Marketing Federation Ltd. CCTV &amp; IP Based DOME Camera MP</t>
  </si>
  <si>
    <t>2025_SCMFL_410514_1</t>
  </si>
  <si>
    <t>Bhopal Raja Bhoj Airport AAI SCCTV System GEM RA</t>
  </si>
  <si>
    <t>GEM/2025/B/5992259</t>
  </si>
  <si>
    <t>Bhopal MP Police Smart Conferencing Room</t>
  </si>
  <si>
    <t>2024_MPP_389058_1</t>
  </si>
  <si>
    <t xml:space="preserve">Bhopal MP Police Modern War Room </t>
  </si>
  <si>
    <t>2024_MPP_389058_2</t>
  </si>
  <si>
    <t>GEM/2025/B/6025654</t>
  </si>
  <si>
    <t>Bhopal MP Police RHQ Wireless Tower MP</t>
  </si>
  <si>
    <t>2025_MPP_407525_1</t>
  </si>
  <si>
    <t>2025_MPP_408386_1</t>
  </si>
  <si>
    <t>Delhi All India Institute of Ayurveda CCTV Surveillance and Video Analytics Solution CPPP</t>
  </si>
  <si>
    <t>2025_AIIA_790694_1</t>
  </si>
  <si>
    <t>Bhopal PHQ Provisioning Branch Body Worm Camera System (Q2) RA GEM</t>
  </si>
  <si>
    <t>GEM/2025/B/6030347</t>
  </si>
  <si>
    <t>GEM/2025/B/5951431</t>
  </si>
  <si>
    <t>GEM/2025/B/5945307</t>
  </si>
  <si>
    <t>Chhattisgarh Transport Department ANPR SYSTEM GEM Q2</t>
  </si>
  <si>
    <t>GEM/2025/B/5999487</t>
  </si>
  <si>
    <t>GEM/2025/B/5963802</t>
  </si>
  <si>
    <t xml:space="preserve">Kolkata Metro Railway Upgradation CCTV Surveillance </t>
  </si>
  <si>
    <t>12-2024-R1</t>
  </si>
  <si>
    <t>GEM/2025/B/5879396</t>
  </si>
  <si>
    <t>GEM/2025/B/6028767</t>
  </si>
  <si>
    <t>Bhopal PHQ MP Police Provisioning Smart Video Wall (4K) MP</t>
  </si>
  <si>
    <t>2025_MPP_406025_1</t>
  </si>
  <si>
    <t>Punjab PPHC City Surveillance and Traffic Management System</t>
  </si>
  <si>
    <t>2025_DHA_135604_1</t>
  </si>
  <si>
    <t>2025_IT_98828_1</t>
  </si>
  <si>
    <t>https://jharkhandtenders.gov.in/</t>
  </si>
  <si>
    <t>GEM/2025/B/5953910</t>
  </si>
  <si>
    <t>Delhi PWD District Courts Conference Equipments</t>
  </si>
  <si>
    <t>2024_PWD_265415_1</t>
  </si>
  <si>
    <t>https://govtprocurement.delhi.gov.in/</t>
  </si>
  <si>
    <t>2025_DHA_135133_1</t>
  </si>
  <si>
    <t>Bihar Transport Department Road Safety Monitoring System (IR&amp;MS)</t>
  </si>
  <si>
    <t>Bhopal PHQ MP Police Provisioning LED TV MP</t>
  </si>
  <si>
    <t>2025_MPP_405702_1</t>
  </si>
  <si>
    <t>GEM/2025/B/5984330</t>
  </si>
  <si>
    <t>Bopal ISRO IT Infrastructure for Integrated Data Centre (IDC) GEM</t>
  </si>
  <si>
    <t>GEM/2025/B/5889715</t>
  </si>
  <si>
    <t>Bhopal PHQ Integrated City Surveillance System 11 Cities MP</t>
  </si>
  <si>
    <t>2025_MPP_399175_1</t>
  </si>
  <si>
    <t>Bhopal MP Police RHQ Desktop Computer And Laptop MP</t>
  </si>
  <si>
    <t>2025_MPP_402119_1</t>
  </si>
  <si>
    <t>Delhi TCIL Bhawan Data Center GEM</t>
  </si>
  <si>
    <t>GEM/2025/B/5983582</t>
  </si>
  <si>
    <t>GEM/2025/B/5939337</t>
  </si>
  <si>
    <t>GEM/2025/B/5940534</t>
  </si>
  <si>
    <t>GEM/2025/B/5940800</t>
  </si>
  <si>
    <t xml:space="preserve">Bhopal MP Police Body Warm Camera </t>
  </si>
  <si>
    <t>2024_MPP_389028_1</t>
  </si>
  <si>
    <t>GEM/2025/B/5935685</t>
  </si>
  <si>
    <t>Bhopal MPSEDC Face Recognition System MP</t>
  </si>
  <si>
    <t>2024_SEDC_392087_1</t>
  </si>
  <si>
    <t>2025_UAD_403040_1</t>
  </si>
  <si>
    <t>2025_NSSCD_1133308_1</t>
  </si>
  <si>
    <t>Indore Muncipal Corporation Upgrading of IT infrastructure and maintenance MP</t>
  </si>
  <si>
    <t>2025_UAD_401751_1</t>
  </si>
  <si>
    <t>Ghaziabad Nagar Nigam Integrated Command and Control Centre QCBS UP</t>
  </si>
  <si>
    <t>2025_DOLBU_1002189_1</t>
  </si>
  <si>
    <t>GEM/2025/B/5839701</t>
  </si>
  <si>
    <t>Dehradun Director General (Police) Video Conferencing Solution Uttarakhand</t>
  </si>
  <si>
    <t>2025_DGPV_79878_1</t>
  </si>
  <si>
    <t>Bhopal MP Police X-Ray Baggage System</t>
  </si>
  <si>
    <t>2024_MPP_389067_1</t>
  </si>
  <si>
    <t>GEM/2025/B/5895335</t>
  </si>
  <si>
    <t>Ahmedabad Smart City Development Limited</t>
  </si>
  <si>
    <t>Baramati Safe City Project CCTV  Surveillance</t>
  </si>
  <si>
    <t>2024_DGPMU_1111355_1</t>
  </si>
  <si>
    <t>2024_MPP_382181_1</t>
  </si>
  <si>
    <t>Delhi ITI Limited Security Systems</t>
  </si>
  <si>
    <t>ITI/NSU/CIVIL-DEL/2024/0112/26</t>
  </si>
  <si>
    <t>https://tenders.itiltd.in/</t>
  </si>
  <si>
    <t>COMFED:Engg:93</t>
  </si>
  <si>
    <t>Ahmedabad Division Western Railway Video Wall</t>
  </si>
  <si>
    <t>DRM-SnT-ADI-Tele14of24-25</t>
  </si>
  <si>
    <t xml:space="preserve">Shimla Prisons and Correctional Services Dept. CCTV, ICCC and Local Data Center HP </t>
  </si>
  <si>
    <t>2025_HPPCS_97357_1</t>
  </si>
  <si>
    <t>https://hptenders.gov.in/</t>
  </si>
  <si>
    <t>Rohtak HPHCL Security Solutions Haryana</t>
  </si>
  <si>
    <t>2025_HBC_422771_1</t>
  </si>
  <si>
    <t>Bhopal MPSEDC SMART CCTV Surveillance System MP</t>
  </si>
  <si>
    <t>2024_SEDC_391925_1</t>
  </si>
  <si>
    <t>Nagpur Western Coalfields Limited Camera GEM</t>
  </si>
  <si>
    <t>GEM/2024/B/5700302</t>
  </si>
  <si>
    <t>Punjab PPHC 06 Jails AI based CCTV Surveillance</t>
  </si>
  <si>
    <t>2024_DHA_131600_1</t>
  </si>
  <si>
    <t>Bina BPCL CCTV Surveillance GEM</t>
  </si>
  <si>
    <t>GEM/2024/B/5645935</t>
  </si>
  <si>
    <t>Bhopal ICDS Television (TV) (V2) (Q2) (RA) GEM</t>
  </si>
  <si>
    <t>GEM/2024/B/5538254</t>
  </si>
  <si>
    <t>Raipur CHiPS State Data Centre Chhattisgarh</t>
  </si>
  <si>
    <t>Indore Indian Army Network RA GEM</t>
  </si>
  <si>
    <t>GEM/2024/B/5596339</t>
  </si>
  <si>
    <t>Bhopal SDRF Home Department Camera GEM</t>
  </si>
  <si>
    <t>GEM/2024/B/5755935</t>
  </si>
  <si>
    <t>Lucknow U P Secretariat Integrated Security Surveillance System (RA) GEM</t>
  </si>
  <si>
    <t>GEM/2024/B/5744773</t>
  </si>
  <si>
    <t xml:space="preserve">Gujarat High Court Wifi Internet connectivity </t>
  </si>
  <si>
    <t>Bhopal DSYW CCTV Camera 2024 Ist Call</t>
  </si>
  <si>
    <t>2024_DSYW_391010_1</t>
  </si>
  <si>
    <t>Delhi NHAI Monitoring CPPP</t>
  </si>
  <si>
    <t>2025_NHAI_223454_1</t>
  </si>
  <si>
    <t>Ghaziabad Nagar Nigam (GMC) Intelligent City Surveillance System UP QCBS</t>
  </si>
  <si>
    <t>2025_DOLBU_989485_1</t>
  </si>
  <si>
    <t xml:space="preserve">Bhopal MPFD Van Vihar National Park Night Vision Thermal Drone MP </t>
  </si>
  <si>
    <t>2024_MPFD_389512_1</t>
  </si>
  <si>
    <t>Singrauli NCL CCTV Cameras GEM (RA)</t>
  </si>
  <si>
    <t>GEM/2024/B/5640422</t>
  </si>
  <si>
    <t xml:space="preserve">Bhopal MPLUN Video Conferencing VC Studio </t>
  </si>
  <si>
    <t>2024_MPLUN_388235_1</t>
  </si>
  <si>
    <t>Sagar School Education Interactive Panels (Q2) GEM</t>
  </si>
  <si>
    <t>GEM/2024/B/5589179</t>
  </si>
  <si>
    <t>Punjab PPHC CCTV in High Security Zones</t>
  </si>
  <si>
    <t>2024_DHA_131601_1</t>
  </si>
  <si>
    <t>Cuttack Odisha Fire And Emergency Service UCC</t>
  </si>
  <si>
    <t>2024_OFES_107518_1</t>
  </si>
  <si>
    <t>Thiruvananthapuram KSEB Revamping Data Centre and Disaster Recovery Kerala</t>
  </si>
  <si>
    <t>2024_KSEB_692967_1</t>
  </si>
  <si>
    <t>Punjab Health and Family Welfare CCTV Systems</t>
  </si>
  <si>
    <t>2024_DHFW_131436_1</t>
  </si>
  <si>
    <t>Chennai KPL RFID ANPR BASED GATE CONTROL SYSTEM QCBS GEM</t>
  </si>
  <si>
    <t>GEM/2024/B/5713977</t>
  </si>
  <si>
    <t>Jammu BSF Cameras GEM</t>
  </si>
  <si>
    <t>GEM/2024/B/5580811</t>
  </si>
  <si>
    <t>West Bengal Eastern Coalfields Limited ICCC GEM RA</t>
  </si>
  <si>
    <t>GEM/2024/B/5671820</t>
  </si>
  <si>
    <t>Delhi Indian Railway CRIS CCTV Surveillance</t>
  </si>
  <si>
    <t>Bhopal PHQ Body Worn Camera With Networking</t>
  </si>
  <si>
    <t>2024_MPP_358089_1</t>
  </si>
  <si>
    <t>Bhopal PHQ Body Worn Camera</t>
  </si>
  <si>
    <t>2024_MPP_357707_1</t>
  </si>
  <si>
    <t>Delhi PFCL Server (Q2) GEM</t>
  </si>
  <si>
    <t>GEM/2024/B/5683082</t>
  </si>
  <si>
    <t>2024_DOLBU_977754_1</t>
  </si>
  <si>
    <t>Delhi National Testing Agency Security Surveillance GEM</t>
  </si>
  <si>
    <t>GEM/2024/B/5694963</t>
  </si>
  <si>
    <t>Bhopal PHQ Training Room MP</t>
  </si>
  <si>
    <t>2024_MPP_379689_1</t>
  </si>
  <si>
    <t>Bhopal MP Police RHQ Replacement CCTV System</t>
  </si>
  <si>
    <t xml:space="preserve">2024_MPP_383518_1	</t>
  </si>
  <si>
    <t>Prayagraj Madhyamik Shiksha Parishad CCTV (CPSU/PSU) UP</t>
  </si>
  <si>
    <t>2024_MSPUA_974157_1</t>
  </si>
  <si>
    <t>Hyderabad ISRO Videowall GEM</t>
  </si>
  <si>
    <t>GEM/2024/B/5651321</t>
  </si>
  <si>
    <t>GEM/2024/B/5669085</t>
  </si>
  <si>
    <t xml:space="preserve">Bhopal MP Police SCRB PHQ Finger Print Item </t>
  </si>
  <si>
    <t>2024_MPP_383679_1</t>
  </si>
  <si>
    <t>Ujjain Smart City ITMS O&amp;M</t>
  </si>
  <si>
    <t>2024_UAD_375288_1</t>
  </si>
  <si>
    <t>Kolkata Metro Railway Upgradation CCTV Surveillance IREPS</t>
  </si>
  <si>
    <t>12-2024</t>
  </si>
  <si>
    <t>Srinagar Municipal Corporation ITMS Phase I Control Centre JK</t>
  </si>
  <si>
    <t>2024_HAUDD_266980_1</t>
  </si>
  <si>
    <t>https://jktenders.gov.in/</t>
  </si>
  <si>
    <t>Raipur CHiPS WLAN/LAN Chhattisgarh</t>
  </si>
  <si>
    <t>Shimla IT Department HIMSWAN Himachal Pradesh</t>
  </si>
  <si>
    <t>2024_DIT_95883_1</t>
  </si>
  <si>
    <t xml:space="preserve">Bhopal MP Police SCRB PHQ Forenscope pro smart phone </t>
  </si>
  <si>
    <t>2024_MPP_384697_1</t>
  </si>
  <si>
    <t>Bhopal MP Police SCRB PHQ Video wall</t>
  </si>
  <si>
    <t>2024_MPP_380284_1</t>
  </si>
  <si>
    <t>Delhi India Post EMS Software Q2 RA GEM</t>
  </si>
  <si>
    <t>GEM/2024/B/5223069</t>
  </si>
  <si>
    <t>BHOPAL MP Police 11 Cities Project</t>
  </si>
  <si>
    <t>2024_MPP_378400_1</t>
  </si>
  <si>
    <t>Rajasthan RISL LED Video Walls</t>
  </si>
  <si>
    <t>2024_RISL_428037_1</t>
  </si>
  <si>
    <t>Bhopal and Gwalior CTG Body Worn Camera MP</t>
  </si>
  <si>
    <t>2024_CTG_363228_1</t>
  </si>
  <si>
    <t>Delhi MeitY Network Infrastructure GEM</t>
  </si>
  <si>
    <t>GEM/2024/B/5544116</t>
  </si>
  <si>
    <t>Shillong Assam Rifles LED Data Wall GEM</t>
  </si>
  <si>
    <t>GEM/2024/B/5535081</t>
  </si>
  <si>
    <t>Bhopal MPPHSCL Computer Equipments MP</t>
  </si>
  <si>
    <t>2024_PHSCL_368337_1</t>
  </si>
  <si>
    <t xml:space="preserve">Jodhpur Rajasthan High Court Supply IT Equipments </t>
  </si>
  <si>
    <t>2024_RAJHC_428526_1</t>
  </si>
  <si>
    <t>Singrauli NCL ICCC RA GEM</t>
  </si>
  <si>
    <t>GEM/2024/B/5404572</t>
  </si>
  <si>
    <t>Srinagar Smart City Surveillance System JK</t>
  </si>
  <si>
    <t>2024_SSC_261100_1</t>
  </si>
  <si>
    <t>Guna Gail India Limited PA &amp; GA SYSTEM</t>
  </si>
  <si>
    <t>GEM/2024/B/5502871</t>
  </si>
  <si>
    <t>Bhopal MP-Police 39 Types CCTV Surveillance MP</t>
  </si>
  <si>
    <t>2024_MPP_375659_1</t>
  </si>
  <si>
    <t xml:space="preserve">Bhopal SDRF Body Worn Camera GEM </t>
  </si>
  <si>
    <t>GEM/2024/B/5377302</t>
  </si>
  <si>
    <t>Amaravati APHC UPS GEM</t>
  </si>
  <si>
    <t>GEM/2024/B/5489712</t>
  </si>
  <si>
    <t>Delhi ITPO Video Walls CPPP</t>
  </si>
  <si>
    <t xml:space="preserve">2024_ITPO_830931_1	</t>
  </si>
  <si>
    <t xml:space="preserve">Bhopal MPSEDC  Laptop MP </t>
  </si>
  <si>
    <t>2024_SEDC_377335_1</t>
  </si>
  <si>
    <t>Ranchi CCTV Surveillance AMC GEM</t>
  </si>
  <si>
    <t>GEM/2024/B/5482456</t>
  </si>
  <si>
    <t>ONGC Workstations Switches Servers GEM</t>
  </si>
  <si>
    <t>GEM/2024/B/5371601</t>
  </si>
  <si>
    <t>Chennai AAI Servers Storage Software and Networking RA GEM</t>
  </si>
  <si>
    <t>GEM/2024/B/5431063</t>
  </si>
  <si>
    <t>Jabalpur MPHC Firewall WAF MP</t>
  </si>
  <si>
    <t>2024_MPHC_365654_2</t>
  </si>
  <si>
    <t>Dehradun Video Wall Uttarakhand</t>
  </si>
  <si>
    <t>2024_pwd_76236_1</t>
  </si>
  <si>
    <t>Varanasi IIT (BHU) Surveillance System CPPP</t>
  </si>
  <si>
    <t>2024_IITBU_825291_1</t>
  </si>
  <si>
    <t>Delhi Police Headquarters Scanning System RA GEM</t>
  </si>
  <si>
    <t>GEM/2024/B/5112277</t>
  </si>
  <si>
    <t>Sambalpur Mncpl  Corp. UCCP with ITMS , City Surveillance, PA System Odisha</t>
  </si>
  <si>
    <t>2024_ORULB_105031_1</t>
  </si>
  <si>
    <t>Jabalpur MPHC 226 Location Computer Hardware MP</t>
  </si>
  <si>
    <t>2024_MPHC_364600_2</t>
  </si>
  <si>
    <t>Jabalpur MPHC Video Conferencing Equipments</t>
  </si>
  <si>
    <t>2024_MPHC_365593_1</t>
  </si>
  <si>
    <t>Haridwar Uttarakhand PHQ Surveillance GEM</t>
  </si>
  <si>
    <t>GEM/2024/B/5350391</t>
  </si>
  <si>
    <t>Lucknow UPSRTC Outdoor LED Display Panels UP</t>
  </si>
  <si>
    <t>2024_UPSRT_949876_1</t>
  </si>
  <si>
    <t>Gauhati High Court Video Conferencing Solution GEM</t>
  </si>
  <si>
    <t>GEM/2024/B/5407950</t>
  </si>
  <si>
    <t>Gauhati High Court Network Infrastructure GEM</t>
  </si>
  <si>
    <t>GEM/2024/B/5408332</t>
  </si>
  <si>
    <t>2024_MPHC_365654_1</t>
  </si>
  <si>
    <t>Bihar ESIC CCTV Camera GEM RA</t>
  </si>
  <si>
    <t>GEM/2024/B/5376508</t>
  </si>
  <si>
    <t>Bhopal MPSEDC SDWAN MP</t>
  </si>
  <si>
    <t>2024_SEDC_363812_1</t>
  </si>
  <si>
    <t>Faridabad FMDA ATMS Haryana</t>
  </si>
  <si>
    <t>2024_HRY_368454_1</t>
  </si>
  <si>
    <t>Lucknow DRMLIMS CCTV Surveillance System GEM (RA)</t>
  </si>
  <si>
    <t>GEM/2024/B/5155102</t>
  </si>
  <si>
    <t>Panchkula CCTV HPGCL Haryana</t>
  </si>
  <si>
    <t>2024_HBC_394003_1</t>
  </si>
  <si>
    <t>Rajasthan Council Of School Education ICT Lab GEM (RA)</t>
  </si>
  <si>
    <t>GEM/2024/B/5336334</t>
  </si>
  <si>
    <t>Ghaziabad Nagar Nigam 2000 LED GEM RA</t>
  </si>
  <si>
    <t>GEM/2024/B/5388831</t>
  </si>
  <si>
    <t>Ghaziabad Nagar Nigam 3000 LED GEM RA</t>
  </si>
  <si>
    <t>GEM/2024/B/5387849</t>
  </si>
  <si>
    <t>Bangalore DRD Data Centre and Disaster Recovery RA GEM</t>
  </si>
  <si>
    <t>GEM/2024/B/5143405</t>
  </si>
  <si>
    <t>Delhi IGNOU Campus Networking &amp; Surveillance System Gem (RA)</t>
  </si>
  <si>
    <t>GEM/2024/B/5190639</t>
  </si>
  <si>
    <t>Delhi BIS Modern Video Surveillance System GEM</t>
  </si>
  <si>
    <t>GEM/2024/B/5168132</t>
  </si>
  <si>
    <t>Bhopal PHQ Unmanned Aerial Vehicle &amp; Payload Systems RA GEM</t>
  </si>
  <si>
    <t>GEM/2024/B/5270772</t>
  </si>
  <si>
    <t>Bangalore city KRDCL ATMS 50 Junction KPPP</t>
  </si>
  <si>
    <t>KRDCL/2024-25/BT/WORK_INDENT6</t>
  </si>
  <si>
    <t>https://kppp.karnataka.gov.in/</t>
  </si>
  <si>
    <t>2024_IITBU_821488_1</t>
  </si>
  <si>
    <t>Delhi ITPO VIDEOWALL CPPP</t>
  </si>
  <si>
    <t>2024_ITPO_821682_1</t>
  </si>
  <si>
    <t>Bhopal MPSEDC Laptop MP</t>
  </si>
  <si>
    <t>2024_SEDC_365314_1</t>
  </si>
  <si>
    <t>Bhopal Van Bhawan Network Equipments MPFD</t>
  </si>
  <si>
    <t>2024_MPFD_364704_1</t>
  </si>
  <si>
    <t>Bangalore city KRDCL ITMS 25 locations KPPP</t>
  </si>
  <si>
    <t>KRDCL/2024-25/BT/WORK_INDENT5</t>
  </si>
  <si>
    <t>Delhi Land Ports Authority CCTV GEM</t>
  </si>
  <si>
    <t>GEM/2024/B/5015611</t>
  </si>
  <si>
    <t>Hasimara CCTV Indian Air Force (RA) GEM</t>
  </si>
  <si>
    <t>GEM/2024/B/5118547</t>
  </si>
  <si>
    <t>Ranchi State Data Centre JAPIT Jharkhand</t>
  </si>
  <si>
    <t>2024_IT_88070_1</t>
  </si>
  <si>
    <t>Lucknow ATMS Bundelkhand Expressway UPEIDA</t>
  </si>
  <si>
    <t>2024_UPEID_932419_1</t>
  </si>
  <si>
    <t>Greater Chennai Police Department 75 Night Vision ANPR Cameras TN</t>
  </si>
  <si>
    <t>2024_POLIS_470826_1</t>
  </si>
  <si>
    <t>Greater Chennai Police Department 300 ANPR Cameras TN</t>
  </si>
  <si>
    <t>2024_POLIS_471200_1</t>
  </si>
  <si>
    <t>Greater Chennai Police Department 30 Traffic signal with ANPR Cameras TN</t>
  </si>
  <si>
    <t>2024_POLIS_471186_1</t>
  </si>
  <si>
    <t>Greater Chennai Police Department Replacement 25 Traffic signal TN</t>
  </si>
  <si>
    <t>2024_POLIS_470757_1</t>
  </si>
  <si>
    <t>UP Smart Solar Street Light UPNEDA</t>
  </si>
  <si>
    <t>2024_UPNED_935807_1</t>
  </si>
  <si>
    <t>Delhi Police Headquarters 57 RLVD Camera Q3 RA GEM</t>
  </si>
  <si>
    <t>GEM/2023/B/3461421</t>
  </si>
  <si>
    <t>Delhi Police Headquarters 125 OSVD  Camera Q3 RA GEM</t>
  </si>
  <si>
    <t>GEM/2023/B/3471964</t>
  </si>
  <si>
    <t xml:space="preserve">Faridabad VMD </t>
  </si>
  <si>
    <t>2024_HRY_397345_1</t>
  </si>
  <si>
    <t>Jabalpur ICCC &amp; ITMS Jabalpur Smart City</t>
  </si>
  <si>
    <t>2024_UAD_357519_1</t>
  </si>
  <si>
    <t>Delhi Food Corporation Of India CCTV</t>
  </si>
  <si>
    <t>GEM/2024/B/5166730</t>
  </si>
  <si>
    <t>Jammu and Srinagar High Court Data Center</t>
  </si>
  <si>
    <t>2024_HC_248663_1</t>
  </si>
  <si>
    <t>Gurugram GMDA Smart City ATMS Haryana</t>
  </si>
  <si>
    <t>2024_HRY_367942_1</t>
  </si>
  <si>
    <t>Kavaratti Smart City Limited ICCC Lakshadweep</t>
  </si>
  <si>
    <t>2024_UTL_2621_1</t>
  </si>
  <si>
    <t>https://tendersutl.gov.in/</t>
  </si>
  <si>
    <t>Bhopal Cameras SDERF GEM</t>
  </si>
  <si>
    <t>GEM/2024/B/5142343</t>
  </si>
  <si>
    <t>Ghaziabad Municipal Corporation ITMS  UP</t>
  </si>
  <si>
    <t>2024_DOLBU_901991_1</t>
  </si>
  <si>
    <t>Bhopal DSYW VideoWall MP</t>
  </si>
  <si>
    <t>2024_DSYW_349563_1</t>
  </si>
  <si>
    <t>Bhopal Desktop Computer MP Police Head Quarter</t>
  </si>
  <si>
    <t>2024_MPP_355717_1</t>
  </si>
  <si>
    <t>Bhopal All In One Computer MP Police Head Quarter</t>
  </si>
  <si>
    <t>2024_MPP_355761_1</t>
  </si>
  <si>
    <t>Bhopal Laptop MP Police Head Quarter</t>
  </si>
  <si>
    <t>2024_MPP_355756_1</t>
  </si>
  <si>
    <t>Bhopal Laser Printer MP Police Head Quarter</t>
  </si>
  <si>
    <t>2024_MPP_355739_1</t>
  </si>
  <si>
    <t>New Delhi Punjab National Bank Network Monitoring System GEM</t>
  </si>
  <si>
    <t>GEM/2024/B/4950834</t>
  </si>
  <si>
    <t>Nagpur Camera Western Coalfields Limited GEM</t>
  </si>
  <si>
    <t>GEM/2024/B/4863799</t>
  </si>
  <si>
    <t>Nagpur city IITMS NMCN Maharashtra</t>
  </si>
  <si>
    <t>2024_NMCN_1028446_1</t>
  </si>
  <si>
    <t>New Delhi Food Corporation Of India CCTV GEM</t>
  </si>
  <si>
    <t>GEM/2024/B/4748982</t>
  </si>
  <si>
    <t>Gwalior GSCDCL ICCC MP</t>
  </si>
  <si>
    <t>2024_UAD_349279_1</t>
  </si>
  <si>
    <t>Mumbai ISMS Joint Secretary Home Department Maharashtra</t>
  </si>
  <si>
    <t>2024_JSHD_1040036_1</t>
  </si>
  <si>
    <t>Gorakhpur Municipal Corporation UFEWS UP</t>
  </si>
  <si>
    <t>2024_DOLBU_928057_1</t>
  </si>
  <si>
    <t>Jharkhand Police CCTV Surveillance GEM</t>
  </si>
  <si>
    <t>GEM/2024/B/4696261</t>
  </si>
  <si>
    <t>Delhi NIA CCTV GEM RA</t>
  </si>
  <si>
    <t>GEM/2024/B/4962148</t>
  </si>
  <si>
    <t>Belapur CCTV Gail India Limited GEM</t>
  </si>
  <si>
    <t>GEM/2024/B/4814400</t>
  </si>
  <si>
    <t>New Rajasthan ITMS RajCOMP Info Services Ltd</t>
  </si>
  <si>
    <t>2024_RISL_391429_1</t>
  </si>
  <si>
    <t>Gorakhpur UFEWS Gorakhpur Municipal Corporation</t>
  </si>
  <si>
    <t>2024_DOLBU_917169_1</t>
  </si>
  <si>
    <t>Gwalior GSCDCL Upgradation  CCTV Surveillance 2nd call MP</t>
  </si>
  <si>
    <t>2024_UAD_343695_1</t>
  </si>
  <si>
    <t>Cochin International Airport CCTV Surveillance Kerala</t>
  </si>
  <si>
    <t>2024_CIAL_673999_1</t>
  </si>
  <si>
    <t>2024_CIAL_667684_1</t>
  </si>
  <si>
    <t>Jabalpur Muncipal Corporation ATCS MP</t>
  </si>
  <si>
    <t>2024_UAD_346857_1</t>
  </si>
  <si>
    <t xml:space="preserve">Pune City DGP Mumbai CCTV Surveillance System  Maharashtra </t>
  </si>
  <si>
    <t>2024_DGPMU_1017794_1</t>
  </si>
  <si>
    <t>Thane City  CCTV Surveillance Director General Of Police, Mumbai</t>
  </si>
  <si>
    <t>2024_DGPMU_1032056_2</t>
  </si>
  <si>
    <t>Kolkata Grid India Data Centre &amp; Disaster Recovery  GEM</t>
  </si>
  <si>
    <t>GEM/2024/B/4884558</t>
  </si>
  <si>
    <t xml:space="preserve">Hyderabad BHEL Network Equipment </t>
  </si>
  <si>
    <t>2024_BHEL_34972_1</t>
  </si>
  <si>
    <t>https://eprocurebhel.co.in/</t>
  </si>
  <si>
    <t>Gurgaon Railtel Supply of Metro Ethernet Equipment GEM</t>
  </si>
  <si>
    <t>GEM/2024/B/4854150</t>
  </si>
  <si>
    <t>Somnath Temple CCTV Surveillance GIPL Gujarat GEM</t>
  </si>
  <si>
    <t>GEM/2024/B/4775074</t>
  </si>
  <si>
    <t>Bhopal IT Project Management Unit (PMU) MP</t>
  </si>
  <si>
    <t xml:space="preserve">2024_UAD_345014_1	</t>
  </si>
  <si>
    <t>Delhi to Agra NHAI ATMS Central</t>
  </si>
  <si>
    <t>2024_NHAI_186282_1</t>
  </si>
  <si>
    <t>https://etenders.gov.in/</t>
  </si>
  <si>
    <t>Daitari OMCL Command and Control Centre Odisha</t>
  </si>
  <si>
    <t>2024_OMC_102675_1</t>
  </si>
  <si>
    <t xml:space="preserve">Rajasthan ITMS RajCOMP Info Services Ltd </t>
  </si>
  <si>
    <t>2024_RISL_388286_1</t>
  </si>
  <si>
    <t>Navi Mumbai JNPA ISMS &amp; ICCC GEM</t>
  </si>
  <si>
    <t>GEM/2024/B/4868967</t>
  </si>
  <si>
    <t>Mumbai Bank Of India All in One PC GEM</t>
  </si>
  <si>
    <t>GEM/2024/B/4889971</t>
  </si>
  <si>
    <t>Bhubaneswar VC Rooms and Command Centre CPUT</t>
  </si>
  <si>
    <t>068/CRUT</t>
  </si>
  <si>
    <t>https://capitalregiontransport.in/archiveTender</t>
  </si>
  <si>
    <t>Bilaspur CCTV South Eastern Coalfields Limited GEM</t>
  </si>
  <si>
    <t>GEM/2024/B/4824718</t>
  </si>
  <si>
    <t>Noida Yamuna expressway CCTV Jaypee Infratech Limited</t>
  </si>
  <si>
    <t>JIL-YEW/NIT/2024/104 Dated 03.04.2024</t>
  </si>
  <si>
    <t>http://jaypeeinfratech.com/tender.html</t>
  </si>
  <si>
    <t>Rajkot Smart City Surveillance and traffic RMC</t>
  </si>
  <si>
    <t>Gwalior Smart City ICCC &amp; Data centre  MP</t>
  </si>
  <si>
    <t>2024_UAD_337104_1</t>
  </si>
  <si>
    <t>Rajasthan Laptop Medical Health And Family Welfare GEM</t>
  </si>
  <si>
    <t>GEM/2024/B/4774115</t>
  </si>
  <si>
    <t>Jharkhand. Damodar Valley Corporation Solar PV Power Plant</t>
  </si>
  <si>
    <t>2023_DVC_179697_1</t>
  </si>
  <si>
    <t>Gurugram to Jaipur NHAI ATMS Central</t>
  </si>
  <si>
    <t>2024_NHAI_184040_1</t>
  </si>
  <si>
    <t>Narmadapuram Integrated Tourist Management System MP Forest Department</t>
  </si>
  <si>
    <t>2024_MPFD_345054_1</t>
  </si>
  <si>
    <t>Pimpri Chinchwad Data &amp; Communication PCMC Maharashtra</t>
  </si>
  <si>
    <t>2024_PCMCP_1034805_1</t>
  </si>
  <si>
    <t>Delhi ANPR Delhi Transport Infrastructure Devlopment Corp Ltd</t>
  </si>
  <si>
    <t>2024_DTIDC_255578_1</t>
  </si>
  <si>
    <t>Bhopal  CCTV Camera M P Rajya Sahakari Bank</t>
  </si>
  <si>
    <t>2024_APEXB_346861_1</t>
  </si>
  <si>
    <t>Bhopal CCTV MPWLC Warehouses</t>
  </si>
  <si>
    <t>2024_MPWLC_346743_1</t>
  </si>
  <si>
    <t>Faridabad VMD Haryana Government</t>
  </si>
  <si>
    <t>2024_HRY_363572_1</t>
  </si>
  <si>
    <t>Jabalpur Smart City ICCC MP</t>
  </si>
  <si>
    <t>2024_UAD_333319_1</t>
  </si>
  <si>
    <t>Prayagraj Surveillance PSCL UP</t>
  </si>
  <si>
    <t>2024_PSCL_915396_1</t>
  </si>
  <si>
    <t>Jaipur Intelligent Transportation System RSHA Rajasthan</t>
  </si>
  <si>
    <t>2024_RSHA_387354_1</t>
  </si>
  <si>
    <t>Patna Smart City VMD</t>
  </si>
  <si>
    <t>Jabalpur Smart City O and M ITMS MP</t>
  </si>
  <si>
    <t>2024_UAD_333688_1</t>
  </si>
  <si>
    <t>New Delhi CCTVSS CRIS Indian Railway</t>
  </si>
  <si>
    <t>https://www.ireps.gov.in/epsn/anonymSearch.do</t>
  </si>
  <si>
    <t>Farmer Welfare And Agriculture Development Department MP CCTV GEM</t>
  </si>
  <si>
    <t>GEM/2024/B/4601362</t>
  </si>
  <si>
    <t>ANPR &amp; CCTV Camera Warehouse MP Excise Department</t>
  </si>
  <si>
    <t>2023_UAD_310392_2</t>
  </si>
  <si>
    <t>Bhopal MPPWD</t>
  </si>
  <si>
    <t>2024_PWDRB_334947_1</t>
  </si>
  <si>
    <t>Nagpur ITMS  Transport Commissioner Office</t>
  </si>
  <si>
    <t>2024_TCO_1011390_1</t>
  </si>
  <si>
    <t>Mumbai ITMS Transport Commissioner Office</t>
  </si>
  <si>
    <t>2024_TCO_1011310_1</t>
  </si>
  <si>
    <t>Pune ITMS Transport Commissioner Office</t>
  </si>
  <si>
    <t>2024_TCO_1011372_1</t>
  </si>
  <si>
    <t>Gurugram Smart Traffic Signal Lights GMDA</t>
  </si>
  <si>
    <t>2024_HRY_357592_1</t>
  </si>
  <si>
    <t>Bhopal MPLUN All in One Laptop &amp; Desktop MP</t>
  </si>
  <si>
    <t>2024_MPLUN_323878_1</t>
  </si>
  <si>
    <t>BHOPAL MPLUN Video Wall MP</t>
  </si>
  <si>
    <t>2024_MPLUN_323861_1</t>
  </si>
  <si>
    <t>BHOPAL MPLUN INTERACTIVE PANEL MP</t>
  </si>
  <si>
    <t>2024_MPLUN_323278_1</t>
  </si>
  <si>
    <t>Bhopal MPLUN CCTV</t>
  </si>
  <si>
    <t>2024_MPLUN_327014_1</t>
  </si>
  <si>
    <t xml:space="preserve">Panchkula CCTV Surveillance Haryana </t>
  </si>
  <si>
    <t>2024_HRY_357621_1</t>
  </si>
  <si>
    <t>BELAPUR  VMS NMMC Maharashtra</t>
  </si>
  <si>
    <t>2024_NMMC_1011708_1</t>
  </si>
  <si>
    <t>Bhopal Vindhyachal Bhawan  Video Conferencing System MP</t>
  </si>
  <si>
    <t>2024_STDC_335341_1</t>
  </si>
  <si>
    <t>Bhopal MP Home Department Video Wall GEM</t>
  </si>
  <si>
    <t>GEM/2024/B/4509623</t>
  </si>
  <si>
    <t>Kavaratti Smart City ICCC Lakshadweep</t>
  </si>
  <si>
    <t>2023_UTL_2483_1</t>
  </si>
  <si>
    <t>Odisha Transport Command Control Centre &amp; IEMS</t>
  </si>
  <si>
    <t>http://odishatransport.gov.in</t>
  </si>
  <si>
    <t>Lucknow Revenue Department  Supply &amp; Installation of IT Items UP</t>
  </si>
  <si>
    <t>GEM/2023/B/4381161</t>
  </si>
  <si>
    <t>Maharashtra CCTV Home Department GEM</t>
  </si>
  <si>
    <t>GEM/2024/B/4615846</t>
  </si>
  <si>
    <t>Maharashtra Nagpur IITMS</t>
  </si>
  <si>
    <t>2023_NMCN_961669_1</t>
  </si>
  <si>
    <t>Lucknow ICT Lab GEM</t>
  </si>
  <si>
    <t>GEM/2024/B/4465353</t>
  </si>
  <si>
    <t>Bhopal Urban Administration AMC ABPAS Project MP</t>
  </si>
  <si>
    <t>2024_UAD_329284_1</t>
  </si>
  <si>
    <t>Haryana Government  GMDA Smart City CCTV</t>
  </si>
  <si>
    <t>2024_HRY_351123_1</t>
  </si>
  <si>
    <t>Ferozepur Border CCTV Camers Punjab</t>
  </si>
  <si>
    <t>2023_DHA_114418_1</t>
  </si>
  <si>
    <t>Faridabad Camera Work Haryana Government</t>
  </si>
  <si>
    <t>2023_HRY_336568_1</t>
  </si>
  <si>
    <t xml:space="preserve">MP 05 cities Surveillance Systems </t>
  </si>
  <si>
    <t>2024_MPP_327008_1</t>
  </si>
  <si>
    <t>Bhopal Security Operations Center MP</t>
  </si>
  <si>
    <t>2023_SEDC_322711_1</t>
  </si>
  <si>
    <t>Punjab ATCS 42 Jun. Municipal Corporation - Ludhiana  (2nd Call)</t>
  </si>
  <si>
    <t>2023_DLG_114704_1</t>
  </si>
  <si>
    <t>Indian Railway CVVRS New Delhi</t>
  </si>
  <si>
    <t>Gwalior Smart City CCTV Surveillance  MP</t>
  </si>
  <si>
    <t>2023_UAD_320282_1</t>
  </si>
  <si>
    <t xml:space="preserve">Guwahati Smart City SURVEILLANCE Work </t>
  </si>
  <si>
    <t>2023_GSCT_35054_1</t>
  </si>
  <si>
    <t>ANPR CCTV System for 03 cities MP</t>
  </si>
  <si>
    <t>2023_MPP_320085_1</t>
  </si>
  <si>
    <t>SAS Nagar City Surveillance Punjab</t>
  </si>
  <si>
    <t>2024_DHA_114802_1</t>
  </si>
  <si>
    <t>Ferozepur 4 Towns CCTV Camers Punjab</t>
  </si>
  <si>
    <t>2024_DHA_114801_1</t>
  </si>
  <si>
    <t>Mangalore CCTV CAMERAS</t>
  </si>
  <si>
    <t>2023_NMPT_782100_1</t>
  </si>
  <si>
    <t>CPPP</t>
  </si>
  <si>
    <t xml:space="preserve">Bilaspur ICCC Gem </t>
  </si>
  <si>
    <t>GEM/2024/B/4431648</t>
  </si>
  <si>
    <t>Bikaner Education Department Tablet Computers (Q2) work Rajasthan GEM</t>
  </si>
  <si>
    <t>GEM/2023/B/4051792</t>
  </si>
  <si>
    <t>Jhansi  IT Products</t>
  </si>
  <si>
    <t>GEM/2024/B/4437493</t>
  </si>
  <si>
    <t xml:space="preserve">Vrindavan CCTV Cameras &amp; PA System UP </t>
  </si>
  <si>
    <t>2023_UPPOL_867383_2</t>
  </si>
  <si>
    <t>Mandsaur PA and CCTV System  MP</t>
  </si>
  <si>
    <t>2023_STDC_318825_1</t>
  </si>
  <si>
    <t>Bhopal ELV work MP</t>
  </si>
  <si>
    <t>2023_STDC_318827_1</t>
  </si>
  <si>
    <t>Jabalpur High Court Laptop Computers  MP</t>
  </si>
  <si>
    <t>2023_MPHC_321646_1</t>
  </si>
  <si>
    <t>Vallabh Bhawan Supply of Computer Desktop GEM</t>
  </si>
  <si>
    <t>GEM/2023/B/4331333</t>
  </si>
  <si>
    <t xml:space="preserve">Uttarakhand MoRTH  ITMS Chardham </t>
  </si>
  <si>
    <t>2023_MoRTH_764267_1</t>
  </si>
  <si>
    <t>Navi Mumbai SOFTWARE DEFINED WAN SBI</t>
  </si>
  <si>
    <t>SDWAN</t>
  </si>
  <si>
    <t>https://sbi.co.in/web/sbi-in-the-news/procurement-news</t>
  </si>
  <si>
    <t>AIIMS Raipur Supply CCTV with Server GEM</t>
  </si>
  <si>
    <t>GEM/2023/B/4343637</t>
  </si>
  <si>
    <t>Mohali Chandigarh International Airport  SCCTV System GEM</t>
  </si>
  <si>
    <t>GEM/2023/B/4313503</t>
  </si>
  <si>
    <t>Chennai Metro Rail CCTV Video Surveillance System</t>
  </si>
  <si>
    <t>2023_CMRL_783563_1</t>
  </si>
  <si>
    <t>Kolkata CCTV &amp; EPBAX System WBPDCL WEST BENGAL</t>
  </si>
  <si>
    <t>2023_WBPDC_619676_1</t>
  </si>
  <si>
    <t>Neemach ELV work MP</t>
  </si>
  <si>
    <t>2023_STDC_318826_1</t>
  </si>
  <si>
    <t>149 Proc. Empanelment MP Jal Nigam</t>
  </si>
  <si>
    <t>2023_MPJNM_321267_1</t>
  </si>
  <si>
    <t>150 Proc. Empanelment MP Jal Nigam</t>
  </si>
  <si>
    <t>2023_MPJNM_321267_2</t>
  </si>
  <si>
    <t>151 Proc. Empanelment MP Jal Nigam</t>
  </si>
  <si>
    <t>2023_MPJNM_321267_3</t>
  </si>
  <si>
    <t>CCTV CAMERA AT RAJBHAWAN BHOPAL</t>
  </si>
  <si>
    <t>2023_MPP_319730_1</t>
  </si>
  <si>
    <t>Bhopal Smart City ITMS (BSCDCL)</t>
  </si>
  <si>
    <t>2023_UAD_315411_1</t>
  </si>
  <si>
    <t>Ayodhya city PA System Integrator Uttar Pradesh</t>
  </si>
  <si>
    <t>2023_DOLBU_869411_1</t>
  </si>
  <si>
    <t>MP Sagar ITMS SYSTEM INTEGRATOR GEM</t>
  </si>
  <si>
    <t>GEM/2023/B/4300017</t>
  </si>
  <si>
    <t>BHOPAL VIDHAN SABHA CCTV MP Police</t>
  </si>
  <si>
    <t>2023_MPP_319713_1</t>
  </si>
  <si>
    <t>CCTV SURVEILLANCE Raebareli UP GEM</t>
  </si>
  <si>
    <t>GEM/2023/B/4355359</t>
  </si>
  <si>
    <t>Delhi Police Red Light Signal 57 Intersections GEM</t>
  </si>
  <si>
    <t>Delhi Police Automatic Over Speed 125 Location GEM</t>
  </si>
  <si>
    <t>Uttarakhand USDMA Building Servers Work</t>
  </si>
  <si>
    <t>2023_GRID1_62345_1</t>
  </si>
  <si>
    <t>Ayodhya ITMS CCTV Surveillance Uttar Pradesh</t>
  </si>
  <si>
    <t>2023_DOLBU_869859_1</t>
  </si>
  <si>
    <t>Bilaspur Command &amp; Control Centre GEM</t>
  </si>
  <si>
    <t>GEM/2023/B/4171930</t>
  </si>
  <si>
    <t>Punjab Police Housing Corporation</t>
  </si>
  <si>
    <t>2023_DHA_111489_1</t>
  </si>
  <si>
    <t xml:space="preserve">Odisha CCTV Surveillance with PA System </t>
  </si>
  <si>
    <t>2023_OBCC_96818_1</t>
  </si>
  <si>
    <t>Bhopal MP Police Supply of Computer &amp; other items</t>
  </si>
  <si>
    <t>2023_MPP_319940_1</t>
  </si>
  <si>
    <t xml:space="preserve">Navi Mumbai ICCC GEM </t>
  </si>
  <si>
    <t>GEM/2023/B/3781542</t>
  </si>
  <si>
    <t>Gandhinagar Gujarat Videowall GEM</t>
  </si>
  <si>
    <t>GEM/2023/B/4280434</t>
  </si>
  <si>
    <t>Ajmer Rajasthan Networking Items GEM</t>
  </si>
  <si>
    <t>GEM/2023/B/4333348</t>
  </si>
  <si>
    <t>Chennai Port Authority Camera</t>
  </si>
  <si>
    <t>2023_ChPT_784898_1</t>
  </si>
  <si>
    <t>Andhra Pradesh Supply of IT Components Higher Education GEM</t>
  </si>
  <si>
    <t>GEM/2023/B/4248888</t>
  </si>
  <si>
    <t>Morena 12 junctions traffic signal</t>
  </si>
  <si>
    <t>2023_UAD_310676_1</t>
  </si>
  <si>
    <t>MP  State-Wide System Integrator (ABPAS 3.0)</t>
  </si>
  <si>
    <t>2023_UAD_315436_1</t>
  </si>
  <si>
    <t>MPSCSC Command &amp; Control System</t>
  </si>
  <si>
    <t>2023_MPWLC_313609_1</t>
  </si>
  <si>
    <t>Guwahati Smart City</t>
  </si>
  <si>
    <t>2023_GSCT_32416_1</t>
  </si>
  <si>
    <t>https://www.assamtenders.gov.in/</t>
  </si>
  <si>
    <t>TCIL_Implementation Partner VSS Railtel</t>
  </si>
  <si>
    <t>GEM/2023/B/4218358</t>
  </si>
  <si>
    <t>UP Ghaziabad   ITMS CCTV Survei.</t>
  </si>
  <si>
    <t>2023_DOLBU_864521_1</t>
  </si>
  <si>
    <t>Tamil Nadu TASMAC IP CCTV cameras</t>
  </si>
  <si>
    <t>2023_TASMA_394569_1</t>
  </si>
  <si>
    <t>https://tntenders.gov.in/nicgep/app</t>
  </si>
  <si>
    <t>Punjab Ferozepur CCTV Cameras</t>
  </si>
  <si>
    <t>2023_DHA_113172_1</t>
  </si>
  <si>
    <t>IOCL Panipat Refinery CCTV</t>
  </si>
  <si>
    <t>2023_PR_172851_1</t>
  </si>
  <si>
    <t>https://iocletenders.nic.in/</t>
  </si>
  <si>
    <t>MP Schools Digital Lab in 274 CM RISE GEM</t>
  </si>
  <si>
    <t>GEM/2023/B/4022286</t>
  </si>
  <si>
    <t xml:space="preserve">Ranchi CCTV surveillance GEM </t>
  </si>
  <si>
    <t>GEM/2023/B/4110711</t>
  </si>
  <si>
    <t>Saharanpur Smart City UP ( VMDs) (QCBS)</t>
  </si>
  <si>
    <t>2023_NNSAH_850149_1</t>
  </si>
  <si>
    <t>MP CCTV IT netw. Equi. 10 ITIs</t>
  </si>
  <si>
    <t>MPSDP/52/2022-23</t>
  </si>
  <si>
    <t>https://mpsdp.mp.gov.in/tender.php</t>
  </si>
  <si>
    <t>Gujarat CCTV Surv. Road Transport GEM</t>
  </si>
  <si>
    <t>GEM/2023/B/3958530</t>
  </si>
  <si>
    <t xml:space="preserve">Uttarakhand MoRTH ITMS Chardham </t>
  </si>
  <si>
    <t>Gem Gujarat Surveillance CCTV</t>
  </si>
  <si>
    <t>GEM/2022/B/2661545</t>
  </si>
  <si>
    <t>Jharkhand CCTV and Installation</t>
  </si>
  <si>
    <t>GEM/2023/B/4113784</t>
  </si>
  <si>
    <t xml:space="preserve">Delhi PWD  INETRACTIVE PANEL GEM </t>
  </si>
  <si>
    <t>GEM/2023/B/3994252</t>
  </si>
  <si>
    <t>MP High.Edu. 10 colleges digital studio</t>
  </si>
  <si>
    <t>2023_HED_315490_1</t>
  </si>
  <si>
    <t xml:space="preserve">Delhi Audio &amp; Video Conferencing GEM </t>
  </si>
  <si>
    <t>GEM/2023/B/4182278</t>
  </si>
  <si>
    <t>Noida Audio Video system  GEM</t>
  </si>
  <si>
    <t>GEM/2023/B/4185626</t>
  </si>
  <si>
    <t xml:space="preserve">MP School Edu. Video Conferencing GEM </t>
  </si>
  <si>
    <t>GEM/2023/B/4060189</t>
  </si>
  <si>
    <t xml:space="preserve">GEM New Delhi Video Conferencing Equipment  </t>
  </si>
  <si>
    <t>GEM/2023/B/4137347</t>
  </si>
  <si>
    <t>Thiruvananthapuram Smart City Display Boards LED</t>
  </si>
  <si>
    <t>2023_SCTLT_605900_1</t>
  </si>
  <si>
    <t xml:space="preserve">Gurgaon Smart City  CCTV </t>
  </si>
  <si>
    <t>2023_HRY_315598_1</t>
  </si>
  <si>
    <t>Kolkata Police  CCTV ANPR-Phase-II</t>
  </si>
  <si>
    <t>2023_KP_572069_1</t>
  </si>
  <si>
    <t>Bhopal Smart City  Excise ANPR</t>
  </si>
  <si>
    <t>2023_UAD_310392_1</t>
  </si>
  <si>
    <t>MP Police Integ. Secu. Surveil. Syst.  in 05 cities</t>
  </si>
  <si>
    <t>2023_MPP_307085_2</t>
  </si>
  <si>
    <t xml:space="preserve">MP Sagar Body Worn Camera,ANPR  GEM </t>
  </si>
  <si>
    <t>GEM/2023/B/4027231</t>
  </si>
  <si>
    <t xml:space="preserve">MP Singrauli College traffic signals </t>
  </si>
  <si>
    <t>2023_UAD_308920_1</t>
  </si>
  <si>
    <t>UP Gorakhpur ITMS CCTV Survei.</t>
  </si>
  <si>
    <t>2023_DOLBU_849150_1</t>
  </si>
  <si>
    <t>UP Ayodhya  ITMS CCTV Survei.</t>
  </si>
  <si>
    <t>2023_DOLBU_845746_1</t>
  </si>
  <si>
    <t>UP Meerut  ITMS CCTV Survei.</t>
  </si>
  <si>
    <t>2023_NNMEE_845081_1</t>
  </si>
  <si>
    <t>UP Mathura ITMS CCTV Survei.</t>
  </si>
  <si>
    <t>2023_DOLBU_844475_1</t>
  </si>
  <si>
    <t>UP Shahjahanpur ITMS CCTV Survei.</t>
  </si>
  <si>
    <t>2023_DOLBU_847709_1</t>
  </si>
  <si>
    <t>UP Firozabad  ITMS CCTV Survei.</t>
  </si>
  <si>
    <t>2023_DOLBU_844533_1</t>
  </si>
  <si>
    <t>Odisha(OAVS) CCTV Survei</t>
  </si>
  <si>
    <t>OCAC-SEGP-INFRA-0037-2023-23057</t>
  </si>
  <si>
    <t>https://www.ocac.in/</t>
  </si>
  <si>
    <t xml:space="preserve">Rajasthan ITC Surveil Abhay Command &amp; Control Project </t>
  </si>
  <si>
    <t>GEM/2023/B/3954330</t>
  </si>
  <si>
    <t>Tamilnadu CCTV With  BIOMETRIC SYSTEM</t>
  </si>
  <si>
    <t>2023_DADW_371193_1</t>
  </si>
  <si>
    <t>https://www.tntenders.gov.in/</t>
  </si>
  <si>
    <t>Tarapur CCTV surveil.  BARC</t>
  </si>
  <si>
    <t>2023_NRB_769032_1</t>
  </si>
  <si>
    <t>Punjab  Data Center</t>
  </si>
  <si>
    <t>2023_GR_109168_1</t>
  </si>
  <si>
    <t xml:space="preserve">MP Anuppur Tribal Affair SMART CLASS GEM </t>
  </si>
  <si>
    <t>GEM/2023/B/3977858</t>
  </si>
  <si>
    <t xml:space="preserve"> Manipur High Court HCS-41 GEM</t>
  </si>
  <si>
    <t>GEM/2023/B/4051053</t>
  </si>
  <si>
    <t xml:space="preserve"> Manipur High Court HCS-5 GEM</t>
  </si>
  <si>
    <t>GEM/2023/B/4053097</t>
  </si>
  <si>
    <t>Panjab Ludhiana ATCS 42 junctions</t>
  </si>
  <si>
    <t>2023_DLG_105143_1</t>
  </si>
  <si>
    <t xml:space="preserve">M.p. Rajya Sahakari Bank CCTV GEM </t>
  </si>
  <si>
    <t>GEM/2023/B/4046181</t>
  </si>
  <si>
    <t>Bhopal Smart City Carbon Credits Projects</t>
  </si>
  <si>
    <t>2023_UAD_315620_1</t>
  </si>
  <si>
    <t xml:space="preserve">MP GUNA CCTV Survei. GEM </t>
  </si>
  <si>
    <t>GEM/2023/B/4016051</t>
  </si>
  <si>
    <t>Delhi MHA CCTV Surve.</t>
  </si>
  <si>
    <t>2023_MHA_773043_1</t>
  </si>
  <si>
    <t xml:space="preserve">Rangpuri AAI Gem </t>
  </si>
  <si>
    <t>GEM/2023/B/4024551</t>
  </si>
  <si>
    <t>Jalandhar panjab HQ Baf Gem</t>
  </si>
  <si>
    <t>GEM/2023/B/3853263</t>
  </si>
  <si>
    <t>Rajasthan Jaisalmer Hsp. LAN, CCTV-2</t>
  </si>
  <si>
    <t>2023_RSRDC_373647_1</t>
  </si>
  <si>
    <t>Rajasthan Jaisalmer Hsp. LAN, CCTV-1</t>
  </si>
  <si>
    <t>2023_RSRDC_373645_1</t>
  </si>
  <si>
    <t>West Bengal CCTV Surveill.</t>
  </si>
  <si>
    <t>2023_WTL_574715_1</t>
  </si>
  <si>
    <t xml:space="preserve"> Haryana State Data Centre</t>
  </si>
  <si>
    <t>2023_HBC_309507_1</t>
  </si>
  <si>
    <t xml:space="preserve">Rajasthan BANSWARA MEDICAL HOSP. LAN CCTV </t>
  </si>
  <si>
    <t>2023_RSRDC_367748_1</t>
  </si>
  <si>
    <t xml:space="preserve">Rajasthan RoadDCC LAN CCTV </t>
  </si>
  <si>
    <t>2023_RSRDC_367745_1</t>
  </si>
  <si>
    <t>Rajasthan Tech. Edu GEM</t>
  </si>
  <si>
    <t>GEM/2023/B/4008318</t>
  </si>
  <si>
    <t>CCTV_AIIMS_Bhubaneswar</t>
  </si>
  <si>
    <t>2023_AIIMO_769143_1</t>
  </si>
  <si>
    <t>https://eprocure.gov.in/eprocure/</t>
  </si>
  <si>
    <t>Sawai Madhopur SITC of LAN, CCTV</t>
  </si>
  <si>
    <t>2023_RSRDC_365220_1</t>
  </si>
  <si>
    <t>2023_DOLBU_845084_1</t>
  </si>
  <si>
    <t>MP Higher Edu ICT Equipment 52</t>
  </si>
  <si>
    <t>2023_HED_287269_1</t>
  </si>
  <si>
    <t>MP Police ANPR in 03 major cities</t>
  </si>
  <si>
    <t>2023_MPP_306167_1</t>
  </si>
  <si>
    <t>MP Higher Education 108 Colleges</t>
  </si>
  <si>
    <t>2023_HED_305129_1</t>
  </si>
  <si>
    <t xml:space="preserve">Ahmedabad Smart City </t>
  </si>
  <si>
    <t>SCADL_RFP_22-23_02</t>
  </si>
  <si>
    <t>https://ahmedabadcity.gov.in/DC/Tenders</t>
  </si>
  <si>
    <t xml:space="preserve">Rajasthan NAGAUR MEDICAL HOSP. LAN CCTV </t>
  </si>
  <si>
    <t>2023_RSRDC_367728_1</t>
  </si>
  <si>
    <t xml:space="preserve">Rajasthan KARAULI MEDICAL HOSP. LAN CCTV </t>
  </si>
  <si>
    <t>2023_RSRDC_367733_1</t>
  </si>
  <si>
    <t xml:space="preserve">JABALPUR Indian Army CCTV GEM </t>
  </si>
  <si>
    <t>GEM/2023/B/3791698</t>
  </si>
  <si>
    <t>Jharkhand Dist. &amp; Sub Divis. Court Video Conf. Syst.</t>
  </si>
  <si>
    <t>2023_IT_74621_1</t>
  </si>
  <si>
    <t xml:space="preserve"> Bhopal &amp; Ujjain Division CCTV </t>
  </si>
  <si>
    <t>2023_SCMFL_309301_1</t>
  </si>
  <si>
    <t>MP Higher Edu. System solution and Hardware GEM</t>
  </si>
  <si>
    <t>GEM/2023/B/3925618</t>
  </si>
  <si>
    <t>Patna AIIMS CCTV</t>
  </si>
  <si>
    <t>2023_AMSPA_769668_1</t>
  </si>
  <si>
    <t>Bhopal System Integrator Nagarpalika 2.0</t>
  </si>
  <si>
    <t>2023_UAD_300949_1</t>
  </si>
  <si>
    <t xml:space="preserve"> Bhopal BCLL (ITMS)</t>
  </si>
  <si>
    <t>2023_BCLL_294327_1</t>
  </si>
  <si>
    <t>Bhopal Higher Edu. Digital Studio</t>
  </si>
  <si>
    <t>2023_HED_298836_1</t>
  </si>
  <si>
    <t>MPLUN ACTIVE LED DISPLAY WALL</t>
  </si>
  <si>
    <t>2023_MPLUN_299431_1</t>
  </si>
  <si>
    <t>MP CM House_New</t>
  </si>
  <si>
    <t>2023_MPP_297506_1</t>
  </si>
  <si>
    <t>Gandhinagar ERC 287 SR offices</t>
  </si>
  <si>
    <t>SWT190823217</t>
  </si>
  <si>
    <t>https://gil.gujarat.gov.in/</t>
  </si>
  <si>
    <t>MP  System Integrator GEOMN</t>
  </si>
  <si>
    <t>2023_GEOMN_303984_1</t>
  </si>
  <si>
    <t>Aligarh SMART CITY</t>
  </si>
  <si>
    <t>2023_DOLBU_828624_2</t>
  </si>
  <si>
    <t xml:space="preserve"> Lucknow Desktop Printer Cooperative Bank GEM</t>
  </si>
  <si>
    <t>GEM/2023/B/3891403</t>
  </si>
  <si>
    <t>Rajasthan Electrical and LAN, CCTV</t>
  </si>
  <si>
    <t>2023_RSRDC_359763_1</t>
  </si>
  <si>
    <t>Rajasthan CCTV Survei. Medical</t>
  </si>
  <si>
    <t>2023_RMSCL_361022_1</t>
  </si>
  <si>
    <t>MP School Education CCTV-GEM</t>
  </si>
  <si>
    <t>GEM/2023/B/3898045</t>
  </si>
  <si>
    <t>Rajasthan  ICT Lab in 57 BRCs</t>
  </si>
  <si>
    <t>2023_RCSCE_359006_1</t>
  </si>
  <si>
    <t>SEHORE LED STREET LIGHT</t>
  </si>
  <si>
    <t>2023_UAD_298180_1</t>
  </si>
  <si>
    <t>Rajasthan Schools ICT Lab in 380</t>
  </si>
  <si>
    <t>2023_RCSCE_356445_1</t>
  </si>
  <si>
    <t>Rajasthan Schools ICT Lab in 854</t>
  </si>
  <si>
    <t>2023_RCSCE_356438_1</t>
  </si>
  <si>
    <t xml:space="preserve">Rajasthan Schools ICT Lab in 958 </t>
  </si>
  <si>
    <t>2023_RCSCE_356422_1</t>
  </si>
  <si>
    <t>Noida CCTV in DND Toll Plaza</t>
  </si>
  <si>
    <t>2023_NOIDA_836523_1</t>
  </si>
  <si>
    <t>Noida CCTV 76 Metro Station Road Bahlolpur</t>
  </si>
  <si>
    <t>2023_NOIDA_836539_1</t>
  </si>
  <si>
    <t>Noida CCTV and PA System</t>
  </si>
  <si>
    <t>2023_NOIDA_836531_1</t>
  </si>
  <si>
    <t xml:space="preserve">Punjab SAS Nagar City Survei._4rth call </t>
  </si>
  <si>
    <t>2023_DHA_106218_1</t>
  </si>
  <si>
    <t xml:space="preserve">Delhi Metro Rail  CCTV </t>
  </si>
  <si>
    <t>2023_DMRC_760673_1</t>
  </si>
  <si>
    <t>Jharkhand Facility Management Services</t>
  </si>
  <si>
    <t>2023_HRD_74725_1</t>
  </si>
  <si>
    <t>MP Higher Education CCTV (Centralize Storage)</t>
  </si>
  <si>
    <t>GEM/2023/B/3890440</t>
  </si>
  <si>
    <t>Indore  traffic signals</t>
  </si>
  <si>
    <t>2023_UAD_297952_1</t>
  </si>
  <si>
    <t xml:space="preserve">Nava Raipur Bank Desktop GEM </t>
  </si>
  <si>
    <t>GEM/2023/B/3828179</t>
  </si>
  <si>
    <t>Puducherry RailTel (Iccc) Smart City</t>
  </si>
  <si>
    <t>RCIL-2023--PDY-Smart City-RFP-01</t>
  </si>
  <si>
    <t>https://railtel.enivida.com/</t>
  </si>
  <si>
    <t> Jabalpur MPPKVVCL Desktop Computers</t>
  </si>
  <si>
    <t>2023_PKVVC_294313_1</t>
  </si>
  <si>
    <t>VIDHANSABHA BHAWAN MP CCTV</t>
  </si>
  <si>
    <t>2023_MPP_297027_1</t>
  </si>
  <si>
    <t xml:space="preserve">Haryana Rohtak Division Structured Local Area Network </t>
  </si>
  <si>
    <t>2023_HBC_298693_1</t>
  </si>
  <si>
    <t>https://etenders.hry.nic.in</t>
  </si>
  <si>
    <t>Haryana Structured Local Area Network</t>
  </si>
  <si>
    <t>2023_HBC_298682_1</t>
  </si>
  <si>
    <t xml:space="preserve">Bhopal AMC Rajya Sahakari Bank Hardware </t>
  </si>
  <si>
    <t>GEM/2023/B/3800962</t>
  </si>
  <si>
    <t xml:space="preserve">UP Lucknow District Court CCTV </t>
  </si>
  <si>
    <t>2023_CEEMP_820235_1</t>
  </si>
  <si>
    <t>Delhi Agriculture SYSTEM INTEGRATOR ICCC</t>
  </si>
  <si>
    <t>GEM/2023/B/3658288</t>
  </si>
  <si>
    <t xml:space="preserve"> Indore MPPKVVCL Desktop Computers 600 Volts Amp</t>
  </si>
  <si>
    <t xml:space="preserve">	2023_MPPKV_287496_1</t>
  </si>
  <si>
    <t>Gomti Nagar CCTV Servilance</t>
  </si>
  <si>
    <t>2023_LDAUP_825597_1</t>
  </si>
  <si>
    <t xml:space="preserve"> IIT Madras CCTV Surv.</t>
  </si>
  <si>
    <t>2023_IITM_163254_1</t>
  </si>
  <si>
    <t>Ayodhya Nagar Nigam (ICCC)</t>
  </si>
  <si>
    <t>2023_DOLBU_818203_1</t>
  </si>
  <si>
    <t>MP Command Center at Excise Depart._NEW</t>
  </si>
  <si>
    <t>2023_UAD_287757_1</t>
  </si>
  <si>
    <t>MP GEOMN System Integrator</t>
  </si>
  <si>
    <t>2023_GEOMN_293571_1</t>
  </si>
  <si>
    <t>Punjab and Haryana High Court Data Center</t>
  </si>
  <si>
    <t>2023_HBC_301499_1</t>
  </si>
  <si>
    <t>Bhopal Central Jail AMC CCTV</t>
  </si>
  <si>
    <t>2023_DGPCS_297494_1</t>
  </si>
  <si>
    <t>Punjab Data Center</t>
  </si>
  <si>
    <t>2023_GR_104542_1</t>
  </si>
  <si>
    <t>Guwahati NIPER CCTV Surv. GEM</t>
  </si>
  <si>
    <t>GEM/2023/B/3786876</t>
  </si>
  <si>
    <t>Ajmer(Rajasthan) AAI CAMC GEM</t>
  </si>
  <si>
    <t>GEM/2023/B/3770469</t>
  </si>
  <si>
    <t xml:space="preserve">Delhi EDU. CCTV GEM </t>
  </si>
  <si>
    <t>GEM/2023/B/3689311</t>
  </si>
  <si>
    <t>UP Saharanpur District COURT</t>
  </si>
  <si>
    <t>2023_CEEMP_825658_2</t>
  </si>
  <si>
    <t xml:space="preserve"> Bhopal  Defence Video wall GEM </t>
  </si>
  <si>
    <t>GEM/2023/B/3523225</t>
  </si>
  <si>
    <t>MP Higher Edu DigitalTeachingDisplay 60</t>
  </si>
  <si>
    <t>2023_HED_287248_1</t>
  </si>
  <si>
    <t>Jharsuguda Smart Traffic Control(Odisha)</t>
  </si>
  <si>
    <t>https://www.tenderdetail.com/</t>
  </si>
  <si>
    <t>Chennai PA Systems</t>
  </si>
  <si>
    <t>2023_ELCO_326976_1</t>
  </si>
  <si>
    <t>Ahmedabad Smart City Surveil.</t>
  </si>
  <si>
    <t>Jammu Smart City ICCC Data Centre</t>
  </si>
  <si>
    <t>2023_SPV_218427_1</t>
  </si>
  <si>
    <t>UP Ghaziabad District Court CCTV Surv.</t>
  </si>
  <si>
    <t>UP Firozabad District Court CCTV Surv.</t>
  </si>
  <si>
    <t>2023_CEEMP_823735_1</t>
  </si>
  <si>
    <t>JAMMU SMART CITY DATA CENTRE(ICCC)</t>
  </si>
  <si>
    <t>RCIL/NR_CDG/EOI/MKTG/JSCL/DC-DRC/2023-24</t>
  </si>
  <si>
    <t xml:space="preserve">BENGALURU CCTV Surve. IAF GEM </t>
  </si>
  <si>
    <t>GEM/2023/B/3572361</t>
  </si>
  <si>
    <t>Bhopal Smart City on PPP mode</t>
  </si>
  <si>
    <t>2023_UAD_286740_1</t>
  </si>
  <si>
    <t xml:space="preserve">Mumbai NAVY CCTV </t>
  </si>
  <si>
    <t>2023_NAVY_594578_1</t>
  </si>
  <si>
    <t>https://defproc.gov.in/</t>
  </si>
  <si>
    <t>Gujarat CCTV Jailbhavan Gem</t>
  </si>
  <si>
    <t>GEM/2023/B/3650673</t>
  </si>
  <si>
    <t xml:space="preserve">Prayagaraj Smart City GEM </t>
  </si>
  <si>
    <t>GEM/2023/B/3652711</t>
  </si>
  <si>
    <t xml:space="preserve">BHOPAL Police NON BOQ CCTV 2nd Call </t>
  </si>
  <si>
    <t>2023_MPP_287679_1</t>
  </si>
  <si>
    <t>District Jail Chamoli,Pauri &amp; Tehri CCTV PWD</t>
  </si>
  <si>
    <t>2023_pwd_59386_1</t>
  </si>
  <si>
    <t> LUCKNOW Data Centre NGFW</t>
  </si>
  <si>
    <t>2023_UDSCL_817588_1</t>
  </si>
  <si>
    <t xml:space="preserve">Jammu &amp; Kashmir PoliceCCTV Gem </t>
  </si>
  <si>
    <t>GEM/2023/B/3426597</t>
  </si>
  <si>
    <t>UP  Bareilly district court  CCTV AMC</t>
  </si>
  <si>
    <t>2023_CEEMP_821802_1</t>
  </si>
  <si>
    <t>UP Pilibhit district court  CCTV AMC</t>
  </si>
  <si>
    <t>2023_CEEMP_821874_1</t>
  </si>
  <si>
    <t>Dhar, Indore and Datia MP Rural Roads Develo._Phase-2</t>
  </si>
  <si>
    <t>2023_WBRRD_273719_1</t>
  </si>
  <si>
    <t>Indore MP Rural Roads Develo._Phase-2A</t>
  </si>
  <si>
    <t>2023_WBRRD_273704_1</t>
  </si>
  <si>
    <t>Dhar, Indore and Datia MP Rural Roads Develo._Phase-1</t>
  </si>
  <si>
    <t>2023_WBRRD_273718_1</t>
  </si>
  <si>
    <t>Dhar, Indore and Datia MP Rural Roads Develo._Phase-3</t>
  </si>
  <si>
    <t>2023_WBRRD_273712_1</t>
  </si>
  <si>
    <t>Chhattisgarh  Hardware GEM</t>
  </si>
  <si>
    <t>GEM/2023/B/3564329</t>
  </si>
  <si>
    <t>UP Lalitpur District Court CCTV Surv.</t>
  </si>
  <si>
    <t>2023_CEEMP_820592_1</t>
  </si>
  <si>
    <t>UP Mahoba  District Court CCTV Surv.</t>
  </si>
  <si>
    <t>2023_CEEMP_820697_1</t>
  </si>
  <si>
    <t>UP Chitrakoot  District Court CCTV Surv.</t>
  </si>
  <si>
    <t>2023_CEEMP_820672_1</t>
  </si>
  <si>
    <t>UP Hamirpur District Court CCTV Surv.</t>
  </si>
  <si>
    <t>2023_CEEMP_820683_1</t>
  </si>
  <si>
    <t>UP Jhansi District Court CCTV Surv.</t>
  </si>
  <si>
    <t>2023_CEEMP_820501_1</t>
  </si>
  <si>
    <t>UP Banda District Court CCTV Surv.</t>
  </si>
  <si>
    <t>2023_CEEMP_820620_1</t>
  </si>
  <si>
    <t>UP Orai District Court CCTV Surv.</t>
  </si>
  <si>
    <t>2023_CEEMP_820604_1</t>
  </si>
  <si>
    <t>Haryana Panipat PTPS CCTV Surve.</t>
  </si>
  <si>
    <t>2023_HBC_293147_1</t>
  </si>
  <si>
    <t xml:space="preserve">CM House Bhopal MP </t>
  </si>
  <si>
    <t>2023_MPP_275163_1</t>
  </si>
  <si>
    <t>Pimpri Chinchwad CCTV SURVE</t>
  </si>
  <si>
    <t>2023_PCMCP_905813_1</t>
  </si>
  <si>
    <t>MP Police CCTV-41</t>
  </si>
  <si>
    <t>2023_MPP_283138_1</t>
  </si>
  <si>
    <t>MPMKVVCL Bhopal LED Video Wall</t>
  </si>
  <si>
    <t>2023_MKVVC_283857_1</t>
  </si>
  <si>
    <t xml:space="preserve">Up Police Varanasi Commissionerate </t>
  </si>
  <si>
    <t>GEM/2023/B/3473135</t>
  </si>
  <si>
    <t>UP Police Gautambudhnagar Commissionerate  CCTV Gem (Q3)</t>
  </si>
  <si>
    <t>GEM/2023/B/3472995</t>
  </si>
  <si>
    <t>'Delhi PWD Digital classroom</t>
  </si>
  <si>
    <t>2023_PWD_240043_1</t>
  </si>
  <si>
    <t>Madhya Pradesh IOCL</t>
  </si>
  <si>
    <t>2023_WRO_165971_1</t>
  </si>
  <si>
    <t>Delhi PWD  600 Nos. LED Screens</t>
  </si>
  <si>
    <t>2023_PWD_239994_1</t>
  </si>
  <si>
    <t xml:space="preserve">'Bhopal Airports Authority CAMC GEM </t>
  </si>
  <si>
    <t>GEM/2023/B/3584486</t>
  </si>
  <si>
    <t xml:space="preserve"> MP Command Center at Excise Depart.</t>
  </si>
  <si>
    <t>2023_UAD_276825_1</t>
  </si>
  <si>
    <t>Telangana POLICE CCTV</t>
  </si>
  <si>
    <t>https://tender.telangana.gov.in/</t>
  </si>
  <si>
    <t>AHMEDABAD CCTV ONGC</t>
  </si>
  <si>
    <t>D15HC23003</t>
  </si>
  <si>
    <t>https://tenders.ongc.co.in/</t>
  </si>
  <si>
    <t>Azadpur CCTV Surve.</t>
  </si>
  <si>
    <t>2023_DAMB_240978_1</t>
  </si>
  <si>
    <t>IIT Roorkee  CCTV Surve.</t>
  </si>
  <si>
    <t>2023_IITR_759159_1</t>
  </si>
  <si>
    <t>Odisha CCTV Surv. RDMD</t>
  </si>
  <si>
    <t>OCAC-SEGP-MISC-0012-2023-23035</t>
  </si>
  <si>
    <t>https://www.ocac.in/tender/576</t>
  </si>
  <si>
    <t>Odisha Smart Prison Solution</t>
  </si>
  <si>
    <t>MPSEDC-IT and ITES Resources</t>
  </si>
  <si>
    <t>2023_SEDC_284018_1</t>
  </si>
  <si>
    <t xml:space="preserve">Up Police Kanpur Commissionerate </t>
  </si>
  <si>
    <t>GEM/2023/B/3472253</t>
  </si>
  <si>
    <t xml:space="preserve">Up Police Agra Zone </t>
  </si>
  <si>
    <t>GEM/2023/B/3477564</t>
  </si>
  <si>
    <t>Palghar Muncipal ICCC CCTV 58</t>
  </si>
  <si>
    <t>2023_DMA_913587_1</t>
  </si>
  <si>
    <t>Chhatarpur Panna Road LED Street Lights-4</t>
  </si>
  <si>
    <t>2023_UAD_282165_1</t>
  </si>
  <si>
    <t>Chhatarpur Panna Road LED Street Lights-3</t>
  </si>
  <si>
    <t>chhatarpur Nowgong LED Street Lights</t>
  </si>
  <si>
    <t>2023_UAD_282191_1</t>
  </si>
  <si>
    <t>Chhatarpur Panna Road LED Street Lights-2</t>
  </si>
  <si>
    <t>2023_UAD_282195_1</t>
  </si>
  <si>
    <t>Chhatarpur Panna Road Street Lights-1</t>
  </si>
  <si>
    <t>Jharkhand Police CCTV-1</t>
  </si>
  <si>
    <t>2023_JPHCL_71578_1</t>
  </si>
  <si>
    <t>Jharkhand Police CCTV-2</t>
  </si>
  <si>
    <t>2023_JPHCL_71607_1</t>
  </si>
  <si>
    <t xml:space="preserve"> GEM MP Higher Education Rajgarh </t>
  </si>
  <si>
    <t>GEM/2023/B/3445235</t>
  </si>
  <si>
    <t>UP Police Kanpur Zone CCTV Gem (Q3)</t>
  </si>
  <si>
    <t>GEM/2023/B/3472795</t>
  </si>
  <si>
    <t>UP Police Radio Hqrs Lucknow C Gem (Q3) CCTV Gem (Q3)</t>
  </si>
  <si>
    <t>GEM/2023/B/3469639</t>
  </si>
  <si>
    <t xml:space="preserve">Up Police Prayagraj Zone </t>
  </si>
  <si>
    <t>GEM/2023/B/3491374</t>
  </si>
  <si>
    <t xml:space="preserve">Up Police Gorakhpur Zone </t>
  </si>
  <si>
    <t>GEM/2023/B/3488759</t>
  </si>
  <si>
    <t xml:space="preserve">Up Police Agra Commissionerate </t>
  </si>
  <si>
    <t>GEM/2023/B/3485950</t>
  </si>
  <si>
    <t xml:space="preserve"> Mehsana Asset ONGC  IPPBX</t>
  </si>
  <si>
    <t>E16TC23016</t>
  </si>
  <si>
    <t xml:space="preserve">MP Body Worn GEM </t>
  </si>
  <si>
    <t>GEM/2023/B/3411853</t>
  </si>
  <si>
    <t>UP Police Adg Office Varansi CCTV Gem (Q3)</t>
  </si>
  <si>
    <t>GEM/2023/B/3472689</t>
  </si>
  <si>
    <t>UP Police Adg Barelly Zone CCTV Gem (Q3)</t>
  </si>
  <si>
    <t>GEM/2023/B/3472997</t>
  </si>
  <si>
    <t>UP Police Lucknow  Zone CCTV Gem (Q3)</t>
  </si>
  <si>
    <t>GEM/2023/B/3472960</t>
  </si>
  <si>
    <t>Assam Street Lights AMC ONGC</t>
  </si>
  <si>
    <t>R15RC23001</t>
  </si>
  <si>
    <t xml:space="preserve">Up Police Prayagraj Commissionerate </t>
  </si>
  <si>
    <t>GEM/2023/B/3491644</t>
  </si>
  <si>
    <t>NHAI ATMS  Palanpur</t>
  </si>
  <si>
    <t xml:space="preserve">	2023_NHAI_150894_1</t>
  </si>
  <si>
    <t xml:space="preserve">NHAI ATMS Kota-Chittorgarh  </t>
  </si>
  <si>
    <t>2023_NHAI_150896_1</t>
  </si>
  <si>
    <t>Ujjain MP Rural Roads Develo._Block</t>
  </si>
  <si>
    <t>2023_WBRRD_280517_1</t>
  </si>
  <si>
    <t>Dhar MP Rural Roads Develo.-Block</t>
  </si>
  <si>
    <t>2023_WBRRD_280497_1</t>
  </si>
  <si>
    <t>Andhra Pradesh 34 Sub-Jails CCTV Surve</t>
  </si>
  <si>
    <t xml:space="preserve">Trivandrum Smart City </t>
  </si>
  <si>
    <t>2023_SCTLT_570455_1</t>
  </si>
  <si>
    <t xml:space="preserve">Bhabha Atomic CCTV surveillance </t>
  </si>
  <si>
    <t xml:space="preserve">	2023_BARC_751938_1</t>
  </si>
  <si>
    <t xml:space="preserve">Delhi Karkardooma CCTV Surveillance </t>
  </si>
  <si>
    <t>2023_PWD_240996_1</t>
  </si>
  <si>
    <t>Bhopal BCLL ITMS</t>
  </si>
  <si>
    <t xml:space="preserve">	2023_BCLL_276056_1</t>
  </si>
  <si>
    <t>Rajasthan Abhay Command and Control Project</t>
  </si>
  <si>
    <t>2023_RISL_333947_1</t>
  </si>
  <si>
    <t>Bhopal EDU. Digital Studio at College </t>
  </si>
  <si>
    <t>2023_HED_271758_1</t>
  </si>
  <si>
    <t> Delhi Karkardooma CCTV Surve District Court</t>
  </si>
  <si>
    <t>2023_PWD_240961_1</t>
  </si>
  <si>
    <t>BHOPAL CENTRAL JAIL AMC CCTV</t>
  </si>
  <si>
    <t>2023_DGPCS_271588_1</t>
  </si>
  <si>
    <t>U.P. -AIS 140VLT PSIS</t>
  </si>
  <si>
    <t>2023_UPSRT_798563_1</t>
  </si>
  <si>
    <t>UP Police 1090-WPL- Gem</t>
  </si>
  <si>
    <t>GEM/2023/B/3313578</t>
  </si>
  <si>
    <t xml:space="preserve">Agra Fatehpur Sikri CCTV </t>
  </si>
  <si>
    <t>2023_ADAA_804317_5</t>
  </si>
  <si>
    <t xml:space="preserve">Delhi ONGC Video Analytics </t>
  </si>
  <si>
    <t>XA5VC23001</t>
  </si>
  <si>
    <t>UP-PDPC  Food and Civil Supplies Dprt.</t>
  </si>
  <si>
    <t>2023_UDSCL_802708_1</t>
  </si>
  <si>
    <t>UP Police112-Selection Of training agency</t>
  </si>
  <si>
    <t>GEM/2023/B/3442276</t>
  </si>
  <si>
    <t>UP Police112 System Integrator for Technology Implementation</t>
  </si>
  <si>
    <t>GEM/2023/B/3442086</t>
  </si>
  <si>
    <t>UP Police112-Contact Center Service Provider</t>
  </si>
  <si>
    <t>GEM/2023/B/3442240</t>
  </si>
  <si>
    <t>https://eproc.karnataka.gov.in/</t>
  </si>
  <si>
    <t>Bengaluru City Traffic Police-ATCS</t>
  </si>
  <si>
    <t>KRDCL/2022-23/BT/WORK_INDENT446</t>
  </si>
  <si>
    <t>https://aiimsbhopal.edu.in/</t>
  </si>
  <si>
    <t>AIIMS-CCTV Bhopal-2</t>
  </si>
  <si>
    <t>2023_AIIMS_707512_1</t>
  </si>
  <si>
    <t>Bhopal Smart City PPP- Second Call</t>
  </si>
  <si>
    <t>2023_UAD_262910_2</t>
  </si>
  <si>
    <t>IOCL Delhi &amp; Haryana</t>
  </si>
  <si>
    <t>2023_NRO_164726_1</t>
  </si>
  <si>
    <t xml:space="preserve">Uttar Pradesh Police MIS Gem </t>
  </si>
  <si>
    <t>GEM/2023/B/2958992</t>
  </si>
  <si>
    <t>Delhi Higher Education</t>
  </si>
  <si>
    <t>GEM/2023/B/3346667</t>
  </si>
  <si>
    <t xml:space="preserve">Delhi Data Centre Networking  </t>
  </si>
  <si>
    <t>GEM/2023/B/3371057</t>
  </si>
  <si>
    <t>Noida SYSTEM INTEGRATOR-DMIC</t>
  </si>
  <si>
    <t xml:space="preserve">	2023_DMICG_787353_1</t>
  </si>
  <si>
    <t xml:space="preserve"> Bhopal Smart City  Display advr Boards-PPP</t>
  </si>
  <si>
    <t xml:space="preserve">	2023_UAD_262910_1</t>
  </si>
  <si>
    <t>MP Higher EDU-400 HEIs</t>
  </si>
  <si>
    <t xml:space="preserve">	2023_HED_260681_1</t>
  </si>
  <si>
    <t>Dharmshala Data Center &amp; Surv.</t>
  </si>
  <si>
    <t xml:space="preserve">	2023_DSCL1_69506_1</t>
  </si>
  <si>
    <t>Mangalore Port CCTV &amp;  ALLIED -NMPA</t>
  </si>
  <si>
    <t>2023_NMPT_747628_1</t>
  </si>
  <si>
    <t xml:space="preserve">Jablpur High Court Laptop Computers Maintenance </t>
  </si>
  <si>
    <t>2023_MPHC_270073_1</t>
  </si>
  <si>
    <t>Rajasthan LAN Infra RISL</t>
  </si>
  <si>
    <t>x</t>
  </si>
  <si>
    <t>Uttarakhand Police Department-GEM</t>
  </si>
  <si>
    <t>GEM/2023/B/3325347</t>
  </si>
  <si>
    <t>LUCKNOW IT-468 GEM</t>
  </si>
  <si>
    <t>GEM/2023/B/3217364</t>
  </si>
  <si>
    <t>MP SEDC- EMS Solution</t>
  </si>
  <si>
    <t>2023_SEDC_259441_1</t>
  </si>
  <si>
    <t xml:space="preserve">DELHI Data Centers ERNET- GEM </t>
  </si>
  <si>
    <t>GEM/2023/B/3273791</t>
  </si>
  <si>
    <t>Delhi CAMC of CCTV Phase-II</t>
  </si>
  <si>
    <t>2023_PWD_239741_1</t>
  </si>
  <si>
    <t>Assam Network and Security Components</t>
  </si>
  <si>
    <t xml:space="preserve">	2023_DoIT_30470_1</t>
  </si>
  <si>
    <t>Uttarakhand - PHQ gem</t>
  </si>
  <si>
    <t>GEM/2023/B/3323407</t>
  </si>
  <si>
    <t>AIIMS Bhopal-CCTV</t>
  </si>
  <si>
    <t>E-Tenders (Engineering)-275</t>
  </si>
  <si>
    <t xml:space="preserve">Bhopal Police Digital Display Board-5th call </t>
  </si>
  <si>
    <t xml:space="preserve">	2023_MPP_264283_1</t>
  </si>
  <si>
    <t xml:space="preserve">Delhi-CCTV Gail Amc </t>
  </si>
  <si>
    <t xml:space="preserve">	2023_GAIL_144287_1</t>
  </si>
  <si>
    <t>Bhopal Police CCTV Surveillance-RHQ  NON-BOQ PHQ</t>
  </si>
  <si>
    <t xml:space="preserve">	2023_MPP_263602_1</t>
  </si>
  <si>
    <t>Karnataka CCTV surveillance</t>
  </si>
  <si>
    <t>KST/CO/P/GEN/45/ G-83/22-23</t>
  </si>
  <si>
    <t>Punjanb SAS Nagar Surveillance</t>
  </si>
  <si>
    <t xml:space="preserve">	2022_DHA_93340_1</t>
  </si>
  <si>
    <t>Lucknow IT Gem -880</t>
  </si>
  <si>
    <t>GEM/2023/B/3123394</t>
  </si>
  <si>
    <t>MP SEDC- System Integrator for WebGIS 2.0</t>
  </si>
  <si>
    <t>2023_SEDC_258878_1</t>
  </si>
  <si>
    <t>Ranchi CCTV Gem- Ministry Of Coal</t>
  </si>
  <si>
    <t>GEM/2023/B/3239104</t>
  </si>
  <si>
    <t xml:space="preserve">Kavaratti Smart City Limited ICCC ( Laksh Deep) </t>
  </si>
  <si>
    <t>2023_UTL_2180_1</t>
  </si>
  <si>
    <t>Assam CCTV Surv-AGCL</t>
  </si>
  <si>
    <t>2023_ICD_30229_1</t>
  </si>
  <si>
    <t xml:space="preserve">MP SEDC-Desktop Computer </t>
  </si>
  <si>
    <t xml:space="preserve">	2023_SEDC_264151_1</t>
  </si>
  <si>
    <t xml:space="preserve">Jharkhand- Dhanbad CCTV Surv. Gem </t>
  </si>
  <si>
    <t>GEM/2023/B/3319390</t>
  </si>
  <si>
    <t>TUMAKURU</t>
  </si>
  <si>
    <t>TSCL/TENDER/CR/09/2022-23/CALL-2</t>
  </si>
  <si>
    <t>Anuppur interactive panels
Tribal Affair Department</t>
  </si>
  <si>
    <t>GEM/2023/B/3202092</t>
  </si>
  <si>
    <t>Bhopal Video Wall -PTRI</t>
  </si>
  <si>
    <t>2023_MPP_256389_1</t>
  </si>
  <si>
    <t>Chennai Metro CCTV</t>
  </si>
  <si>
    <t>2022_CMRL_726338_1</t>
  </si>
  <si>
    <t>https://jharkhandtenders.gov.in</t>
  </si>
  <si>
    <t>Jharkhand Police CCTV</t>
  </si>
  <si>
    <t xml:space="preserve">	2023_JPHCL_66920_1</t>
  </si>
  <si>
    <t>Jabalpur - MPPGCL-GCC</t>
  </si>
  <si>
    <t xml:space="preserve">	2022_MPPGC_211422_1</t>
  </si>
  <si>
    <t>Lucknow Smart City Edu</t>
  </si>
  <si>
    <t xml:space="preserve">	2023_LSCL_774094_1</t>
  </si>
  <si>
    <t xml:space="preserve">	2023_AIIMS_702516_1</t>
  </si>
  <si>
    <t xml:space="preserve">Bhopal VC &amp; Digital Board GEM </t>
  </si>
  <si>
    <t>GEM/2023/B/3181296</t>
  </si>
  <si>
    <t>Lucknow Smart City 32 CCTV</t>
  </si>
  <si>
    <t>2023_LSCL_778031_1</t>
  </si>
  <si>
    <t xml:space="preserve">Bhopal  Fiber Cable-MP PHQ </t>
  </si>
  <si>
    <t>2023_MPP_255644_1</t>
  </si>
  <si>
    <t>Chennai (CCS &amp; CP)</t>
  </si>
  <si>
    <t>2023_CCSCP_282438_1</t>
  </si>
  <si>
    <t>Jharkhand JAPIT Data Centre</t>
  </si>
  <si>
    <t xml:space="preserve">	2023_IT_66284_1</t>
  </si>
  <si>
    <t xml:space="preserve">Daman Video Wall EDU.-GEM </t>
  </si>
  <si>
    <t>GEM/2023/B/3178892</t>
  </si>
  <si>
    <t xml:space="preserve">Punjab  District Court-UPS Gem </t>
  </si>
  <si>
    <t>GEM/2023/B/3128880</t>
  </si>
  <si>
    <t xml:space="preserve">Odisha BHUBANESWAR CCTV </t>
  </si>
  <si>
    <t xml:space="preserve">	2023_BandR_743544_1</t>
  </si>
  <si>
    <t xml:space="preserve">Bhopal VMS-MP PHQ </t>
  </si>
  <si>
    <t xml:space="preserve">	2023_MPP_250901_1</t>
  </si>
  <si>
    <t xml:space="preserve"> Delhi GIPMER CCTV</t>
  </si>
  <si>
    <t xml:space="preserve">	2023_PWD_237820_1</t>
  </si>
  <si>
    <t xml:space="preserve">Karnataka CCTV surveillance-TSCL </t>
  </si>
  <si>
    <t>TSCL/TENDER/CR/09/2022-23</t>
  </si>
  <si>
    <t xml:space="preserve">Punjab Police SITC of CCTV </t>
  </si>
  <si>
    <t>2023_DHA_97646_1</t>
  </si>
  <si>
    <t>Punjab  Home Affairs-CCTV</t>
  </si>
  <si>
    <t xml:space="preserve">	2023_DHA_97642_1</t>
  </si>
  <si>
    <t>https://lnkd.in/dfAvGDqq</t>
  </si>
  <si>
    <t>Odisha IEMS</t>
  </si>
  <si>
    <t>https://tenders.ladakh.gov.in/</t>
  </si>
  <si>
    <t>Kargil CCTV surveillance</t>
  </si>
  <si>
    <t xml:space="preserve">	2023_IGP_9163_1</t>
  </si>
  <si>
    <t>Gem Vadodara GIL ITMS-Phase-2</t>
  </si>
  <si>
    <t>GEM/2023/B/3004030</t>
  </si>
  <si>
    <t>Gem Gandhinagar ITMS Phase-2</t>
  </si>
  <si>
    <t>GEM/2023/B/3005524</t>
  </si>
  <si>
    <t>IIT Roorkee CCTV Surveillance System</t>
  </si>
  <si>
    <t xml:space="preserve">	2022_IITR_732243_2</t>
  </si>
  <si>
    <t>Ahmedabad Smart City ICCC</t>
  </si>
  <si>
    <t>ANDHRA PRADESH-Integrated Command Control Center</t>
  </si>
  <si>
    <t>Andhra Pradesh-Video Wall</t>
  </si>
  <si>
    <t xml:space="preserve"> Leh-Ladakh city CCTV surveillance</t>
  </si>
  <si>
    <t>2023_IGP_9128_2</t>
  </si>
  <si>
    <t>Rajasthan Command &amp; Control centre RISL</t>
  </si>
  <si>
    <t>2022_RISL_304302_1</t>
  </si>
  <si>
    <t xml:space="preserve">Delhi CCTV 208 PS Gem </t>
  </si>
  <si>
    <t>GEM/2022/B/2792373</t>
  </si>
  <si>
    <t xml:space="preserve">UP Higher Education Gem </t>
  </si>
  <si>
    <t>GEM/2023/B/3090387</t>
  </si>
  <si>
    <t>Bhopal Airports Authority Gem  N</t>
  </si>
  <si>
    <t>GEM/2023/B/3078986</t>
  </si>
  <si>
    <t>Delhi Body Warm PHQ Gem</t>
  </si>
  <si>
    <t>GEM/2022/B/2923062</t>
  </si>
  <si>
    <t xml:space="preserve">Bhopal Body Warm PHQ Gem </t>
  </si>
  <si>
    <t>GEM/2023/B/2955987</t>
  </si>
  <si>
    <t xml:space="preserve">Central Warehousing GEM </t>
  </si>
  <si>
    <t>GEM/2023/B/3001716</t>
  </si>
  <si>
    <t xml:space="preserve">IOCL Ratlam </t>
  </si>
  <si>
    <t xml:space="preserve">	2023_MPSO_162860_1</t>
  </si>
  <si>
    <t>Jhansi  Street Light</t>
  </si>
  <si>
    <t>2023_DOLBU_770929_1</t>
  </si>
  <si>
    <t>IOCL Bihar</t>
  </si>
  <si>
    <t>2023_ERO_161181_1</t>
  </si>
  <si>
    <t xml:space="preserve">MP PS Disaster Recovery-Republish </t>
  </si>
  <si>
    <t>2023_MPP_247539_3</t>
  </si>
  <si>
    <t>Bhpal Computer Lab at 98 HEIs</t>
  </si>
  <si>
    <t>2022_HED_241397_1</t>
  </si>
  <si>
    <t xml:space="preserve">Indore CCTV PMAY </t>
  </si>
  <si>
    <t xml:space="preserve">	2023_UAD_247880_1</t>
  </si>
  <si>
    <t>Uttarakhand  (Chamoli,Pauri,Tehri) Jail CCTV -2</t>
  </si>
  <si>
    <t>2023_pwd_53638_1</t>
  </si>
  <si>
    <t>Uttarakhand (Almora,Nainital,Haldwani) Jail CCTV-1</t>
  </si>
  <si>
    <t>2023_pwd_53634_1</t>
  </si>
  <si>
    <t xml:space="preserve">Delhi-(Cbec) CCTV GEM </t>
  </si>
  <si>
    <t>GEM/2023/B/3000234</t>
  </si>
  <si>
    <t>Varanasi LED Display Screens</t>
  </si>
  <si>
    <t>2023_NNVAR_768161_1</t>
  </si>
  <si>
    <t xml:space="preserve">MANGALORE VEHICLE Surv.NMPA </t>
  </si>
  <si>
    <t xml:space="preserve">	2022_NMPT_727804_1</t>
  </si>
  <si>
    <t>Dwarka New Delhi NHAI CCTV</t>
  </si>
  <si>
    <t xml:space="preserve">	2022_NHAI_136935_1</t>
  </si>
  <si>
    <t>CHENNAI POLICE. Mega City</t>
  </si>
  <si>
    <t xml:space="preserve">	2022_POLIS_272251_1</t>
  </si>
  <si>
    <t xml:space="preserve">Bhopal Street Light </t>
  </si>
  <si>
    <t xml:space="preserve">	2022_UAD_240179_1</t>
  </si>
  <si>
    <t>GEM/2022/B/2667802</t>
  </si>
  <si>
    <t>GEM/2022/B/2667989</t>
  </si>
  <si>
    <t>MP Police Disaster Recovery</t>
  </si>
  <si>
    <t xml:space="preserve">	2022_MPP_233244_1</t>
  </si>
  <si>
    <t>Bhopal Airports Authority Gem</t>
  </si>
  <si>
    <t>GEM/2022/B/2902625</t>
  </si>
  <si>
    <t>http://tripuratenders.gov.in</t>
  </si>
  <si>
    <t>Tripura PS CCTV</t>
  </si>
  <si>
    <t>2022_DIT_35439_1</t>
  </si>
  <si>
    <t>Ranchi Airports Authority Gem</t>
  </si>
  <si>
    <t>GEM/2022/B/2823574</t>
  </si>
  <si>
    <t>Guna GAIL India</t>
  </si>
  <si>
    <t>GEM/2022/B/2845404</t>
  </si>
  <si>
    <t>Bihar CCTV HURL</t>
  </si>
  <si>
    <t>2022_HURL_731616_1</t>
  </si>
  <si>
    <t>MP Police Video Wall 4th Call</t>
  </si>
  <si>
    <t xml:space="preserve">	2022_MPP_237667_1</t>
  </si>
  <si>
    <t>Bhopal Airport Solar Gem</t>
  </si>
  <si>
    <t>GEM/2022/B/2854967</t>
  </si>
  <si>
    <t>Odisha PHQ I&amp;UCCC</t>
  </si>
  <si>
    <t xml:space="preserve">	2022_ODPOL_84380_1</t>
  </si>
  <si>
    <t>Uttarakhand Police Head Quarter</t>
  </si>
  <si>
    <t xml:space="preserve">	2022_DGPV_51669_1</t>
  </si>
  <si>
    <t>Delhi Rooftop Solar NHRDF</t>
  </si>
  <si>
    <t>Neemach Solar</t>
  </si>
  <si>
    <t>2022_UAD_215946_3</t>
  </si>
  <si>
    <t>Delhi Mumbai Expressway ATMS</t>
  </si>
  <si>
    <t>2022_NHAI_137559_1</t>
  </si>
  <si>
    <t>Jharkhand CVMS</t>
  </si>
  <si>
    <t xml:space="preserve">	2022_JSBCL_63785_1</t>
  </si>
  <si>
    <t>JHARKHAND CCTV</t>
  </si>
  <si>
    <t xml:space="preserve">	2022_JSBCL_63787_1</t>
  </si>
  <si>
    <t> Delhi NBCC-CCTV</t>
  </si>
  <si>
    <t xml:space="preserve">	2022_NBCC_691081_1</t>
  </si>
  <si>
    <t>https://etenders.gov.in/eprocure/app</t>
  </si>
  <si>
    <t>NOIDA CCTV GAIL</t>
  </si>
  <si>
    <t xml:space="preserve">	2022_GAIL_135878_1</t>
  </si>
  <si>
    <t xml:space="preserve"> Noida metro rail  CCTV CAMC</t>
  </si>
  <si>
    <t>2022_NMRCL_750308_1</t>
  </si>
  <si>
    <t xml:space="preserve">	Haryana MC SONIPAT CCTV</t>
  </si>
  <si>
    <t xml:space="preserve">	2022_HRY_250159_1</t>
  </si>
  <si>
    <t xml:space="preserve">Katni Solar Traffic Signal </t>
  </si>
  <si>
    <t xml:space="preserve">	2022_UAD_233656_1</t>
  </si>
  <si>
    <t>Delhi Interactive Screen PWD</t>
  </si>
  <si>
    <t xml:space="preserve">	2022_PWD_231582_1</t>
  </si>
  <si>
    <t>Dial 100/112 Phase - II</t>
  </si>
  <si>
    <t xml:space="preserve">	2022_MPP_225042_1</t>
  </si>
  <si>
    <t>Dharamshala City Fiber Network</t>
  </si>
  <si>
    <t>2022_DSCL1_66100_1</t>
  </si>
  <si>
    <t>https://bnpdewas.spmcil.com/Interface/Home.aspx</t>
  </si>
  <si>
    <t>Dewas Track And Trace</t>
  </si>
  <si>
    <t>03/BNP/P/CON/Track &amp; Trace System/22/OT</t>
  </si>
  <si>
    <t>https://etender.up.nic.in/nicgep/app</t>
  </si>
  <si>
    <t>ATMS Bundelkhand</t>
  </si>
  <si>
    <t>2022_UPEID_739513_1</t>
  </si>
  <si>
    <t xml:space="preserve">Gaziabad ITMS </t>
  </si>
  <si>
    <t xml:space="preserve">	2022_ADBNC_131224_1</t>
  </si>
  <si>
    <t>Gwalior Solar Traffic Police Gem</t>
  </si>
  <si>
    <t>GEM/2022/B/2823750</t>
  </si>
  <si>
    <t>Ujjain Solar Traffic Police Gem</t>
  </si>
  <si>
    <t>GEM/2022/B/2816124</t>
  </si>
  <si>
    <t>Jabalpur Solar Gem</t>
  </si>
  <si>
    <t>Gem Asam Education 659</t>
  </si>
  <si>
    <t>GEM/2022/B/2723659</t>
  </si>
  <si>
    <t>Gem Asam Education 587</t>
  </si>
  <si>
    <t>GEM/2022/B/2724587</t>
  </si>
  <si>
    <t xml:space="preserve">Andhra Pradesh CCTv Surviellance </t>
  </si>
  <si>
    <t>GETCO Tender Upload</t>
  </si>
  <si>
    <t>Gujarat Bharuch Zone CCTV GETCO</t>
  </si>
  <si>
    <t xml:space="preserve">IOCL Asam  </t>
  </si>
  <si>
    <t>2022_ERO_158651_1</t>
  </si>
  <si>
    <t>Bhopal CCTV PWD</t>
  </si>
  <si>
    <t xml:space="preserve">	2022_CPA_235166_1</t>
  </si>
  <si>
    <t xml:space="preserve">Shivpuri Jhansi ATMS </t>
  </si>
  <si>
    <t xml:space="preserve">	2022_NHAI_137301_1</t>
  </si>
  <si>
    <t xml:space="preserve">UP Vehicle Tracking MORTH </t>
  </si>
  <si>
    <t xml:space="preserve">	2022_UPSRT_738481_1</t>
  </si>
  <si>
    <t>https://dnhtenders.gov.in/</t>
  </si>
  <si>
    <t xml:space="preserve"> Daman Diu Vehicle Tracking Infosmentt</t>
  </si>
  <si>
    <t xml:space="preserve">	2022_UTDNH_6217_1</t>
  </si>
  <si>
    <t>Chittorgarh-Kota TCIL-NH27</t>
  </si>
  <si>
    <t>2022_TCIL_134563_1</t>
  </si>
  <si>
    <t>Gem Rewa Education</t>
  </si>
  <si>
    <t>GEM/2022/B/2725639</t>
  </si>
  <si>
    <t>MP Higher Education</t>
  </si>
  <si>
    <t>2022_HED_230336_1</t>
  </si>
  <si>
    <t>Delhi DRDO CCTV &amp; GET Mang.</t>
  </si>
  <si>
    <t>2022_DRDO_561929_1</t>
  </si>
  <si>
    <t>Delhi Daata Centre-III</t>
  </si>
  <si>
    <t>2022_CDOT_715598_1</t>
  </si>
  <si>
    <t xml:space="preserve">Gaziabad Solar </t>
  </si>
  <si>
    <t>2022_NCRTC_133452_1</t>
  </si>
  <si>
    <t>Tarapur INRP CCTV</t>
  </si>
  <si>
    <t>2022_NRB_721750_1</t>
  </si>
  <si>
    <t>Pune-Banglore CDAC</t>
  </si>
  <si>
    <t xml:space="preserve">	2022_DIT_725644_1</t>
  </si>
  <si>
    <t xml:space="preserve">Gem Goa Airport </t>
  </si>
  <si>
    <t>GEM/2022/B/2730880</t>
  </si>
  <si>
    <t>Gwalior Municipal Corporation SIT</t>
  </si>
  <si>
    <t xml:space="preserve">	2022_UAD_230461_1</t>
  </si>
  <si>
    <t xml:space="preserve"> Gujarat Data Centre Gem</t>
  </si>
  <si>
    <t xml:space="preserve"> GEM/2022/B/2664262</t>
  </si>
  <si>
    <t>https://etenders.gov.in</t>
  </si>
  <si>
    <t>Haryana on Pilot NHAI</t>
  </si>
  <si>
    <t>2022_NHAI_135796_1</t>
  </si>
  <si>
    <t xml:space="preserve">INDORE LED Streat Light  (PHASE-II) </t>
  </si>
  <si>
    <t xml:space="preserve">	2022_DTCP_233212_1</t>
  </si>
  <si>
    <t>https://etenders.hry.nic.in.</t>
  </si>
  <si>
    <t>Hariyana Data Centre HSDC</t>
  </si>
  <si>
    <t>2022_HRY_245799_1</t>
  </si>
  <si>
    <t>https://ireps.gov.in/</t>
  </si>
  <si>
    <t>Western Region RailTel Indian Railways</t>
  </si>
  <si>
    <t>RCIL_VSS_22_23_DE</t>
  </si>
  <si>
    <t>Rewa Ultra Mega Solar</t>
  </si>
  <si>
    <t>2022_RUMSL_232515_1</t>
  </si>
  <si>
    <t>Indore Solar Vehicle Charging</t>
  </si>
  <si>
    <t>2022_AICTS_233105_1</t>
  </si>
  <si>
    <t>http://tender.apeprocurement.gov.in/</t>
  </si>
  <si>
    <t xml:space="preserve">Tirupati Smart City </t>
  </si>
  <si>
    <t>Gem Jabalpur Military Affairs</t>
  </si>
  <si>
    <t>GEM/2022/B/2654429</t>
  </si>
  <si>
    <t>ASSAM 100 MW</t>
  </si>
  <si>
    <t xml:space="preserve">	2022_APDCL_27774_1</t>
  </si>
  <si>
    <t>ASSAM 50 MW</t>
  </si>
  <si>
    <t xml:space="preserve">	2022_APDCL_27769_1</t>
  </si>
  <si>
    <t>Ahmedabad Smart City EOI</t>
  </si>
  <si>
    <t xml:space="preserve">Gem ISRO </t>
  </si>
  <si>
    <t>GEM/2022/B/2739858</t>
  </si>
  <si>
    <t xml:space="preserve">Gem Jharkhand Education </t>
  </si>
  <si>
    <t>GEM/2022/B/2765704</t>
  </si>
  <si>
    <t>Gem Mumbai, Bangalore.</t>
  </si>
  <si>
    <t>GEM/2022/B/2747790</t>
  </si>
  <si>
    <t>Mumbai Trombay</t>
  </si>
  <si>
    <t>Chandigarh Gem school CCTV</t>
  </si>
  <si>
    <t>GEM/2022/B/2470255</t>
  </si>
  <si>
    <t>Delhi PWD CCTV</t>
  </si>
  <si>
    <t>2022_PWD_231217_1</t>
  </si>
  <si>
    <t>Gujarat CCTV Surv GETCO</t>
  </si>
  <si>
    <t>Agra Data Center ICCC</t>
  </si>
  <si>
    <t>2022_DOLBU_747145_1</t>
  </si>
  <si>
    <t>IOCL ODISHA</t>
  </si>
  <si>
    <t xml:space="preserve">	2022_ERO_156755_1</t>
  </si>
  <si>
    <t>IOCL Kerala</t>
  </si>
  <si>
    <t>2022_SROTN_157161_1</t>
  </si>
  <si>
    <t>IOCL Uttarpradesh</t>
  </si>
  <si>
    <t>2022_NRO_156750_1</t>
  </si>
  <si>
    <t>IOCL Tamilnadu</t>
  </si>
  <si>
    <t>2022_SROTN_157780_1</t>
  </si>
  <si>
    <t>Himachal Pradesh 'high Court CCTV</t>
  </si>
  <si>
    <t>2022_HCoHP_65798_1</t>
  </si>
  <si>
    <t>IOCL Telangana &amp; Andhrapradesh CCTV</t>
  </si>
  <si>
    <t>2022_SROTN_158562_1</t>
  </si>
  <si>
    <t>Hariyana CCTV</t>
  </si>
  <si>
    <t>2022_HBC_244215_1</t>
  </si>
  <si>
    <t>NPCC Surv Delhi</t>
  </si>
  <si>
    <t>2022_NPCC_133871_1</t>
  </si>
  <si>
    <t>Gujarat Gandhidham CEL CCTV</t>
  </si>
  <si>
    <t>2022_CEL_134008_1</t>
  </si>
  <si>
    <t>Indore solar Vehicle charging</t>
  </si>
  <si>
    <t>2022_AICTS_223647_1</t>
  </si>
  <si>
    <t>Bihar CCTV Surveillaance</t>
  </si>
  <si>
    <t>Network &amp; Audio-Visual/BIPARD/2022/02</t>
  </si>
  <si>
    <t>RAJASTHAN REFINERY PROJECT</t>
  </si>
  <si>
    <t>2022_EIL_710476_1</t>
  </si>
  <si>
    <t>http://eproc.rajasthan.gov.in</t>
  </si>
  <si>
    <t>Rajasthan RISL Wildlife Surv</t>
  </si>
  <si>
    <t xml:space="preserve">F 4.3(519)/RISL/ Tech/4160 </t>
  </si>
  <si>
    <t>Jabalpur Airport CCTV</t>
  </si>
  <si>
    <t>2022_AAI_130669_1</t>
  </si>
  <si>
    <t>IOCL KOLKATA</t>
  </si>
  <si>
    <t>2022_ERO_156104_1</t>
  </si>
  <si>
    <t>Assam CCTV</t>
  </si>
  <si>
    <t>CT./E/63/2022/</t>
  </si>
  <si>
    <t>https://eproc.karnataka.gov.in/eprocurement/common/eproc_tenders_list.seam</t>
  </si>
  <si>
    <t xml:space="preserve">Bengaluru Videowall </t>
  </si>
  <si>
    <t>KRDCL/2022-23/BT/WORK_INDENT437</t>
  </si>
  <si>
    <t>GPS_MPSEDC_MP</t>
  </si>
  <si>
    <t>2022_SEDC_224970_1</t>
  </si>
  <si>
    <t>https://www.suratsmartcity.com/Tenders</t>
  </si>
  <si>
    <t xml:space="preserve">Surat ITCS </t>
  </si>
  <si>
    <t>GM(TRANSIT)/SSCDL/BRTS/2/2022-2023</t>
  </si>
  <si>
    <t>IOCL Rajasthan</t>
  </si>
  <si>
    <t>2022_NRO_155830_1</t>
  </si>
  <si>
    <t>Bhopal_Roof Top Solar PV Systems</t>
  </si>
  <si>
    <t>2022_AGRO_224821_1</t>
  </si>
  <si>
    <t>https://etenders.hry.nic.in/nicgep/app</t>
  </si>
  <si>
    <t>Gurugram Smart Signal</t>
  </si>
  <si>
    <t>2022_HRY_240570_1</t>
  </si>
  <si>
    <t xml:space="preserve">Raipur_Cloud Services and DR </t>
  </si>
  <si>
    <t xml:space="preserve">JBL_VC_COURT MP </t>
  </si>
  <si>
    <t>2022_MPHC_222148_1</t>
  </si>
  <si>
    <t>Jharkhand 320 PS</t>
  </si>
  <si>
    <t>2022_JPHCL_61557_1</t>
  </si>
  <si>
    <t>Ujjain Katni Session Court</t>
  </si>
  <si>
    <t>2022_MPHC_221540_1</t>
  </si>
  <si>
    <t>Ujjain SCADA System</t>
  </si>
  <si>
    <t>2022_UAD_184587_1</t>
  </si>
  <si>
    <t>https://www.mptenders.gov.in</t>
  </si>
  <si>
    <t>Neemuch Solar PV (2X10.5 MW)</t>
  </si>
  <si>
    <t>2022_UAD_215946_1</t>
  </si>
  <si>
    <t>MP Videowall (3rd Call)</t>
  </si>
  <si>
    <t>2022_MPP_221088_1</t>
  </si>
  <si>
    <t>IOCL Maharashtra</t>
  </si>
  <si>
    <t>2022_WRO_155271_1</t>
  </si>
  <si>
    <t>IOCL UP</t>
  </si>
  <si>
    <t>2022_NRO_154852_1</t>
  </si>
  <si>
    <t>Delhi PWD LED</t>
  </si>
  <si>
    <t xml:space="preserve">	2022_PWD_227738_1</t>
  </si>
  <si>
    <t>Hoshangabad CCTV</t>
  </si>
  <si>
    <t>2022_SPMCI_676607_1</t>
  </si>
  <si>
    <t xml:space="preserve">UP TCIL Vidhan Sabha </t>
  </si>
  <si>
    <t>2022_TCIL_129264_1</t>
  </si>
  <si>
    <t>Jabalpur Solar Rooftop</t>
  </si>
  <si>
    <t>2022_MPPMC_211126_1</t>
  </si>
  <si>
    <t>Digital Display Board 4 call</t>
  </si>
  <si>
    <t>2022_MPP_222113_1</t>
  </si>
  <si>
    <t>IOCL Gujarat</t>
  </si>
  <si>
    <t>2022_WRO_155158_1</t>
  </si>
  <si>
    <t>IOCL Punjab</t>
  </si>
  <si>
    <t>2022_NRO_155083_1</t>
  </si>
  <si>
    <t>Neemuch Solar PV (15 MW)</t>
  </si>
  <si>
    <t>2022_UAD_206349_3</t>
  </si>
  <si>
    <t>Solar_15yrsO&amp;M</t>
  </si>
  <si>
    <t>2022_UAD_208214_2</t>
  </si>
  <si>
    <t>Not Done</t>
  </si>
  <si>
    <t xml:space="preserve">Rajasthan and Gujarat ATMS NHAI </t>
  </si>
  <si>
    <t>2022_NHAI_123695_1</t>
  </si>
  <si>
    <t xml:space="preserve">Rajasthan ATMS NHAI </t>
  </si>
  <si>
    <t>2022_NHAI_123692_1</t>
  </si>
  <si>
    <t>J&amp;k TCIL CCTV</t>
  </si>
  <si>
    <t>2022_TCIL_125961_1</t>
  </si>
  <si>
    <t>https://www.bharat-electronictender.com</t>
  </si>
  <si>
    <t>MPUVNL RfP_KUSUM</t>
  </si>
  <si>
    <t>MPUVN</t>
  </si>
  <si>
    <t>Mumbai CCTV (Tata Memorial)</t>
  </si>
  <si>
    <t xml:space="preserve">	2022_TMC_701420_1</t>
  </si>
  <si>
    <t>https://tender.apeprocurement.gov.in/login.html</t>
  </si>
  <si>
    <t>not done</t>
  </si>
  <si>
    <t>Andhra Pradesh Police CCTV</t>
  </si>
  <si>
    <t>https://iocletenders.nic.in/nicgep/app</t>
  </si>
  <si>
    <t>Language Problem</t>
  </si>
  <si>
    <t>2022_SROTN_155499_1</t>
  </si>
  <si>
    <t>Delhi_PHQ 7 DISTRICT COURTS</t>
  </si>
  <si>
    <t>GEM/2022/B/2357475</t>
  </si>
  <si>
    <t>MP Warehouses</t>
  </si>
  <si>
    <t>2022_MPWLC_212333_1</t>
  </si>
  <si>
    <t>IOC_CCTV Karnatak</t>
  </si>
  <si>
    <t>2022_SROTN_154161_1</t>
  </si>
  <si>
    <t>MPSEDC Video KYC</t>
  </si>
  <si>
    <t>2022_SEDC_213453_1</t>
  </si>
  <si>
    <t>Jabalpur PAS</t>
  </si>
  <si>
    <t>2022_UAD_213740_1</t>
  </si>
  <si>
    <t>Indore Smart City</t>
  </si>
  <si>
    <t>2022_UAD_208545_1</t>
  </si>
  <si>
    <t>Kanpur Solar Smart city</t>
  </si>
  <si>
    <t>2022_NNKAN_721489_1</t>
  </si>
  <si>
    <t>MP Laghu Udhyog</t>
  </si>
  <si>
    <t>2022_MPLUN_213211_1</t>
  </si>
  <si>
    <t>Delhi ICR (GeM)</t>
  </si>
  <si>
    <t>GEM/2022/B/2386218</t>
  </si>
  <si>
    <t>Tirupati_Smart City</t>
  </si>
  <si>
    <t>https://eproc2.bihar.gov.in/EPSV2Web/</t>
  </si>
  <si>
    <t>Bihar CCTV</t>
  </si>
  <si>
    <t>BSEDC/5987/2022</t>
  </si>
  <si>
    <t>https://pudutenders.gov.in/</t>
  </si>
  <si>
    <t>Puducherry smart City</t>
  </si>
  <si>
    <t>2022_PDRDM_10576_1</t>
  </si>
  <si>
    <t>https://hptenders.gov.in</t>
  </si>
  <si>
    <t>Dharamshala VMS</t>
  </si>
  <si>
    <t>2022_DSCL1_63040_1</t>
  </si>
  <si>
    <t>Punjab vidhan sabha CCTV</t>
  </si>
  <si>
    <t>2022_IC_86998_1</t>
  </si>
  <si>
    <t>KELTRON Tirupati</t>
  </si>
  <si>
    <t>2022_KSEDC_500893_1</t>
  </si>
  <si>
    <t>https://uktenders.gov.in/nicgep/app</t>
  </si>
  <si>
    <t>Uttrakhand ANPR</t>
  </si>
  <si>
    <t>2022_UTC6_45190_1</t>
  </si>
  <si>
    <t>Dharamshala Smart E-library</t>
  </si>
  <si>
    <t>2022_DSCL1_63020_1</t>
  </si>
  <si>
    <t>https://mahatenders.gov.in</t>
  </si>
  <si>
    <t>Nashik ISCOP and EOC</t>
  </si>
  <si>
    <t>2022_NMC_815114_1</t>
  </si>
  <si>
    <t>Parks of Faridabad</t>
  </si>
  <si>
    <t>2022_HRY_227612_1</t>
  </si>
  <si>
    <t>Street Light Bhopal</t>
  </si>
  <si>
    <t xml:space="preserve">	2022_UAD_202828_1</t>
  </si>
  <si>
    <t>ANPR CCTV Gem</t>
  </si>
  <si>
    <t>GEM/2022/B/2270256</t>
  </si>
  <si>
    <t>not to be done</t>
  </si>
  <si>
    <t>Delhi Metro CCTV</t>
  </si>
  <si>
    <t>2022_DMRC_686304_1</t>
  </si>
  <si>
    <t>Metro Indore_Bhopal</t>
  </si>
  <si>
    <t>2022_MPMRC_110435_1</t>
  </si>
  <si>
    <t>MP Laghu Udyog (LED)</t>
  </si>
  <si>
    <t>2022_MPLUN_203257_1</t>
  </si>
  <si>
    <t xml:space="preserve">Nagpur Smart Traffic Signal </t>
  </si>
  <si>
    <t>2022_NSSCD_810887_1</t>
  </si>
  <si>
    <t>https://ddtenders.gov.in/</t>
  </si>
  <si>
    <t>Traffic Signal Daman</t>
  </si>
  <si>
    <t>2022_DAMAN_2246_1</t>
  </si>
  <si>
    <t>Unipoles MINIUP001</t>
  </si>
  <si>
    <t>2022_UAD_207197_2</t>
  </si>
  <si>
    <t>Unipoles MINIUP002</t>
  </si>
  <si>
    <t>2022_UAD_207199_2</t>
  </si>
  <si>
    <t>Unipoles MINIUP003</t>
  </si>
  <si>
    <t>2022_UAD_207200_2</t>
  </si>
  <si>
    <t>UP POLICE GEM</t>
  </si>
  <si>
    <t>GEM/2022/B/2282317</t>
  </si>
  <si>
    <t>https://rbi.org.in/Scripts/BS_ViewTenders.aspx</t>
  </si>
  <si>
    <t>RBI_X-Ray_baggage</t>
  </si>
  <si>
    <t>RBI/Bhopal/Estate/105/22-23/ET/172</t>
  </si>
  <si>
    <t>Street Light Ujjain</t>
  </si>
  <si>
    <t xml:space="preserve">	2022_UAD_202957_2</t>
  </si>
  <si>
    <t>Bihar BELTRON CCTV</t>
  </si>
  <si>
    <t>BSEDC/7542/2022</t>
  </si>
  <si>
    <t>Odisha Temples</t>
  </si>
  <si>
    <t>2022_OBCC_78457_1</t>
  </si>
  <si>
    <t>LED Videowall Ranchi</t>
  </si>
  <si>
    <t>2022_IT_59065_1</t>
  </si>
  <si>
    <t>Haryana Police</t>
  </si>
  <si>
    <t xml:space="preserve">	2022_HBC_226055_1</t>
  </si>
  <si>
    <t>Courts of Uttrakhand</t>
  </si>
  <si>
    <t>2022_DGPV_43023_1</t>
  </si>
  <si>
    <t>CCMS Street Light</t>
  </si>
  <si>
    <t>2022_UAD_207618_1</t>
  </si>
  <si>
    <t>Prayagraj Smart City</t>
  </si>
  <si>
    <t>062_PSCL_2022</t>
  </si>
  <si>
    <t>Warangal Smart city</t>
  </si>
  <si>
    <t>MPPKVVCL_Data Centre_Jabalpur</t>
  </si>
  <si>
    <t>2022_PKVVC_198541_1</t>
  </si>
  <si>
    <t>ODISHA Courts</t>
  </si>
  <si>
    <t>2022_OSPHW_77489_1</t>
  </si>
  <si>
    <t>www.mahatenders.gov.in</t>
  </si>
  <si>
    <t>Pandharpur City CCTV</t>
  </si>
  <si>
    <t>2022_DMA_801644_1</t>
  </si>
  <si>
    <t xml:space="preserve">Bombay HC Surveillance </t>
  </si>
  <si>
    <t>2022_BHCMU_782559_1</t>
  </si>
  <si>
    <t>Electric Base Khargone</t>
  </si>
  <si>
    <t xml:space="preserve">	2022_UAD_206487_1</t>
  </si>
  <si>
    <t>Solar khargone</t>
  </si>
  <si>
    <t>2022_UAD_206464_1</t>
  </si>
  <si>
    <t>Department of Hr. Edu Com Lab</t>
  </si>
  <si>
    <t>2022_HED_197153_1</t>
  </si>
  <si>
    <t>http://etenders.hry.nic.in</t>
  </si>
  <si>
    <t>Closed</t>
  </si>
  <si>
    <t>Haryana_Police</t>
  </si>
  <si>
    <t>2022_HBC_212761_1</t>
  </si>
  <si>
    <t>CCTV_Temples of Odisha</t>
  </si>
  <si>
    <t>2022_OBCC_77592_1</t>
  </si>
  <si>
    <t>Vasai virar CCTV</t>
  </si>
  <si>
    <t>2022_VVCMC_799522_1</t>
  </si>
  <si>
    <t>done</t>
  </si>
  <si>
    <t>MP Laghu Udyog (CCTV)</t>
  </si>
  <si>
    <t>2022_MPLUN_202008_1</t>
  </si>
  <si>
    <t>http://etenders.gov.in/eprocure/app</t>
  </si>
  <si>
    <t>Goa Airport</t>
  </si>
  <si>
    <t>2022_AAI_114311</t>
  </si>
  <si>
    <t>http://www.mptenders.gov.in</t>
  </si>
  <si>
    <t>Cancelled</t>
  </si>
  <si>
    <t xml:space="preserve">	2022_MPWLC_186785_1</t>
  </si>
  <si>
    <t xml:space="preserve">Punjab Police CCTV </t>
  </si>
  <si>
    <t>2022_DHA_83969_1</t>
  </si>
  <si>
    <t>2022_PWD_221301_1</t>
  </si>
  <si>
    <t>RajComp RISL 75Cr</t>
  </si>
  <si>
    <t>2022_RISL_268470_1</t>
  </si>
  <si>
    <t>2022_UAD_176440_1</t>
  </si>
  <si>
    <t>Closed on 10-05-2022</t>
  </si>
  <si>
    <t>Rourkela_odisha</t>
  </si>
  <si>
    <t>2022_RSCL_76698_1</t>
  </si>
  <si>
    <t xml:space="preserve">HP CCTV Surveillance </t>
  </si>
  <si>
    <t>2022_HPSED_60007_1</t>
  </si>
  <si>
    <t>Closed on 06-05-2022</t>
  </si>
  <si>
    <t>Bhopal PHQ Service Provider</t>
  </si>
  <si>
    <t>2022_UAD_192241_1</t>
  </si>
  <si>
    <t>Data Centre (OSDC) Bhubaneshwar</t>
  </si>
  <si>
    <t>VIDEOWALL Bhubaneshwar</t>
  </si>
  <si>
    <t>UP Police CCTV TCIL</t>
  </si>
  <si>
    <t>2022_TCIL_114262_1</t>
  </si>
  <si>
    <t>www.gem.gov.in</t>
  </si>
  <si>
    <t>J&amp;k GeM UT CCTV</t>
  </si>
  <si>
    <t>GEM/2022/B/2080465</t>
  </si>
  <si>
    <t>https://ddtenders.gov.in/nicgep/app</t>
  </si>
  <si>
    <t>DIU smart city</t>
  </si>
  <si>
    <t xml:space="preserve">	2021_DIUDT_2033_1</t>
  </si>
  <si>
    <t>MP LAGHU UDYOG</t>
  </si>
  <si>
    <t>2022_MPLUN_194119_1</t>
  </si>
  <si>
    <t>https://jktenders.gov.in/nicgep/app</t>
  </si>
  <si>
    <t>won</t>
  </si>
  <si>
    <t>Srinagar_ITMS</t>
  </si>
  <si>
    <t>2022_SSC_160448_1</t>
  </si>
  <si>
    <t>Bilaspur ITMS</t>
  </si>
  <si>
    <t>https://assamtenders.gov.in/nicgep/app</t>
  </si>
  <si>
    <t>2021_GSCT_23735_1</t>
  </si>
  <si>
    <t>Naya Raipur</t>
  </si>
  <si>
    <t>Khargone_wired</t>
  </si>
  <si>
    <t xml:space="preserve">	2022_UAD_182502_1</t>
  </si>
  <si>
    <t>KSCCL</t>
  </si>
  <si>
    <t>Delhi LED PWD</t>
  </si>
  <si>
    <t>2022_PWD_218530_1</t>
  </si>
  <si>
    <t>Removed on 13-April-2022</t>
  </si>
  <si>
    <t>Trivandrum_Android_Ticketing Machine</t>
  </si>
  <si>
    <t xml:space="preserve">	2022_SCTLT_483243_1</t>
  </si>
  <si>
    <t>HP Datacentre Shimla</t>
  </si>
  <si>
    <t>2022_DIT_59351_1</t>
  </si>
  <si>
    <t>RatnaGiri Safecity CCTV</t>
  </si>
  <si>
    <t>2022_DGPMU_785801_1</t>
  </si>
  <si>
    <t>http://uktenders.gov.in</t>
  </si>
  <si>
    <t>Uttrakhand Transport Corp</t>
  </si>
  <si>
    <t>2022_UTCL_42819_1</t>
  </si>
  <si>
    <t>Gujarat WAN</t>
  </si>
  <si>
    <t>GEM/2022/B/2073565</t>
  </si>
  <si>
    <t>Removed</t>
  </si>
  <si>
    <t>https://etender.up.nic.in</t>
  </si>
  <si>
    <t>Moradabad_CCTV_UP</t>
  </si>
  <si>
    <t>2021_DOLBU_651769_4</t>
  </si>
  <si>
    <t>Solapur_ICCC_Smart city</t>
  </si>
  <si>
    <t>2022_SMC_775067_1</t>
  </si>
  <si>
    <t>Bilaspur_20Locations</t>
  </si>
  <si>
    <t>http://etender.up.nic.in</t>
  </si>
  <si>
    <t>Lucknow_CCTV_70sq</t>
  </si>
  <si>
    <t xml:space="preserve">	2022_UPPOL_678605_1</t>
  </si>
  <si>
    <t>Shimla_ICCC_HP</t>
  </si>
  <si>
    <t>2022_DIT_57879_1</t>
  </si>
  <si>
    <t xml:space="preserve">Karnal OFC </t>
  </si>
  <si>
    <t>2022_HRY_213039_1</t>
  </si>
  <si>
    <t>Bilaspur_StreetLight</t>
  </si>
  <si>
    <t xml:space="preserve">Aurangabad Smart City </t>
  </si>
  <si>
    <t>2022_ASCDC_779313_1</t>
  </si>
  <si>
    <t>gone</t>
  </si>
  <si>
    <t>UP Police stations TCIL</t>
  </si>
  <si>
    <t>2022_TCIL_106315_1</t>
  </si>
  <si>
    <t>UP Police ITI</t>
  </si>
  <si>
    <t>2022_ITI_650189_1</t>
  </si>
  <si>
    <t>UP Police stations GeM</t>
  </si>
  <si>
    <t>GEM/2022/B/1943080</t>
  </si>
  <si>
    <t>Gurugram_haryana</t>
  </si>
  <si>
    <t xml:space="preserve">	2022_HRY_206400_1</t>
  </si>
  <si>
    <t>cancelled</t>
  </si>
  <si>
    <t>RajComp OFC</t>
  </si>
  <si>
    <t>2022_RISL_253462_1</t>
  </si>
  <si>
    <t>we can't do it</t>
  </si>
  <si>
    <t>JAPIT (3rd Call)</t>
  </si>
  <si>
    <t>2022_IT_56293_1</t>
  </si>
  <si>
    <t>Chennai Nirbhaya Fund</t>
  </si>
  <si>
    <t xml:space="preserve">	2022_CoC_222709_1</t>
  </si>
  <si>
    <t>Haryana_FSCL</t>
  </si>
  <si>
    <t>2022_HRY_206530_1</t>
  </si>
  <si>
    <t>Maharashtra JJM</t>
  </si>
  <si>
    <t xml:space="preserve">	2022_COJAL_764969_1</t>
  </si>
  <si>
    <t>https://dnhtenders.gov.in</t>
  </si>
  <si>
    <t>Silvassa smart city</t>
  </si>
  <si>
    <t xml:space="preserve">	2022_UTDNH_5759_1</t>
  </si>
  <si>
    <t>NTPC Tamilnadu</t>
  </si>
  <si>
    <t>2022_NTECL_107668_1</t>
  </si>
  <si>
    <t>http://etenders.gov.in</t>
  </si>
  <si>
    <t>Laddakh TCIL</t>
  </si>
  <si>
    <t>2022_TCIL_107575_1</t>
  </si>
  <si>
    <t>Satna LED</t>
  </si>
  <si>
    <t>2022_UAD_183458_1</t>
  </si>
  <si>
    <t>Partiality</t>
  </si>
  <si>
    <t>Aligarh Smart City</t>
  </si>
  <si>
    <t>2021_DOLBU_661429_1</t>
  </si>
  <si>
    <t>Punjab Police CCTV</t>
  </si>
  <si>
    <t>2021_DHA_79149_1</t>
  </si>
  <si>
    <t>MP 50</t>
  </si>
  <si>
    <t>2022_MPP_181519_1</t>
  </si>
  <si>
    <t>Himachal Courts Surveillance</t>
  </si>
  <si>
    <t xml:space="preserve">	2022_HCoHP_55713_1</t>
  </si>
  <si>
    <t>Khargone_wireless</t>
  </si>
  <si>
    <t>2022_UAD_182485_1</t>
  </si>
  <si>
    <t>Prayagraj</t>
  </si>
  <si>
    <t>2021_PSCL_646553_1</t>
  </si>
  <si>
    <t>https://eproc.rajasthan.gov.in</t>
  </si>
  <si>
    <t>RajComp 45 Crore</t>
  </si>
  <si>
    <t>2021_RISL_252419_1</t>
  </si>
  <si>
    <t>http://jharkhandtenders.gov.in</t>
  </si>
  <si>
    <t>JAPIT</t>
  </si>
  <si>
    <t>2021_IT_54724_1</t>
  </si>
  <si>
    <t>Delhi PHQ</t>
  </si>
  <si>
    <t>GEM/2021/B/1714809</t>
  </si>
  <si>
    <t>ODISHA ITMS</t>
  </si>
  <si>
    <t>2021_OBCC_71669_1</t>
  </si>
  <si>
    <t>PHQ Bhopal Videowall</t>
  </si>
  <si>
    <t>2022_MPP_180477_1</t>
  </si>
  <si>
    <t>RajComp Surveillance</t>
  </si>
  <si>
    <t>2021_RISL_250439_1</t>
  </si>
  <si>
    <t>2021_MPP_173334_1</t>
  </si>
  <si>
    <t>https://bidplus.gem.gov.in/advance-search</t>
  </si>
  <si>
    <t>J&amp;k CCTV</t>
  </si>
  <si>
    <t>GEM/2021/B/1684933</t>
  </si>
  <si>
    <t>Bhopal Traffic Solution (Smart City)</t>
  </si>
  <si>
    <t>2021_UAD_166852_1</t>
  </si>
  <si>
    <t>Rajasthan High Court</t>
  </si>
  <si>
    <t>2021_RAJHC_251363_1</t>
  </si>
  <si>
    <t>Remarks</t>
  </si>
  <si>
    <t>Chhattisgarh RSDC  CCTV System (V3) (Q2) GEM</t>
  </si>
  <si>
    <t>14-11-2025  
03:00 PM</t>
  </si>
  <si>
    <t>12-Dec-2025  
06:00 PM</t>
  </si>
  <si>
    <t>12-Dec-2025  
06:30 PM</t>
  </si>
  <si>
    <t>14-Nov-2025
03:00 PM</t>
  </si>
  <si>
    <t>12-Dec-2025
 05:00 PM</t>
  </si>
  <si>
    <t>012-Dec-2025
 05:00 PM</t>
  </si>
  <si>
    <t>Corr._Date _Ext-05-Dec
''Corr._Date _Ext-28-Nov
Corr.-Responses to Prebid Queries 18-Nov</t>
  </si>
  <si>
    <t>PQ-7 N2D, TQ - 60 TISPL
PQ-7 N2D, TQ - 47 SISPL</t>
  </si>
  <si>
    <t>04-Oct-2025, 12:00 AM</t>
  </si>
  <si>
    <t>04-Oct-2025 11:30 AM</t>
  </si>
  <si>
    <t>27-Nov-2025
 5:00 PM</t>
  </si>
  <si>
    <t>27-Nov-2025
 5:30 PM</t>
  </si>
  <si>
    <t>Corr. _Date_Ext-14-Nov
'Corr._Date _Ext-07-Nov
Corr._Date _Ext-27-Oct
Corr._Date _Ext-25-Oct-27-Oct
Corr_for_Revised RFP-24-Oct
Corr._Date _Ext-20- Oct
Corr._Date _Ext.- 11-Oct</t>
  </si>
  <si>
    <t>PQ-TQ Qualify by TISPL &amp; SISPL.</t>
  </si>
  <si>
    <t xml:space="preserve"> 28-Apr-2025
</t>
  </si>
  <si>
    <t>21-Nov-2025
 05:00 PM</t>
  </si>
  <si>
    <t>24-Nov-2025
 11:00 AM</t>
  </si>
  <si>
    <t>Corr. _Date_Ext-30-Oct
Corr. _Date_Ext-09-Oct
Corr. _Date_Ext-26-Sep
Corr. _Date_Ext. &amp; Changes &amp; Query Response - 04-Sep
Corr. __Date_Ext. 06-Aug, 08-July, 09-Jun, 13-May
Corr. __Pre Bid Queries_Date_Ext.- 23-Apr</t>
  </si>
  <si>
    <t xml:space="preserve"> 27-Aug-2025 04:00 PM</t>
  </si>
  <si>
    <t>15-Jul-2025 
 03:00 PM</t>
  </si>
  <si>
    <t xml:space="preserve"> 01-Sep-2025 03:00 PM</t>
  </si>
  <si>
    <t>'Corr._Date _Ext- 14-Aug
Corr._tech_prebid &amp; Revised BOQ- 24-Jul</t>
  </si>
  <si>
    <t xml:space="preserve"> 24-Jul-2025 11:00 AM </t>
  </si>
  <si>
    <t xml:space="preserve"> 25-Jul-2025 11:30 AM </t>
  </si>
  <si>
    <t xml:space="preserve"> 23-Sep-2025 11:00 AM</t>
  </si>
  <si>
    <t xml:space="preserve"> 24-Sep-2025
 11:00 AM</t>
  </si>
  <si>
    <t>Corr._Date _Ext-12-Sep
Corr._Date _Ext-02-Sep
Corr._Date _Ext- 19-Aug</t>
  </si>
  <si>
    <t xml:space="preserve"> 23-Jul-2025 05:00 PM</t>
  </si>
  <si>
    <t xml:space="preserve"> 23-Jul-2025 12:00 PM</t>
  </si>
  <si>
    <t xml:space="preserve"> 19-Sep-2025 04:00 PM</t>
  </si>
  <si>
    <t xml:space="preserve"> 19-Sep-2025 04:30 PM</t>
  </si>
  <si>
    <t>Online deposit / BG</t>
  </si>
  <si>
    <t>Corr. __Date_Ext-04-Sep
Corr. __Date_Ext-20-Aug
Corr. __Date_Ext. - 05-Aug</t>
  </si>
  <si>
    <t>PQ- NQ- PQ-5 
Payment -  OK</t>
  </si>
  <si>
    <t xml:space="preserve"> 18-Aug-2025 03:00 PM</t>
  </si>
  <si>
    <t xml:space="preserve"> 28-Aug-2025 05:00 PM</t>
  </si>
  <si>
    <t xml:space="preserve"> 28-Aug-2025 05:30 PM</t>
  </si>
  <si>
    <t>Corr. __Date_Ext-20-Aug
NO Corrigendum</t>
  </si>
  <si>
    <t>PQ- Ok
TQ-NQ (Loosing marks)</t>
  </si>
  <si>
    <t xml:space="preserve">28-Jul-2025 12:30 PM 	</t>
  </si>
  <si>
    <t>PQ- N2D- TQ -Loosing Marks
Payment -  Not Good</t>
  </si>
  <si>
    <t xml:space="preserve"> 16-Aug-2025 02:00 PM</t>
  </si>
  <si>
    <t xml:space="preserve"> 16-Aug-2025 02:30 PM</t>
  </si>
  <si>
    <t xml:space="preserve"> 08-Aug-2025 03:00 PM</t>
  </si>
  <si>
    <t xml:space="preserve"> 27-Aug-2025 03:00 PM</t>
  </si>
  <si>
    <t xml:space="preserve"> 27-Aug-2025 03:30 PM</t>
  </si>
  <si>
    <t>RTGS / internet banking / Fixed Deposit</t>
  </si>
  <si>
    <t>No GO as this tender is OPEX Model</t>
  </si>
  <si>
    <t xml:space="preserve"> 16-Aug-2025 11:00 AM</t>
  </si>
  <si>
    <t xml:space="preserve"> 16-Aug-2025 11:30 AM</t>
  </si>
  <si>
    <t>PQ Qualiefied by SISPL
Payment -  Very Bad</t>
  </si>
  <si>
    <t xml:space="preserve"> 18-Jul-2025 12:00 PM </t>
  </si>
  <si>
    <t xml:space="preserve"> 07-Aug-2025 03:00 PM</t>
  </si>
  <si>
    <t xml:space="preserve"> 08-Aug-2025 05:00 PM</t>
  </si>
  <si>
    <t>Corr. __Addendum to BoQ - 31-Jul
Corr. __tech_prebid - 28-Jul
Corr._Revised RFP &amp; EMD Exmpt - 30-Jul</t>
  </si>
  <si>
    <t>PQ- N2D
Payment -  Not Clearly Mentioned</t>
  </si>
  <si>
    <t>Dewas Interactive Panels with CPU (Q2) GEM</t>
  </si>
  <si>
    <t>24-Jul-2025 
 05:00 PM</t>
  </si>
  <si>
    <t>24-Jul-2025 
 05:30 PM</t>
  </si>
  <si>
    <t>DD/FD/PBG</t>
  </si>
  <si>
    <t>District Education Officer
 Office of the District Education Office Civil Line Square Dewas
 (Harisingh Bhartiya)</t>
  </si>
  <si>
    <t xml:space="preserve"> 02-Aug-2025 02:00 PM</t>
  </si>
  <si>
    <t xml:space="preserve"> 02-Aug-2025 02:30 PM</t>
  </si>
  <si>
    <t>PQ Qualiefied by TISPL (OEM Credentials)</t>
  </si>
  <si>
    <t xml:space="preserve"> 26-Jul-2025 04:00 PM</t>
  </si>
  <si>
    <t xml:space="preserve"> 28-Jul-2025 04:00 PM</t>
  </si>
  <si>
    <t>NO</t>
  </si>
  <si>
    <t>Corr._Changes - 17-Jul</t>
  </si>
  <si>
    <t xml:space="preserve"> 01-Jul-2025 05:00 PM</t>
  </si>
  <si>
    <t xml:space="preserve"> 03-Jul-2025 04:00 PM</t>
  </si>
  <si>
    <t xml:space="preserve"> 30-Jul-2025 06:00 PM</t>
  </si>
  <si>
    <t xml:space="preserve"> 30-Jul-2025 07:30 PM</t>
  </si>
  <si>
    <t>Corr._Date _Ext- 	16-Jul
Corr._Changes - 04-July, 30- Jun
Corr_Pre-Bid Meeting Reschedule-30- Jun</t>
  </si>
  <si>
    <t xml:space="preserve"> 06-Jun-2025 03:00 PM 	</t>
  </si>
  <si>
    <t xml:space="preserve"> 05-Aug-2025 12:00 PM</t>
  </si>
  <si>
    <t xml:space="preserve"> 05-Aug-2025 03:00 PM</t>
  </si>
  <si>
    <t>Corr._Date_Ext- 21-Jul, 05-July, 25-Jun</t>
  </si>
  <si>
    <t>PQ Qualified by TISPL
Payment -  OK</t>
  </si>
  <si>
    <t xml:space="preserve"> 19-Jul-2025  03:00 PM</t>
  </si>
  <si>
    <t xml:space="preserve"> 26-Jul-2025 05:00 PM</t>
  </si>
  <si>
    <t xml:space="preserve"> 26-Jul-2025 05:30 PM</t>
  </si>
  <si>
    <t>Pre-Bid Meeting MOM &amp; Clarifications - 20-Jul</t>
  </si>
  <si>
    <t>03-Jul-2025 06:00 PM</t>
  </si>
  <si>
    <t>04-Jul-2025 03:00 PM</t>
  </si>
  <si>
    <t>28-Jul-2025 06:00 PM</t>
  </si>
  <si>
    <t>04-Aug-2025 12:00 AM</t>
  </si>
  <si>
    <t>DD / BG</t>
  </si>
  <si>
    <t>Corr. _Clarification Changes- 12-Jun
Corr. _Revised RFP &amp; Pre-Bid Response</t>
  </si>
  <si>
    <t>PQ- TQ - N2D
Payment -  OK</t>
  </si>
  <si>
    <t xml:space="preserve"> 22-Jul-2025 01:00 PM</t>
  </si>
  <si>
    <t xml:space="preserve"> 22-Jul-2025 02:00 PM</t>
  </si>
  <si>
    <t xml:space="preserve"> 17-Jun-2025 11:30 AM </t>
  </si>
  <si>
    <t xml:space="preserve"> 08-Jul-2025 05:30 PM</t>
  </si>
  <si>
    <t xml:space="preserve"> 09-Jul-2025 05:30 PM</t>
  </si>
  <si>
    <t>Corr. __Date_Ext. - 01-July, 
Corr. _Pre Bid Response  - 26-Jun</t>
  </si>
  <si>
    <t xml:space="preserve"> 18-Jun-2025 11:30 AM </t>
  </si>
  <si>
    <t xml:space="preserve"> 15-Jul-2025 06:00 PM</t>
  </si>
  <si>
    <t xml:space="preserve"> 17-Jul-2025 11:30 AM</t>
  </si>
  <si>
    <t xml:space="preserve"> 16-Jun-2025 01:00 PM</t>
  </si>
  <si>
    <t xml:space="preserve"> 16-Jun-2025 01:30 PM</t>
  </si>
  <si>
    <t xml:space="preserve"> 27-May-2025 12:00 PM</t>
  </si>
  <si>
    <t xml:space="preserve"> 27-May-2025 12:30 PM</t>
  </si>
  <si>
    <t>M P Pollution Control Board 
E 5 Sector Paryawaran Parisar Arera Colony Bhopal 462017</t>
  </si>
  <si>
    <t>This tender is Cancelled by The Dept.</t>
  </si>
  <si>
    <t xml:space="preserve"> 27-May-2025 08:00 PM</t>
  </si>
  <si>
    <t xml:space="preserve"> 27-May-2025 08:30 PM</t>
  </si>
  <si>
    <t>This tender is for PSUs</t>
  </si>
  <si>
    <t>M P Pollution Control Board 
E 5 Sector Paryawaran Parisar Arera Colony Bhopal 462021</t>
  </si>
  <si>
    <t xml:space="preserve"> 13-May-2025 05:30 PM</t>
  </si>
  <si>
    <t xml:space="preserve"> 15-May-2025 11:00 AM</t>
  </si>
  <si>
    <t xml:space="preserve"> 15-11-2025  06:00 PM</t>
  </si>
  <si>
    <t xml:space="preserve"> 09-May-2025 05:30 PM</t>
  </si>
  <si>
    <t xml:space="preserve"> 13-May-2025 12:00 PM</t>
  </si>
  <si>
    <t xml:space="preserve"> 06-May-2025 04:00 PM</t>
  </si>
  <si>
    <t xml:space="preserve"> 06-May-2025 04:30 PM</t>
  </si>
  <si>
    <t>Corr._Representation- 15-Apr</t>
  </si>
  <si>
    <t>24-Mar-2025
11:00 AM</t>
  </si>
  <si>
    <t xml:space="preserve"> 28-Apr-2025 04:00 PM</t>
  </si>
  <si>
    <t>Corr._Tech_Spec -  22-Apr
Corr._Date_Ext.-13-Apr, 28-Mar</t>
  </si>
  <si>
    <t>16-Apr2025
11:30 AM</t>
  </si>
  <si>
    <t xml:space="preserve"> 14-May-2025 06:00 PM</t>
  </si>
  <si>
    <t xml:space="preserve"> 16-May-2025 11:30 AM</t>
  </si>
  <si>
    <t>PQ- NQ in PQ-1 &amp; 2 
Payment -  OK</t>
  </si>
  <si>
    <t>MP State Coperative Marketing Federation Ltd. CCTV &amp; IP Based DOME Camera</t>
  </si>
  <si>
    <t xml:space="preserve"> 08-Apr-2025 05:30 PM</t>
  </si>
  <si>
    <t>Tender Cancelled corrigendum document- 05-04-2025</t>
  </si>
  <si>
    <t xml:space="preserve"> 11-Apr-2025 05:00 PM</t>
  </si>
  <si>
    <t xml:space="preserve"> 11-Apr-2025 05:30 PM</t>
  </si>
  <si>
    <t>Corr._Date_Ext.-	28-Mar, 18-Mar
Corr._Reprsnt- 11-Mar
Corr._Changes-01-Mar</t>
  </si>
  <si>
    <t>No data found
'PQ- Qualify by RS
Payment -  OK</t>
  </si>
  <si>
    <t>Sumit Gupta - Bid Manager
MOBILE NO. : 7000870810
E-MAIL ID : sumitgupta@aai.aero</t>
  </si>
  <si>
    <t>Indore MP School Education Interactive Panels with CPU (Q2) GEM</t>
  </si>
  <si>
    <t xml:space="preserve"> 08-Apr-2025 06:00 PM</t>
  </si>
  <si>
    <t xml:space="preserve"> 08-Apr-2025 06:30 PM</t>
  </si>
  <si>
    <t xml:space="preserve"> 04-Apr-2025 03:00 PM</t>
  </si>
  <si>
    <t xml:space="preserve"> 04-Apr-2025 03:30 PM</t>
  </si>
  <si>
    <t>Corr._Changes &amp; Date_Ext.-28-Mar
Corr._Date_Ext.-21-Mar</t>
  </si>
  <si>
    <t>Tender in archive
PQ- Not Qualify -PQ 1 (PSU)
Payment -  OK</t>
  </si>
  <si>
    <t>Dr. Shivakumar Harti)
Additional Professor &amp; Store In-change
E-mail: director@aiia.gov.in , shivakumar.harti@aiia.gov.in</t>
  </si>
  <si>
    <t>Chhattisgarh Transport Department ANPR System GEM Q2</t>
  </si>
  <si>
    <t xml:space="preserve"> 03-Mar-2025</t>
  </si>
  <si>
    <t xml:space="preserve"> 29-Mar-2025  02:00 PM</t>
  </si>
  <si>
    <t xml:space="preserve"> 29-Mar-2025  02:30 PM</t>
  </si>
  <si>
    <t>BG/FDR/DD</t>
  </si>
  <si>
    <t>Corr._Query Resp &amp; Revised RFP- 10-Mar
Corr._Reprsnt- 10-Mar</t>
  </si>
  <si>
    <t>This Project have Lock Case
PQ- Qualify by NK
Payment -  OK</t>
  </si>
  <si>
    <t>06-Dec-2024
11:00 AM</t>
  </si>
  <si>
    <t xml:space="preserve"> 25-Mar-2025 03:00 PM</t>
  </si>
  <si>
    <t xml:space="preserve"> 25-Mar-2025 03:30 PM</t>
  </si>
  <si>
    <t>Corr._Dt_Ext.- 21-Feb, 30-Jan, 13-Jan, 13-Dec</t>
  </si>
  <si>
    <t xml:space="preserve"> 04-Mar-2025 12:00 PM</t>
  </si>
  <si>
    <t xml:space="preserve"> 19-Mar-2025 03:00 PM</t>
  </si>
  <si>
    <t xml:space="preserve"> 19-Mar-2025 03:30 PM</t>
  </si>
  <si>
    <t>IPG/Challan/BG</t>
  </si>
  <si>
    <t>Corr._Pre-Bid_Resp-05-Mar
Corr._Date_Ext.-05-Mar</t>
  </si>
  <si>
    <t xml:space="preserve"> 05-Mar-2025
12:30 PM</t>
  </si>
  <si>
    <t xml:space="preserve"> 18-Mar-2025 02:00 PM</t>
  </si>
  <si>
    <t xml:space="preserve"> 19-Mar-2025 04:00 PM</t>
  </si>
  <si>
    <t>Corr._Changes-11-Mar</t>
  </si>
  <si>
    <t xml:space="preserve"> 07-Mar-2025 06:00 PM</t>
  </si>
  <si>
    <t xml:space="preserve"> 07-Mar-2025  06:30 PM</t>
  </si>
  <si>
    <t>PQ- NQ - 06 Racks Solution
Payment - OK</t>
  </si>
  <si>
    <t xml:space="preserve"> 16-Feb-2025</t>
  </si>
  <si>
    <t xml:space="preserve"> 17-Feb-2025 12:30 PM </t>
  </si>
  <si>
    <t xml:space="preserve"> 03-Mar-2025 05:30 PM</t>
  </si>
  <si>
    <t xml:space="preserve"> 04-Mar-2025 06:00 PM</t>
  </si>
  <si>
    <t xml:space="preserve"> 13-Feb-2025 03:00 PM </t>
  </si>
  <si>
    <t xml:space="preserve"> 03-Mar-2025 03:00 PM</t>
  </si>
  <si>
    <t xml:space="preserve"> 03-Mar-2025 04:00 PM</t>
  </si>
  <si>
    <t>PQ- Qualify by TISPL
TQ- Qualify by TISPL
Payment -  OK</t>
  </si>
  <si>
    <t xml:space="preserve"> 07-Feb-2025
06:00 PM</t>
  </si>
  <si>
    <t xml:space="preserve"> 17-Feb-2025 10:00 AM</t>
  </si>
  <si>
    <t xml:space="preserve"> 17-Feb-2025 11:00 AM</t>
  </si>
  <si>
    <t>DD/ BG/ FDR</t>
  </si>
  <si>
    <t>Delhi ITI Limited Security Systems Group1</t>
  </si>
  <si>
    <t xml:space="preserve"> 09-Jan-2025  11:00 AM</t>
  </si>
  <si>
    <t>07-Feb-2025 01:00 PM</t>
  </si>
  <si>
    <t>07-Feb-2025 03:00 PM</t>
  </si>
  <si>
    <t>Corr._Date_Ext.-27-Jan</t>
  </si>
  <si>
    <t>PQ- Qualify by TISPL
Payment -  Good (90% -10%)</t>
  </si>
  <si>
    <t>Delhi ITI Limited Security Systems Group2</t>
  </si>
  <si>
    <t>08-Jan-2025, 02:00 PM</t>
  </si>
  <si>
    <t xml:space="preserve"> 07-Jan-2025 03:00 PM</t>
  </si>
  <si>
    <t xml:space="preserve"> 30-Jan-2025 03:00 PM</t>
  </si>
  <si>
    <t xml:space="preserve"> 31-Jan-2025 03:00 PM</t>
  </si>
  <si>
    <t>Corr._Changes- 24-Jan, 17-Jan</t>
  </si>
  <si>
    <t>PQ- Qualify by TISPL &amp; SISPL
Payment -  OK</t>
  </si>
  <si>
    <t>Bhopal Traffic Signal  2nd Call GEM</t>
  </si>
  <si>
    <t>22-Dec-2025 
12:00 PM</t>
  </si>
  <si>
    <t>05-Jan-2025  04:00 PM</t>
  </si>
  <si>
    <t>05-Jan-2025  04:30 PM</t>
  </si>
  <si>
    <t>Corr_Changes-24-Dec
'Corr_Changes-24-Dec
'Corr_Changes-23-Dec</t>
  </si>
  <si>
    <t>Jay Singh Tomar</t>
  </si>
  <si>
    <t>Contact no:- 7587648328, 9669977401</t>
  </si>
  <si>
    <t>28-Oct-2025 
12:00 PM</t>
  </si>
  <si>
    <t>12-Dec-2025
 6:00 PM</t>
  </si>
  <si>
    <t>12-Dec-2025 
1:30 PM</t>
  </si>
  <si>
    <t>Corr._for _Changes-05-Dec
Corr._Date _Ext-02-Dec</t>
  </si>
  <si>
    <t>16-Oct-2025 
 03:00 PM</t>
  </si>
  <si>
    <t>17-Oct-2025 
 03:00 PM</t>
  </si>
  <si>
    <t>20-Nov-2025 
7:00 PM</t>
  </si>
  <si>
    <t>20-Nov-2025 
7:30 PM</t>
  </si>
  <si>
    <t>BG / FDR</t>
  </si>
  <si>
    <t>Corr._For_Changes-11-Nov
Corr. _Date_Ext-10-Nov
Corr._For_Changes-03-Nov
Corr._For_Changes-18-Oct</t>
  </si>
  <si>
    <t xml:space="preserve">PQ- Not Qualified in PQ_2, Loosing Marks in TQ </t>
  </si>
  <si>
    <t>Bhopal Home dept. Body worn (V2) (Q2) Qty-100  GEM</t>
  </si>
  <si>
    <t>17-10-2025  01:00 PM</t>
  </si>
  <si>
    <t>07-Nov-2025 
5:00 PM</t>
  </si>
  <si>
    <t>07-Nov-2025 
5:30 PM</t>
  </si>
  <si>
    <t>Corr._Date _Ext-04-Nov</t>
  </si>
  <si>
    <t>28-Oct-2025
 11:00 AM</t>
  </si>
  <si>
    <t>23-Oct-2025
 11:00 AM</t>
  </si>
  <si>
    <t>24-Oct-2025
 11:00 AM</t>
  </si>
  <si>
    <t>Corr._Date _Ext -14-Oct</t>
  </si>
  <si>
    <t>PQ-Qualify By TISPL
Payment- OK</t>
  </si>
  <si>
    <t>Jabalpur MP Police Traffic Signal</t>
  </si>
  <si>
    <t>09-Oct-2025
12:17 PM</t>
  </si>
  <si>
    <t>22-Oct-2025
 05:30 PM</t>
  </si>
  <si>
    <t>23-Oct-2025
 05:30 PM</t>
  </si>
  <si>
    <t>Corr_Pre_Bid_Response-17-Oct</t>
  </si>
  <si>
    <t>PQ- Qualified by TISPL, SISPL,Infobase</t>
  </si>
  <si>
    <t>Nashik NMSCDCL CCTV SUR. MH</t>
  </si>
  <si>
    <t xml:space="preserve">23-Sep-2025
 03:00 PM </t>
  </si>
  <si>
    <t>14-Oct-2025
 05:00 PM</t>
  </si>
  <si>
    <t>15-Oct-2025
 05:00 PM</t>
  </si>
  <si>
    <t>Corr._Date _Ext. &amp; Changes-03-Oct
Corr._Date _Ext -17-Sep</t>
  </si>
  <si>
    <t>PQ TQ - NQ- PQ- 4 TQ-1&amp; N2D 7</t>
  </si>
  <si>
    <t>Banglore CPRI CCTV (V2) GEM</t>
  </si>
  <si>
    <t>PQ- Qualify by TISPL, SISPL,Infobase</t>
  </si>
  <si>
    <t>Ujjain UDA traffic signals MP</t>
  </si>
  <si>
    <t xml:space="preserve">06-Oct-2025
 12:30 PM </t>
  </si>
  <si>
    <t>13-Oct-2025
 10:30 AM</t>
  </si>
  <si>
    <t>14-Oct-2025
 10:30 AM</t>
  </si>
  <si>
    <t>DD/FDR</t>
  </si>
  <si>
    <t>Corr_Pre-Bid Query-10-Oct</t>
  </si>
  <si>
    <t>DELHI GMR AIRPORT CCTV and Security</t>
  </si>
  <si>
    <t>10-Oct-2025
05:00 AM</t>
  </si>
  <si>
    <t>PQ-TQ Qualified by TISPL
Payment - Ok</t>
  </si>
  <si>
    <t xml:space="preserve"> 28-Jul-2025, 03:30 PM</t>
  </si>
  <si>
    <t xml:space="preserve"> 30-Jul-2025, 11:30 AM</t>
  </si>
  <si>
    <t>10-Oct-2025
 03:30 PM</t>
  </si>
  <si>
    <t>15-Oct-2025 04:00 PM</t>
  </si>
  <si>
    <t>Corr._for_Revised RFP-30-Sep
Corr. III-Revised RFP&amp; Date_Ext -18-Sep- 02 - Sep
Corr._Date _Ext- 18-Aug</t>
  </si>
  <si>
    <t>PQ- N2D- PQ -10
Payment - Ok</t>
  </si>
  <si>
    <t xml:space="preserve"> 19-Jul-2025</t>
  </si>
  <si>
    <t xml:space="preserve"> 21-Jul-2025 12:00 PM</t>
  </si>
  <si>
    <t>22-Sep-2025
 06:00 PM</t>
  </si>
  <si>
    <t xml:space="preserve">30-Sep-2025
 11:00 AM </t>
  </si>
  <si>
    <t>Corr.- V for Changes -18-Sep
Corr._Date _Ext-12-Sep
Corr. _ Revised RFP-28-Aug
Corr._Date _Ext- 	14-Aug, 31-Jul</t>
  </si>
  <si>
    <t>PQ-TQ Qualified by TISPL
Payment -  OK</t>
  </si>
  <si>
    <t>Kolkata  West Bengal Body Worn Camera (V2) (Q2) RA GEM</t>
  </si>
  <si>
    <t>09-Sep-2025
 02:00 PM</t>
  </si>
  <si>
    <t>09-Sep-2025
 02:30 PM</t>
  </si>
  <si>
    <t>28-July-2025 
 11:00 AM</t>
  </si>
  <si>
    <t>30-Aug-2025
  12:00 PM</t>
  </si>
  <si>
    <t xml:space="preserve">Corr. _ for Changes- 05-Aug
Corr.__Date_Ext-19-Aug
</t>
  </si>
  <si>
    <t xml:space="preserve"> 28-Aug-2025 12:00 PM</t>
  </si>
  <si>
    <t xml:space="preserve"> 04-Aug-2025
  03:00 PM</t>
  </si>
  <si>
    <t>28-Aug-2025
  06:00 PM</t>
  </si>
  <si>
    <t>28-Aug-2025
  06:30 PM</t>
  </si>
  <si>
    <t xml:space="preserve">Corr. __Pre Bid Queries_Date_Ext.25 - Aug
</t>
  </si>
  <si>
    <t>Lucknow NR IP based Video Surveillance System (VSS) in 850 MEMU, DEMU &amp; EMU Coaches RA</t>
  </si>
  <si>
    <t xml:space="preserve"> 18-Jul-2025 03:00 PM </t>
  </si>
  <si>
    <t>Corr._Date _Ext_-07-Aug
Corr. _1 Notice - 28-Jul
Corr. _2 Revised Document - 26-Jul
Corr. _3 Pre bid Meeting - 17-Jul</t>
  </si>
  <si>
    <t xml:space="preserve">Lucknow NR IP based Video Surveillance System (VSS) 3853 LHB coaches RA </t>
  </si>
  <si>
    <t xml:space="preserve"> 22-Jul-2025 12:00 PM </t>
  </si>
  <si>
    <t>Corr._Date _Ext_-07-Aug
Corr._Pre-Bid Query Date Exts - 17-Jul
Corr._Documents - 28-Jul</t>
  </si>
  <si>
    <t xml:space="preserve"> 18-Jul-2025 11:00 AM </t>
  </si>
  <si>
    <t xml:space="preserve"> 20-Aug-2025 03:00 PM</t>
  </si>
  <si>
    <t>Corr._Date _Ext_-06-Aug
Corr. _1 Revised Document - 25-Jul
Corr. _2 Revised Document - 26-Jul
Corr. _3 Notice - 26-Jul</t>
  </si>
  <si>
    <t xml:space="preserve"> 05-Aug-2025 03:30 PM </t>
  </si>
  <si>
    <t>Prebid Participation Details</t>
  </si>
  <si>
    <t>Gwalior DRDO Camera System RA GEM</t>
  </si>
  <si>
    <t xml:space="preserve"> 24-Jul-2025
  10:00 AM</t>
  </si>
  <si>
    <t xml:space="preserve"> 24-Jul-2025
  10:30 AM</t>
  </si>
  <si>
    <t>PQ Qualiefied TISPL, SISPL, ISISPL</t>
  </si>
  <si>
    <t xml:space="preserve"> 12-Aug-2025 04:00 PM</t>
  </si>
  <si>
    <t xml:space="preserve"> 12-Aug-2025 04:30 PM</t>
  </si>
  <si>
    <t>RTGS / internet banking</t>
  </si>
  <si>
    <t>Corr._Date _Ext.- 07-Aug, 15-Jul, 24-Jun
Corr._Representations - 04-Aug
Corr._Changes &amp; Date _Ext. - 31-Jul 
Corr._Revised RFP - 15-Jul</t>
  </si>
  <si>
    <t xml:space="preserve"> 23-Jul-2025 11:00 AM</t>
  </si>
  <si>
    <t>Corr. Changes - 30-Jul
Corr. _Date_Ext. - 0-Aug</t>
  </si>
  <si>
    <t xml:space="preserve"> 15-Jul-2025 11:00 AM </t>
  </si>
  <si>
    <t xml:space="preserve"> 16-Jul-2025 11:00 AM </t>
  </si>
  <si>
    <t xml:space="preserve"> 11-Aug-2025 11:00 AM</t>
  </si>
  <si>
    <t xml:space="preserve"> 12-Aug-2025 11:00 AM</t>
  </si>
  <si>
    <t>Punjab PPHC 164 nos. Body Worn Cameras in various Jails Punjab</t>
  </si>
  <si>
    <t xml:space="preserve"> 07-July-2025 11:00 Hrs</t>
  </si>
  <si>
    <t>09-Jul-2025 
 11:30:00</t>
  </si>
  <si>
    <t xml:space="preserve"> 04-Aug-2025 11:00 AM</t>
  </si>
  <si>
    <t>Corr._Date _Ext- 	17-Jul</t>
  </si>
  <si>
    <t>PQ Qualiefied TISPL, SISPL, ISISPL
TQ - Under discussion'</t>
  </si>
  <si>
    <t>Gwalior Smart City Development Corp. Ltd. AMC Smart Public Address System MP</t>
  </si>
  <si>
    <t xml:space="preserve"> 01-Jul-2025</t>
  </si>
  <si>
    <t xml:space="preserve"> 02-Jul-2025
03:00 PM</t>
  </si>
  <si>
    <t xml:space="preserve"> 28-Jul-2025 05:00 PM</t>
  </si>
  <si>
    <t>Bhopal Indian Army Integrated surveillance System (CCTV) (Q2) RA GEM</t>
  </si>
  <si>
    <t xml:space="preserve"> 05-Jul-2025 02:00 PM</t>
  </si>
  <si>
    <t xml:space="preserve"> 05-Jul-2025 02:30 PM</t>
  </si>
  <si>
    <t>Corr._Date_Ext.-01-July</t>
  </si>
  <si>
    <t xml:space="preserve"> 30-Jun-2025 05:00 PM</t>
  </si>
  <si>
    <t xml:space="preserve"> 01-Jul-2025 05:10 PM</t>
  </si>
  <si>
    <t>Corr. __Pre bid Query response - 14-Jun</t>
  </si>
  <si>
    <t>PQ- NQ- PQ-4 (Experience in Similar Nature)
Payment -  OK</t>
  </si>
  <si>
    <t xml:space="preserve"> 24-Jun-2025 05:00 PM</t>
  </si>
  <si>
    <t xml:space="preserve"> 24-Jun-2025 05:30 PM</t>
  </si>
  <si>
    <t>Corr._Technical Changes - 12-Jun</t>
  </si>
  <si>
    <t>Bhopal MP Police RHQ EOI for S.A.F.E.G.U.A.R.D. - MP</t>
  </si>
  <si>
    <t xml:space="preserve">	20-May-2025 05:00 PM</t>
  </si>
  <si>
    <t xml:space="preserve"> 22-May-2025 11:30 PM</t>
  </si>
  <si>
    <t xml:space="preserve"> 17-Jun-2025 03:30 PM</t>
  </si>
  <si>
    <t>Corr._Date _Ext_-03-Jun
Corr. _Changes- 03-Jun, 28-May</t>
  </si>
  <si>
    <t>PQ- Qualify by TISPL
TQ- Qualify by TISPL</t>
  </si>
  <si>
    <t xml:space="preserve"> 13-Jun-2025 05:30 PM</t>
  </si>
  <si>
    <t>Corr._Pre Bid Responses- 10-Jun
Corr._Date _Ext_- 02-Jun
Corr._Pre Bid meeting Link-16-May-2025
Corr._Revised RFP -16-May-2025</t>
  </si>
  <si>
    <t xml:space="preserve"> 13-Jun-2025 03:00 PM</t>
  </si>
  <si>
    <t xml:space="preserve"> 11-Jun-2025 03:00 PM</t>
  </si>
  <si>
    <t>Corr._Changes and Date _Ext - 28-May
Corr._tech_prebid_Response- 06-Apr</t>
  </si>
  <si>
    <t>09-Jun-2025
 05:00 PM</t>
  </si>
  <si>
    <t>09-Jun-2025
 05:30 PM</t>
  </si>
  <si>
    <t>Corr._Date _Ext_-05-Jun</t>
  </si>
  <si>
    <t xml:space="preserve">	20-May-2025 05:30 PM</t>
  </si>
  <si>
    <t xml:space="preserve"> 22-May-2025 11:00 AM</t>
  </si>
  <si>
    <t>Corr._Mandatory Doc. List- 25-Apr</t>
  </si>
  <si>
    <t>24-Mar-2025
03:00 PM</t>
  </si>
  <si>
    <t xml:space="preserve"> 25-Mar-2025
11:00 AM</t>
  </si>
  <si>
    <t xml:space="preserve"> 30-Apr-2025 04:00 PM</t>
  </si>
  <si>
    <t xml:space="preserve"> 01-May-2025 04:00 PM</t>
  </si>
  <si>
    <t>Corr._Changes.-24-Apr
Corr._Date_Ext.-13-Apr</t>
  </si>
  <si>
    <t xml:space="preserve"> 26-Apr-2025 11:00 AM</t>
  </si>
  <si>
    <t xml:space="preserve"> 26-Apr-2025 11:30 AM</t>
  </si>
  <si>
    <t>Corr._Changes- 04-Apr
Corr._Date _Ext_-18-Apr, 04 Apr</t>
  </si>
  <si>
    <t xml:space="preserve"> 08-Apr-2025 05:00 PM</t>
  </si>
  <si>
    <t xml:space="preserve"> 20-Mar-2025
12:00 PM</t>
  </si>
  <si>
    <t xml:space="preserve"> 24-Apr-2025 05:00 PM</t>
  </si>
  <si>
    <t xml:space="preserve"> 25-Apr-2025 05:20 PM</t>
  </si>
  <si>
    <t>Corr._Clarification Changes- 16-Apr, 
08-Apr, 04-Apr
Corr._Date _Ext.- 21-Apr, 02-Apr, 01-Apr, 27-Mar</t>
  </si>
  <si>
    <t>12-Mar-2025
06:30 PM</t>
  </si>
  <si>
    <t>13-Mar-2025
12:00 PM</t>
  </si>
  <si>
    <t xml:space="preserve"> 18-Apr-2025 05:00 PM</t>
  </si>
  <si>
    <t xml:space="preserve"> 21-Apr-2025 12:00 PM</t>
  </si>
  <si>
    <t>Online/BG/FDR</t>
  </si>
  <si>
    <t>Corr._Date_Ext.-02-Apr
Corr._Query Resp &amp; Revised RFP- 21-Mar</t>
  </si>
  <si>
    <t>Bhopal MP Police PHQ Special Branch Data Center Upgradation MP</t>
  </si>
  <si>
    <t xml:space="preserve"> 14-Jan-2025  05:00 PM</t>
  </si>
  <si>
    <t xml:space="preserve"> 22-Jan-2025  11:00 AM</t>
  </si>
  <si>
    <t xml:space="preserve"> 17-Apr-2025 04:00 PM</t>
  </si>
  <si>
    <t xml:space="preserve"> 21-Apr-2025 04:00 PM</t>
  </si>
  <si>
    <t>DD/ BG/ FDR/ Bankers Cheque</t>
  </si>
  <si>
    <t>Corr._Changes- 02-Apr
Corr._Date_Ext.-02-Apr, 18-Mar, 06-Mar,17-Feb, 03-Feb</t>
  </si>
  <si>
    <t>Rajkot IOCL WRPL Video Wall Display GEM</t>
  </si>
  <si>
    <t xml:space="preserve"> 10-Apr-2025 02:00 PM</t>
  </si>
  <si>
    <t xml:space="preserve"> 10-Apr-2025 02:30 PM</t>
  </si>
  <si>
    <t xml:space="preserve"> 09-Apr-2025 05:10 PM</t>
  </si>
  <si>
    <t>PQ- Qualify by T+S
Payment -  OK</t>
  </si>
  <si>
    <t xml:space="preserve"> 02-Apr-2025 05:10 PM</t>
  </si>
  <si>
    <t>Corr._pre bid queries- 17-Mar</t>
  </si>
  <si>
    <t xml:space="preserve"> 11-Mar-2025 12:00 PM</t>
  </si>
  <si>
    <t xml:space="preserve"> 29-Mar-2025 04:00 PM</t>
  </si>
  <si>
    <t xml:space="preserve"> 29-Mar-2025 04:30 PM</t>
  </si>
  <si>
    <t>Corr._Tech._Changes-21-Mar
Corr._Date_Ext.-21-Mar</t>
  </si>
  <si>
    <t>Bhopal PHQ Provisioning Smart Video Wall (4K) MP</t>
  </si>
  <si>
    <t>06-Mar-2025
12:30 PM</t>
  </si>
  <si>
    <t xml:space="preserve"> 27-Mar-2025 02:00 PM</t>
  </si>
  <si>
    <t xml:space="preserve"> 28-Mar-2025 04:00 PM</t>
  </si>
  <si>
    <t>Corr._Date_Ext.-21-Mar</t>
  </si>
  <si>
    <t xml:space="preserve"> 03-Mar-2025 11:00 AM</t>
  </si>
  <si>
    <t xml:space="preserve"> 04-Mar-2025 11:00 AM</t>
  </si>
  <si>
    <t xml:space="preserve"> 27-Mar-2025 11:00 AM</t>
  </si>
  <si>
    <t xml:space="preserve"> 28-Mar-2025 11:00 AM</t>
  </si>
  <si>
    <t>Shri Ranjodh Singh- (Chief Engineer)
9876222506 (M)
ranjodh.singh@punjabpolice.gov.in</t>
  </si>
  <si>
    <t xml:space="preserve"> 25-Mar-2025  03:00 PM</t>
  </si>
  <si>
    <t>Corr._Date_Ext.-12-Mar</t>
  </si>
  <si>
    <t>Bhopal PHQ Integrated City Surveillance System  11 Cities MP</t>
  </si>
  <si>
    <t xml:space="preserve"> 04-Feb-2025 06:00 PM</t>
  </si>
  <si>
    <t xml:space="preserve"> 06-Feb-2025 12:00 PM</t>
  </si>
  <si>
    <t xml:space="preserve"> 07-Mar-2025 05:00 PM</t>
  </si>
  <si>
    <t xml:space="preserve"> 10-Mar-2025 12:00 PM</t>
  </si>
  <si>
    <t>Corr._Date_Ext.-27-Feb
Corr._Format- 15-Feb
Corr._Jabalpur_Boq- 14-Feb
Corr._Pre Bid Response- 13-Feb</t>
  </si>
  <si>
    <t>Shri Kishan Singh Baghel (DSP)
94244 17685</t>
  </si>
  <si>
    <t xml:space="preserve"> 03-Mar-2025 05:00 PM</t>
  </si>
  <si>
    <t xml:space="preserve"> 04-Mar-2025 05:10 PM</t>
  </si>
  <si>
    <t xml:space="preserve"> 06-Jan-2025 12:00 PM </t>
  </si>
  <si>
    <t xml:space="preserve"> 20-Feb-2025 03:00 PM</t>
  </si>
  <si>
    <t xml:space="preserve"> 21-Feb-2025 03:00 PM</t>
  </si>
  <si>
    <t>Corr._Pre Bid Response- 14-Feb
Corr._Date_Ext.-07-Feb, 22-Jan
Corr.Site_Survey- 20-Jan</t>
  </si>
  <si>
    <r>
      <rPr>
        <b/>
        <sz val="24"/>
        <color theme="0"/>
        <rFont val="Cambria"/>
        <family val="1"/>
      </rPr>
      <t xml:space="preserve">Estimated value in CR
</t>
    </r>
    <r>
      <rPr>
        <b/>
        <sz val="22"/>
        <color theme="0"/>
        <rFont val="Cambria"/>
        <family val="1"/>
      </rPr>
      <t xml:space="preserve">(Published cost indicate by underline) </t>
    </r>
    <r>
      <rPr>
        <b/>
        <sz val="24"/>
        <color theme="0"/>
        <rFont val="Cambria"/>
        <family val="1"/>
      </rPr>
      <t xml:space="preserve"> </t>
    </r>
  </si>
  <si>
    <t>GO/ NO GO STATUS</t>
  </si>
  <si>
    <t>Approval by</t>
  </si>
  <si>
    <t xml:space="preserve">Published Date </t>
  </si>
  <si>
    <t>Recd to presales</t>
  </si>
  <si>
    <t>Pre-Bid
Queries Submission (date)</t>
  </si>
  <si>
    <t>PBG Percentage</t>
  </si>
  <si>
    <t>22-Dec-2024
11:00 AM</t>
  </si>
  <si>
    <t>24-Dec-2024
11:00 AM</t>
  </si>
  <si>
    <t>24-Jan-2025 11:00 AM</t>
  </si>
  <si>
    <t>25-Jan-2025 11:00 AM</t>
  </si>
  <si>
    <t>Corr._Date_Ext.-21-Jan
 Corr._Changes- 11-Jan
Revised Financial Bid- 11-Jan</t>
  </si>
  <si>
    <t>14-Dec-2024 12:00 PM</t>
  </si>
  <si>
    <t>14-Dec-2024 02:00 PM</t>
  </si>
  <si>
    <t>23-Dec-2024 05:00 PM</t>
  </si>
  <si>
    <t>23-Dec-2024 05:30 PM</t>
  </si>
  <si>
    <t>Corr._Query Resp &amp; Price Bid- 15-Dec
Corr._Date_Ext.- 15-Dec</t>
  </si>
  <si>
    <t xml:space="preserve">NA </t>
  </si>
  <si>
    <t>17-Dec-2024  4:00 PM</t>
  </si>
  <si>
    <t>17-Dec-2024  4:30 PM</t>
  </si>
  <si>
    <t>Representations- 05-Dec</t>
  </si>
  <si>
    <t>PQ- Qualify by TISPL  &amp; SISPL
Payment -  OK</t>
  </si>
  <si>
    <t>16-Oct-2024  03:00 PM</t>
  </si>
  <si>
    <t>10-Dec-2024 05:00 PM</t>
  </si>
  <si>
    <t>12-Dec-2024 05:00 PM</t>
  </si>
  <si>
    <t>Corr._Date_Ext.- 28-Nov, 18-Nov, 08-Nov, 29-Oct
Corr._Query Rpl &amp; Date_Ext.- 19-Oct</t>
  </si>
  <si>
    <t xml:space="preserve">PQ- Qualify by TISPL
Payment -  OK </t>
  </si>
  <si>
    <t>11-Nov-2024 12:00 PM</t>
  </si>
  <si>
    <t>27-Nov-2024 06:00 PM</t>
  </si>
  <si>
    <t>28-Nov-2024 06:00 PM</t>
  </si>
  <si>
    <t>Corr._Tech_Specs- 20-Nov</t>
  </si>
  <si>
    <t>28-Oct-2024 06:00 PM</t>
  </si>
  <si>
    <t>05-Nov-2024 12:00 PM</t>
  </si>
  <si>
    <t>19-Nov-2024 05:00 PM</t>
  </si>
  <si>
    <t>20-Nov-2024 05:10 PM</t>
  </si>
  <si>
    <t>Corr._Query Rpl- 08-Nov</t>
  </si>
  <si>
    <t>PQ- Qualify by TISPL 
Payment -  N2D</t>
  </si>
  <si>
    <t>11-Nov-2024  04:00 PM</t>
  </si>
  <si>
    <t>11-Nov-2024  04:30 PM</t>
  </si>
  <si>
    <t>Net Banking / NEFT/ RTGS</t>
  </si>
  <si>
    <t>Corr.- Revised ATC - 02-Nov, 19-Oct, 10-Oct, 04-Oct
Corr._Date_Ext.- 19-Oct, 04-Oct-24</t>
  </si>
  <si>
    <t>PQ- Qualify by TISPL &amp; SISPL
Payment -  Good (80-20)</t>
  </si>
  <si>
    <t>05-Nov-2024 05:00 PM</t>
  </si>
  <si>
    <t>06-Nov-2024 05:10 PM</t>
  </si>
  <si>
    <t>PQ- Qualify by TISPL , SISPL &amp; INFOBASE
Payment -  OK</t>
  </si>
  <si>
    <t xml:space="preserve">22-Oct-2024 03:00 PM </t>
  </si>
  <si>
    <t xml:space="preserve">23-Oct-2024 03:00 PM </t>
  </si>
  <si>
    <t>26-Oct-2024 05:00 PM</t>
  </si>
  <si>
    <t>28-Oct-2024 01:00 PM</t>
  </si>
  <si>
    <t xml:space="preserve">PQ- Qualify by TISPL &amp; SISPL
Payment -  100% on successful inspection and acceptance of all the deliverables.
</t>
  </si>
  <si>
    <t>15-Oct-2024  03:00 PM</t>
  </si>
  <si>
    <t>23-Oct-2024  04:00 PM</t>
  </si>
  <si>
    <t>23-Oct-2024  04:30 PM</t>
  </si>
  <si>
    <t>PQ-  Qualified
TQ - 80 Marks out of 90 + Subjective
Payment Terms - OK</t>
  </si>
  <si>
    <t>18-Sep-2024 11:00 AM</t>
  </si>
  <si>
    <t>16-Oct-2024 04:00 PM</t>
  </si>
  <si>
    <t>17-Oct-2024 05:00 PM</t>
  </si>
  <si>
    <t>Corr.2- Amd_Tech_Specs- 09-Oct-2024
Corr.- Chng and Dt_Ext.-  01-Oct-2024
Corr.- Changes-  20-Sep-2024</t>
  </si>
  <si>
    <t>PQ- Qualify by TISPL &amp; SISPL
Payment -  OK 
BoQ- Enclosed</t>
  </si>
  <si>
    <t>Haridwar; Uttarakhand PHQ  Surveillance GEM</t>
  </si>
  <si>
    <t>11-Sep-2024 11:00 AM</t>
  </si>
  <si>
    <t>09-Oct-2024 10:00 AM</t>
  </si>
  <si>
    <t>09-Oct-2024 10:30 AM</t>
  </si>
  <si>
    <t>Corr._Date_Ext.- 02-Oct-2024
Corr._Query Rpl - 25-Sep-2024
Corr._Date_Ext.- 25-Sep-2024
Corr._Date_Ext.- 24-Sep-2024</t>
  </si>
  <si>
    <t>Qualify by TISPL 
Payment - Good
BoQ- Enclosed</t>
  </si>
  <si>
    <t>NK</t>
  </si>
  <si>
    <t>05-Apr-2024
11:30 AM</t>
  </si>
  <si>
    <t>02-Apr-2024
11:30 AM</t>
  </si>
  <si>
    <t>24-Sep-2024 05:00 PM</t>
  </si>
  <si>
    <t>25-Sep-2024 11:00 AM</t>
  </si>
  <si>
    <t>Corr.11_Date_Ext.- 17-Sep-2024
Corr.10_Date_Ext.- 09-Sep-2024
Corr.9_Date_Ext.- 27-Aug-2024
Corr.8_Date_Ext.- 14-Aug-2024
Corr.-Amendment &amp; Add - 05-Aug-2024
Corr.7_Date_Ext.- 05-Aug-2024
Corr.6_Date_Ext.- 24-Jul-2024
Corr.5_Date_Ext.- 08-Jul-2024
Corr.4_Date_Ext.- 18-Jun-2024
Corr.3_Date_Ext.- 27-May-2024
Corr.2_Date_Ext.- 13-May-2024
Corr.1_Date_Ext.-23-Apr-2024</t>
  </si>
  <si>
    <t xml:space="preserve">PQ- Qualify by TISPL,  TQ- 61 Marks
OEM PQ -YES
Payment - OK
</t>
  </si>
  <si>
    <t>Sh. Shitij Kumar Executive Engineer
Mob. No: 9466117018
Email: engelecinfra.fmda@gov.</t>
  </si>
  <si>
    <t>22-Jul-2024 11:00 AM</t>
  </si>
  <si>
    <t>10-Sep-2024  05:00 PM</t>
  </si>
  <si>
    <t>10-Sep-2024  05:30 PM</t>
  </si>
  <si>
    <t>Corr. _Changes &amp; Date_Ext.-  02-Sep-2024
Corr._Date_Ext.- 19-Aug-2024
Corr._Date_Ext.- 05-Aug-2024
Corr. _Changes- 29-Jul-2024
Corr. _ Online_Pre-Bid- 18-Jul-2024</t>
  </si>
  <si>
    <t xml:space="preserve">PQ- Qualify byTISPL 
Payment -  OK 
Location- 10 Different States 
BOQ- Enclosed
</t>
  </si>
  <si>
    <t>Pratik - 7970755393 (pratik.anand@qcin.org)
Shivam Garg - 8851460050 (shivam.g@qcin.org) QCI
Tulika Rawat - 8126796841 (tulika.rawat@qcin.org) QCI</t>
  </si>
  <si>
    <t>26-08-2024  5:00 PM</t>
  </si>
  <si>
    <t>28-Aug-2024 03:00 PM</t>
  </si>
  <si>
    <t>05-Sep-2024 03:00 PM</t>
  </si>
  <si>
    <t>06-Sep-2024 03:00 PM</t>
  </si>
  <si>
    <t>Corr.1- Changes- 30-Aug-2024
Corr.Pre Bid Response- 30-Aug-2024</t>
  </si>
  <si>
    <t>PQ- Qualify by TISPL &amp; SISPL 
Payment -  OK
BoQ- Enclosed</t>
  </si>
  <si>
    <t>20-Aug-2024
11:00 AM</t>
  </si>
  <si>
    <t>06-Sep-2024 03:30 PM</t>
  </si>
  <si>
    <t>Corr.- Query Reply- 29-Aug-2024
Corr.2-Addendum- 29-Aug-2024
Corr.- Date_Ext.- 28-Aug-2024</t>
  </si>
  <si>
    <t>Qualified by TISPL
Payment - OK
BOQ- Enclosed</t>
  </si>
  <si>
    <t>04-Sep-2024 03:00 PM</t>
  </si>
  <si>
    <t>05-Sep-2024 03:15 PM</t>
  </si>
  <si>
    <t>PQ- Qualify by TISPL &amp; SISPL 
Payment -  OK 
BoQ- Enclosed</t>
  </si>
  <si>
    <t>15-Jul-2024  10:00 AM</t>
  </si>
  <si>
    <t>30-Aug-2024  11:00 AM</t>
  </si>
  <si>
    <t>30-Aug-2024  11:30 AM</t>
  </si>
  <si>
    <t>Corr.- Date_Ext.- 14-Aug-2024
Corr. Revised RFP 08-Aug-2024
Corr.- Date_Ext.- 08-Aug-2024
Corr.- Date_Ext.- 23-Jul-2024</t>
  </si>
  <si>
    <t>8653817391 hatsoff.200@gov.in</t>
  </si>
  <si>
    <t xml:space="preserve"> 11-Jun-2024</t>
  </si>
  <si>
    <t>11-Jun-2024
03:00 PM</t>
  </si>
  <si>
    <t>30-Aug-2024  04:00 PM</t>
  </si>
  <si>
    <t>30-Aug-2024  04:30 PM</t>
  </si>
  <si>
    <t>Corr.- Date_Ext.- 20-Aug-2024
Corr.- Date_Ext.- 08-Aug-2024
Corr.- Query Reply- 31-Jul-2024
Corr.- Representation- 31-Jul-2024
Corr.- Date_Ext.- 24-Jul-2024
Corr.- Date_Ext.- 05-Jul-2024
Corr.- Date_Ext.- 24-Jun-2024</t>
  </si>
  <si>
    <t>PQ- Qualify by TISPL 
TQ- Qualify (70 Marks)
OEM PQ -Yes
Payment -  OK</t>
  </si>
  <si>
    <t xml:space="preserve">Shri Vivek Verma (Chief Vigilance Officer)
Tel: 011-24340713 
Email: secy-lpai@lpai.gov.in </t>
  </si>
  <si>
    <t>Jabalpur Smart City ICCC &amp; ITMS MP</t>
  </si>
  <si>
    <t>23-Jul-2024  5:30: PM</t>
  </si>
  <si>
    <t>22-Jul-2024 03:00 PM</t>
  </si>
  <si>
    <t>16-Aug-2024 05:30 PM</t>
  </si>
  <si>
    <t>20-Aug-2024 10:00 AM</t>
  </si>
  <si>
    <t>Corr.- Date_Ext.- 10-Aug-2024
Corr._Pre Bid Reply- 05-Aug-2024
Corr._Updated BoQ- 03-Aug-2024
Corr._Bid Submission Date- 30-Jul-2024
Corr._Pre_bid_Mode Chng- 22-Jul-2024</t>
  </si>
  <si>
    <t>PQ- Qualify by TISPL  &amp; SISPL 
TQ- Qualify byTISPL  &amp; SISPL 
Payment -  OK
BoQ - Enclosed</t>
  </si>
  <si>
    <t>Ankur Khare
(Data Management Officer)
9171044401</t>
  </si>
  <si>
    <t>19-Jun-2024
03:00 PM</t>
  </si>
  <si>
    <t>19-Jun-2024
04:00 PM</t>
  </si>
  <si>
    <t>05-Aug-2024 03:00 PM</t>
  </si>
  <si>
    <t>05-Aug-2024 04:15 PM</t>
  </si>
  <si>
    <t xml:space="preserve">Offline (BG) </t>
  </si>
  <si>
    <t>Corr._Technical Changes-  01-Aug-2024
Corr.5_Date_Ext.-  24-Jul-2024
Corr._Revised_BoQ.-  23-Jul-2024
Corr._Revised_BoQ.-  19-Jul-2024
Corr._Updated_BoQ.-  19-Jul-2024
Corr._Revised_BoQ.-  15-Jul-2024
Corr.3_Spcf_Tech._Chng.-  15-Jul-2024
Add2._New_Clause_Added-  15-Jul-2024
Corr.2_Date_Ext.-  13-Jul-2024
Add._BG_Bank Details- 04-07-2024
Corr.1_Date_Ext.-  01-Jul-2024</t>
  </si>
  <si>
    <t>PQ- Qualified by TISPL
TQ - Qualified by TISPL
OEM PQ - Yes
Payment - OK</t>
  </si>
  <si>
    <t>01-Mar-2024  2.00 PM</t>
  </si>
  <si>
    <t>01-Mar-2024
03:00 PM</t>
  </si>
  <si>
    <t>18-Jul-2024 03:00 PM</t>
  </si>
  <si>
    <t>18-Jul-2024 04:00 PM</t>
  </si>
  <si>
    <t>Both
Offline (BG) 
&amp; Online</t>
  </si>
  <si>
    <t xml:space="preserve">Corr._Date_Ext.-  10-Jul-2024
Corr._Chng &amp; Date_Ext.-  03-Jul-2024
Corr._Date_Ext.-  20-Jun-2024
Corr._Date_Ext.-  28-May-2024
Pre Bid Reply- 28-May-2024
Corr._Date_Ext.- 18-May-2024 
'Corr._Date_Ext.- 16-Apr-2024
'Corr._Date_Correction  18-Mar-2024
'Corr._Date_Ext.- 16-Mar-2024 </t>
  </si>
  <si>
    <t>PQ- Qualified by TISPL
OEM PQ - 10 MARKS
Payment -  OK</t>
  </si>
  <si>
    <t>Delhi Punjab National Bank Network Monitoring System GEM (RA)</t>
  </si>
  <si>
    <t>27-May-2024  12:00 PM</t>
  </si>
  <si>
    <t>27-May-2024  3:00 PM</t>
  </si>
  <si>
    <t>05-Jul-2024  4:00 PM</t>
  </si>
  <si>
    <t>05-Jul-2024  4:30 PM</t>
  </si>
  <si>
    <t>Online Deposit or BG</t>
  </si>
  <si>
    <t>Corr.- Revised_RFP- 28-Jun-2024
Specification- 28-06-2024
Corr.- Date_Ext.- 25-Jun-2024
Corr.- Revised_RFP- 18-Jun-2024
Corr.- Date_Ext.- 18-Jun-2024
Corr.- Date_Ext.- 07-Jun-2024</t>
  </si>
  <si>
    <t>PQ- Qualified by TISPL
OEM PQ - Yes
Location- New Delhi 
Payment - OK</t>
  </si>
  <si>
    <t>27-Mar-2024  05:00 PM</t>
  </si>
  <si>
    <t>27-Mar-2024  11:00 AM</t>
  </si>
  <si>
    <t>20-Jun-2024  6:00 PM</t>
  </si>
  <si>
    <t>20-Jun-2024  6:30 PM</t>
  </si>
  <si>
    <t>30,00,000</t>
  </si>
  <si>
    <t>Corr._Changes_&amp;_Dt_Ext.-  05-06-24
Corrigendum for Queries Date Extension on 28-03-2024</t>
  </si>
  <si>
    <t>PQ-  Qualified
TQ - 87 Marks out of 90 + Subjective
Payment Terms - OK
Location- 171</t>
  </si>
  <si>
    <t>Delhi NIA CCTV GEM (RA)</t>
  </si>
  <si>
    <t>18-Jun-2024  3:00 PM</t>
  </si>
  <si>
    <t>18-Jun-2024  3:30 PM</t>
  </si>
  <si>
    <t>Query Reply- 03-06-24 (Revs_Est. Cost)</t>
  </si>
  <si>
    <t>PQ- Qualified 
OEM PQ- Yes
Payment - Good (70-30)</t>
  </si>
  <si>
    <t>RS</t>
  </si>
  <si>
    <t>20-Mar-2024 12:30 PM</t>
  </si>
  <si>
    <t>14-Jun-2024 03:00 PM</t>
  </si>
  <si>
    <t>14-Jun-2024 04:00 PM</t>
  </si>
  <si>
    <t>Corr. Date_Ext.- 07-Jun-2024
'Corr._Tech_Chng.- 04-06-24
Corr._Date_Ext.- 24-05-24
RFP (After Pre Bid) on 13-May-2024
Corr.-2 Date_Ext.-13-May-2024
Pre Bid Response on 13-May-2024
Corr.-1 Date_Ext.- 13-May-2024</t>
  </si>
  <si>
    <t xml:space="preserve">PQ Status- Qualified by TISPL 
TQ - 70 Marks
Payment -  OK
Location - Rajasthan
</t>
  </si>
  <si>
    <t>Bhubaneswar VC Rooms and Command Centre CRUT</t>
  </si>
  <si>
    <t>27-03-2024
03:00 PM</t>
  </si>
  <si>
    <t>28-03-2024
04:00 PM</t>
  </si>
  <si>
    <t>29-04-2024
03::30 PM</t>
  </si>
  <si>
    <t>3,00,000</t>
  </si>
  <si>
    <t>Corrigendum-1 for Query Response on 08-04-2024</t>
  </si>
  <si>
    <t>PQ- Qualified 
TQ- Qualified (60 Marks)
Payment - OK
Location - Bhubaneswar
BOQ- Enclosed</t>
  </si>
  <si>
    <t>27-03-2024  05:00 PM</t>
  </si>
  <si>
    <t>27-03-2024  11:00 AM</t>
  </si>
  <si>
    <t>13-04-2024  6:00 PM</t>
  </si>
  <si>
    <t>13-04-2024  6:30 PM</t>
  </si>
  <si>
    <t>Corrigendum for Queries Date Extension on 28-03-2024</t>
  </si>
  <si>
    <t>Qualified by TISPL 
PQ-  Qualified
TQ - 87 Marks out of 90 + Subjective
Payment Terms - OK
SLA- Enclosed
Location- 171</t>
  </si>
  <si>
    <t xml:space="preserve">20-Feb-2024 03:30 PM 	</t>
  </si>
  <si>
    <t xml:space="preserve">21-Feb-2024 03:30 PM 	</t>
  </si>
  <si>
    <t>15-Mar-2024 05:30 PM</t>
  </si>
  <si>
    <t>16-Mar-2024 05:35 PM</t>
  </si>
  <si>
    <t>Date has been extended	13-Mar-2024 06:37 PM
Corrigendum 2 on 12-Mar-2024 for changes in clause Pre bid response on 12-Mar-2024 06:22 PM
Date Extension notice on 06-Mar-2024 05:25 PM
Pre Bid VC Link on 20-Feb-2024 05:10 PM</t>
  </si>
  <si>
    <t>PQ Status- OK
TQ - Qualified
Payment terms - NO
SLA- Enclosed
Location - Jabalpur</t>
  </si>
  <si>
    <t>PN</t>
  </si>
  <si>
    <t>20-02-2024  2:00 PM</t>
  </si>
  <si>
    <t>20-02-2024  2:30 PM</t>
  </si>
  <si>
    <t>1,34,655</t>
  </si>
  <si>
    <t>DD/  Bankers Cheque</t>
  </si>
  <si>
    <t xml:space="preserve">Corrigendum regarding changes in some clauses on 03-Feb-2024 </t>
  </si>
  <si>
    <t>PQ - Qualified 
OEM PQ - Yes
Paymen Terms - Very Good (80-20)
Location - Bhopal
BOQ - Enclosed</t>
  </si>
  <si>
    <t xml:space="preserve"> Punjab Police CCTV Surveillance Mohali 5th Call</t>
  </si>
  <si>
    <t>22-Jan-2024 11:00 AM</t>
  </si>
  <si>
    <t>23-Jan-2024 11:00 AM</t>
  </si>
  <si>
    <t xml:space="preserve">Online </t>
  </si>
  <si>
    <t>Corrigendum reg. date01	15-Jan-2024
Technical Corrigendum on 12-Jan-2024 07:45 PM
Technical Corrigendum on 10-01-2024</t>
  </si>
  <si>
    <t xml:space="preserve">PQ Qualified by TISPL
OEM  PQ-  Yes
Payment Terms - OK
Location -20 locations punjab
</t>
  </si>
  <si>
    <t>6.67 Cr.</t>
  </si>
  <si>
    <t>UP Ghaziabad ITMS CCTV Survei.</t>
  </si>
  <si>
    <t>23-11-2023
 11:20 AM</t>
  </si>
  <si>
    <t>NA </t>
  </si>
  <si>
    <t xml:space="preserve">	04-Dec-2023 04:00 PM </t>
  </si>
  <si>
    <t xml:space="preserve">66,77,325	</t>
  </si>
  <si>
    <t xml:space="preserve">No Corrigendum </t>
  </si>
  <si>
    <r>
      <rPr>
        <b/>
        <sz val="16"/>
        <rFont val="Cambria"/>
        <family val="1"/>
      </rPr>
      <t xml:space="preserve">Working
</t>
    </r>
    <r>
      <rPr>
        <b/>
        <u/>
        <sz val="16"/>
        <color rgb="FFFF0000"/>
        <rFont val="Cambria"/>
        <family val="1"/>
      </rPr>
      <t xml:space="preserve">Payment Terms - </t>
    </r>
    <r>
      <rPr>
        <b/>
        <sz val="16"/>
        <color theme="1"/>
        <rFont val="Cambria"/>
        <family val="1"/>
      </rPr>
      <t>Capex - 80% Opex -20%</t>
    </r>
    <r>
      <rPr>
        <b/>
        <sz val="16"/>
        <rFont val="Cambria"/>
        <family val="1"/>
      </rPr>
      <t xml:space="preserve">
</t>
    </r>
    <r>
      <rPr>
        <b/>
        <u/>
        <sz val="16"/>
        <color rgb="FFFF0000"/>
        <rFont val="Cambria"/>
        <family val="1"/>
      </rPr>
      <t>Location -</t>
    </r>
    <r>
      <rPr>
        <b/>
        <sz val="16"/>
        <rFont val="Cambria"/>
        <family val="1"/>
      </rPr>
      <t xml:space="preserve">  Ghaziabad
</t>
    </r>
    <r>
      <rPr>
        <b/>
        <u/>
        <sz val="16"/>
        <color rgb="FFFF0000"/>
        <rFont val="Cambria"/>
        <family val="1"/>
      </rPr>
      <t xml:space="preserve">OEM Criteria -  </t>
    </r>
    <r>
      <rPr>
        <b/>
        <sz val="16"/>
        <rFont val="Cambria"/>
        <family val="1"/>
      </rPr>
      <t xml:space="preserve">Yes </t>
    </r>
  </si>
  <si>
    <t xml:space="preserve">Pre-Bid Query  Tracker </t>
  </si>
  <si>
    <t xml:space="preserve">Pre-Bid 
Queries  </t>
  </si>
  <si>
    <t>PQ/TQ Queries Ready
(Yes/No)</t>
  </si>
  <si>
    <t>Technical Queries Ready
(Yes/No)</t>
  </si>
  <si>
    <t>Queries Send
(Yes/No)</t>
  </si>
  <si>
    <t>08-Jan-2026 
 05:00 PM</t>
  </si>
  <si>
    <t>13-Jan-2026 
 04:00 PM</t>
  </si>
  <si>
    <t>Hazaribag_DC_VMS Jhharkhand</t>
  </si>
  <si>
    <t>03-12-2025 
5:00 PM</t>
  </si>
  <si>
    <t>04-12-2025  
02:00 PM</t>
  </si>
  <si>
    <t>Tarapur NRB CCTV Surveillance System UPS</t>
  </si>
  <si>
    <t>1-Dec-2025 
 02:00 PM</t>
  </si>
  <si>
    <t>20-Nov-2025  
  06:00 PM</t>
  </si>
  <si>
    <t>27-Nov-2025  
11:00 AM</t>
  </si>
  <si>
    <t>Ghaziabad PAH CCTV System</t>
  </si>
  <si>
    <t>21-Nov-2025
 11:00 AM</t>
  </si>
  <si>
    <t>Bhopal police RHQ  WiFi Facility Services</t>
  </si>
  <si>
    <t>18-Nov-2025
12:00 PM</t>
  </si>
  <si>
    <t>20-Nov-2025
 11:00 AM</t>
  </si>
  <si>
    <t>Gwalior CTG Road Safety Equipment</t>
  </si>
  <si>
    <t>18-Nov-2025
 01:00 PM</t>
  </si>
  <si>
    <t xml:space="preserve">Goa IDC Engineering CCTV System </t>
  </si>
  <si>
    <t>18-Nov-2025
 11:00 AM</t>
  </si>
  <si>
    <t>Patna_CMD_Video_Wall</t>
  </si>
  <si>
    <t>18.Nov.2025, 
06:00</t>
  </si>
  <si>
    <t>19-Nov-2025
11:30 AM</t>
  </si>
  <si>
    <t>Ujjain UAD Traffic Management System</t>
  </si>
  <si>
    <t>Bhopal CLRS  (MDM) Point Device</t>
  </si>
  <si>
    <t>Offline/Online</t>
  </si>
  <si>
    <t>Mohali_DET_CCTV</t>
  </si>
  <si>
    <t>18-Nov-2025
11:30 AM</t>
  </si>
  <si>
    <t>TN_Coimbatore_Police_Dept_CCTV</t>
  </si>
  <si>
    <t xml:space="preserve">7 Days Before </t>
  </si>
  <si>
    <t>12-Nov-2025
11:00 AM</t>
  </si>
  <si>
    <t>10-Nov-2025 
12:00 PM</t>
  </si>
  <si>
    <t>27-Oct-2025
10:00 AM
04-Nov-2025
05:00 PM</t>
  </si>
  <si>
    <t>10-Nov-2025
12:00 PM</t>
  </si>
  <si>
    <t>GOA  NCPOR Data Center and Storage</t>
  </si>
  <si>
    <t>13-Nov-2025
05:00 PM</t>
  </si>
  <si>
    <t>Greater Noida DMIC IIT Limited Smart City ICT Components UP</t>
  </si>
  <si>
    <t xml:space="preserve"> 14-Apr-2025</t>
  </si>
  <si>
    <t>15-Apr-2025
03:00 PM</t>
  </si>
  <si>
    <t>0</t>
  </si>
  <si>
    <t>01</t>
  </si>
  <si>
    <t>Working</t>
  </si>
  <si>
    <t>Noida New Okla Industrial Development Authority ICT Components for Noida Safe City Project UP</t>
  </si>
  <si>
    <t xml:space="preserve"> 28-Apr-2025</t>
  </si>
  <si>
    <t>Gwalior Smart City Development Corp. Ltd.-GSCDCL  Upgradation of City CCTV Surveillance MP</t>
  </si>
  <si>
    <t>06</t>
  </si>
  <si>
    <t>08</t>
  </si>
  <si>
    <t xml:space="preserve"> Jammu &amp; Kashmir Transport Department  Surveillance System RA GEM</t>
  </si>
  <si>
    <t>09-Sep-2025  11:00 AM</t>
  </si>
  <si>
    <t>yes</t>
  </si>
  <si>
    <t xml:space="preserve">Delhi </t>
  </si>
  <si>
    <t>10-09-2025 
 11:30:AM</t>
  </si>
  <si>
    <t>Bhopal Phq Tablet Computer (V2) (Q2) RA GEM</t>
  </si>
  <si>
    <t>11-Sep-2025
03:00 PM</t>
  </si>
  <si>
    <t xml:space="preserve">
18-Sep-2025
</t>
  </si>
  <si>
    <t xml:space="preserve">'19-Sep2025  03:00 PM </t>
  </si>
  <si>
    <t xml:space="preserve">Odisha Bhubaneswar Traffic Signal Control
System </t>
  </si>
  <si>
    <t xml:space="preserve">Odisha Bhubaneswar IP CCTV, ITMS, and FRS SYSTEM  </t>
  </si>
  <si>
    <t>12-Sep-2025 
 04:30 PM</t>
  </si>
  <si>
    <t>15-Sep-2025
03:00 PM</t>
  </si>
  <si>
    <t>15-Sep-2025 
 3:00 PM</t>
  </si>
  <si>
    <t>16-Sep-2025
03:00 PM</t>
  </si>
  <si>
    <t>16-Sep-2025 
 03:00 PM</t>
  </si>
  <si>
    <t xml:space="preserve">Ajmer Rajasthan Central University Data Centre </t>
  </si>
  <si>
    <t>17-Sep-2025 
 11:30 PM</t>
  </si>
  <si>
    <t>Kolkata Police BODY WORN CAMERA</t>
  </si>
  <si>
    <t>18-Sep-2025
03:30 PM</t>
  </si>
  <si>
    <t>Bhopal SCRB PHQ Purchase Network Items MP</t>
  </si>
  <si>
    <t>Nashik_NMSCDCL_SUR</t>
  </si>
  <si>
    <t>23-Sep-2025
03:00 PM</t>
  </si>
  <si>
    <t>New Delhi NICSI MSP for NEVA-MP Vidhan Sabha</t>
  </si>
  <si>
    <t>26-Sep-2025
  1:00 PM</t>
  </si>
  <si>
    <t>26-Sep-2025
 03:00 PM</t>
  </si>
  <si>
    <t>Mumbai_DGS_NMS_Maharashtra</t>
  </si>
  <si>
    <t>29-Sep-2025
  11:00 AM</t>
  </si>
  <si>
    <t>04-Oct-2025, 
12:00 AM</t>
  </si>
  <si>
    <t>04-Oct-2025
 11:30 AM</t>
  </si>
  <si>
    <t>04-10-2025 
 12:00  PM</t>
  </si>
  <si>
    <t>06-10-2025 
 12:00 PM</t>
  </si>
  <si>
    <t>08-Oct-2025
11:00 AM</t>
  </si>
  <si>
    <t>New Delhi Dept. Home CAMC Data Center RA GEM</t>
  </si>
  <si>
    <t>07-Oct-2025
11:00 AM</t>
  </si>
  <si>
    <t>Ujjan SP Radio CCTV Item MP</t>
  </si>
  <si>
    <t xml:space="preserve">08-Oct-2025 
11:30 AM </t>
  </si>
  <si>
    <t>offline</t>
  </si>
  <si>
    <t>Bhopal SB PHQ Body Worn Camera  MP</t>
  </si>
  <si>
    <t xml:space="preserve">09-Oct-2025 
12:00 PM </t>
  </si>
  <si>
    <t>Bhopal SB PHQ BDDS Vehicle MP</t>
  </si>
  <si>
    <t>10-Oct-2025
 05:30 PM</t>
  </si>
  <si>
    <t xml:space="preserve">09-Oct-2025
 02:00 PM </t>
  </si>
  <si>
    <t>Bihar_Sheohar_UDHD_CCTV_GEM</t>
  </si>
  <si>
    <t>10-10-2025
  11:00 AM</t>
  </si>
  <si>
    <t>Jharkhand JMHIDPCL CCTV ICCC</t>
  </si>
  <si>
    <t>15-Oct-2025 
 01:00 PM</t>
  </si>
  <si>
    <t xml:space="preserve">16-Oct-2025
 03:00 PM </t>
  </si>
  <si>
    <t>Bhopal Home department Traffic signal_GEM</t>
  </si>
  <si>
    <t xml:space="preserve">24-Oct-2025
 03:00 PM </t>
  </si>
  <si>
    <t>'Offline</t>
  </si>
  <si>
    <t>Bhopal MPWLC CCTV based e-sur. System</t>
  </si>
  <si>
    <t>27-Oct-2025
 03:00 PM</t>
  </si>
  <si>
    <t>Bhopal DGPCS Bodyworn camera</t>
  </si>
  <si>
    <t>Bhopal Home dept. Body Worn Camera (V2) (Q2) RA GEM</t>
  </si>
  <si>
    <t>PUNE_MSWCP_CCTV</t>
  </si>
  <si>
    <t>29-Oct-2025  05.00 PM</t>
  </si>
  <si>
    <t>30-Oct-2025
12:00 PM</t>
  </si>
  <si>
    <t>27-Oct-2025,
 5:00 PM</t>
  </si>
  <si>
    <t xml:space="preserve">29-Oct-2025
 03:30 PM </t>
  </si>
  <si>
    <t>Punjab SED Desktop UPS RA GEM</t>
  </si>
  <si>
    <t>31-Oct-2025
 11:00 AM</t>
  </si>
  <si>
    <t xml:space="preserve">Online /Offline </t>
  </si>
  <si>
    <t>UP DSCL Data Center Lucknow</t>
  </si>
  <si>
    <t>31-Oct-2025 
03:00PM</t>
  </si>
  <si>
    <t>Bhopal PHQ Desktop Computer RA GEM</t>
  </si>
  <si>
    <t>03-Nov-2025
  12:00 PM</t>
  </si>
  <si>
    <t>Tamilnadu TESC 6,672 SMART CLASSROOMS CHENNAI</t>
  </si>
  <si>
    <t>48 Hours</t>
  </si>
  <si>
    <t>07-Nov-2025
11:00 AM</t>
  </si>
  <si>
    <t>Tamilnadu TESC 2,236 HI-TECH LABS CHENNAI</t>
  </si>
  <si>
    <t>06-Nov-2025
11:00 AM</t>
  </si>
  <si>
    <t>Monday, 20 January 2025</t>
  </si>
  <si>
    <t xml:space="preserve">Estim value in CR
  </t>
  </si>
  <si>
    <t>Pre-Sales</t>
  </si>
  <si>
    <t>Consultant Name Detals</t>
  </si>
  <si>
    <t>TCIL CHIPS CGSDC2.0 Data Centre</t>
  </si>
  <si>
    <t xml:space="preserve"> 20-Jan-2024  03:00 PM</t>
  </si>
  <si>
    <t xml:space="preserve"> 20-Jan-2024  04:00 PM</t>
  </si>
  <si>
    <t>(DD/BG</t>
  </si>
  <si>
    <t>Corr._Date_Ext. &amp; Chngs-  10-Jan
Corr._Dt_Ext.- 16-Jan, 14-Jan, 13-Jan, 03-Jan, 23-Dec, 23-Dec, 20-Dec, 16-Dec, 09-Dec, 02-Dec, 27-Nov, 25-Nov, 14-Nov
Corr._Changes- 13-Nov</t>
  </si>
  <si>
    <t>Delhi Quality Council Of India</t>
  </si>
  <si>
    <t>03-Feb-2025 03:00 PM</t>
  </si>
  <si>
    <t>03-Feb-2025 03:30 PM</t>
  </si>
  <si>
    <t>DD/RTGS/ NEFT</t>
  </si>
  <si>
    <t>PQ- Qualify by TISPL &amp; SISPL
Payment - OK</t>
  </si>
  <si>
    <t>Delhi AAI Video Conferencing System</t>
  </si>
  <si>
    <t xml:space="preserve"> 06-Feb-2025 03:00 PM</t>
  </si>
  <si>
    <t xml:space="preserve"> 07-Feb-2025 03:30 PM</t>
  </si>
  <si>
    <t xml:space="preserve"> BODY WORN CAMERA- CRPF</t>
  </si>
  <si>
    <t>11-07-2025
05:00 PM</t>
  </si>
  <si>
    <t>11-07-2025
05:30 PM</t>
  </si>
  <si>
    <t>PBG</t>
  </si>
  <si>
    <t>Corrigendum _date_Ext- 01 -July</t>
  </si>
  <si>
    <t>Technosys</t>
  </si>
  <si>
    <t>PQ Qualified 
TQ - Under discussion</t>
  </si>
  <si>
    <t>DIG,                                        
RAF Sector, East Block,  Sector-I, R.K Puram, New Delhi – 110066.</t>
  </si>
  <si>
    <t xml:space="preserve">
Procurement of All in one Desktop PCs and Laptops</t>
  </si>
  <si>
    <t>21-07-2025
10:00:00</t>
  </si>
  <si>
    <t>22-07-2025
  12:00:00</t>
  </si>
  <si>
    <t>Sensecure</t>
  </si>
  <si>
    <t xml:space="preserve"> INSTALLATION OF CCTV CAMERAS IN E/L, W/L ARAEA OF OFK  ANNEXURE (A) FOR E/L &amp; (B) FOR W/L APPENDED WIT</t>
  </si>
  <si>
    <t>15-07-2025
10:00:0</t>
  </si>
  <si>
    <t>15-07-2025
10:30:0</t>
  </si>
  <si>
    <t>RTGS/DD/FD/PBG</t>
  </si>
  <si>
    <t xml:space="preserve">Sensecure/ Infobase </t>
  </si>
  <si>
    <t>MUNITIONS INDIA LIMITED O.F.KHAMARIA
 Chief General Manager ,Ordnance Factory Khamaria, Jabalpur- 482005 (M.P.) unit of Munitions India Limited
 Department of Defence Production, Ministry of Defence
 (Munitions India Limited O.f.khamaria, Account No. 40436892598, Ifsc Sbin0003228, Micr No. 482002006 Sbi
 Ranjhi)
ofkpvgrp8ord@ord.gov.in  OR call at 0761-2742137, 2743312</t>
  </si>
  <si>
    <t>Supply of-Television (TV) (V2) (Q2)-  Directorate Of Social Welfare- Ranchi Jharkhand</t>
  </si>
  <si>
    <t>16-07-2025
18:00:0</t>
  </si>
  <si>
    <t>16-07-2025
18:30:0</t>
  </si>
  <si>
    <t>FD/PBG</t>
  </si>
  <si>
    <t>Director
 Directorate of Social Welfare, 2nd Floor, Engineers Hostel, Dhurwa Ranchi Jharkhand
 (Director Social Welfare, Ranchi)</t>
  </si>
  <si>
    <t xml:space="preserve"> Supply of COB LED Video Wall Screen of size 15.75ft x 6.64ft
 &amp; associated equipment&amp; accessories</t>
  </si>
  <si>
    <t>18-07-2025
18:00:0</t>
  </si>
  <si>
    <t>18-07-2025
18:30:1</t>
  </si>
  <si>
    <t>Bank draft / Banker’s Cheque/Bank Guarantee/ Insurance Surety Bond</t>
  </si>
  <si>
    <t xml:space="preserve">PQ- Not Discussed 
TQ - Not discussion
</t>
  </si>
  <si>
    <t xml:space="preserve"> 121003,NHPC LTD., NHPC
 OFFICE COMPLEX, SECTOR-33,</t>
  </si>
  <si>
    <t xml:space="preserve">
Supply Installation of CCTv at School Education Department Betul Madhya Pradesh </t>
  </si>
  <si>
    <t xml:space="preserve"> 24-07-2025 13:00:00</t>
  </si>
  <si>
    <t xml:space="preserve"> 24-07-2025 13:30:00</t>
  </si>
  <si>
    <t>_</t>
  </si>
  <si>
    <t>Infobase</t>
  </si>
  <si>
    <t xml:space="preserve">
THANE MUNICIPAL CORPORATION Command and  Control Center</t>
  </si>
  <si>
    <t>Baramati Safe City Project CCTV Surveillance</t>
  </si>
  <si>
    <t>17-Oct-2024 3:00 PM</t>
  </si>
  <si>
    <t>22-Oct-2024 03:00 PM</t>
  </si>
  <si>
    <t>07-Jan-2025 06:00 PM</t>
  </si>
  <si>
    <t>09-Jan-2025 04:00 PM</t>
  </si>
  <si>
    <t>RTGS / NEFT</t>
  </si>
  <si>
    <t>Corr._Date_Ext.-24-Dec,  09-Dec, 19-Nov
Corr._Pre-Bid_Qurs &amp; Dt_Ext.- 05-Nov, 22-Oct-2024</t>
  </si>
  <si>
    <t>Waiting for Corrigendum
PQ- Qualify by TISPL , TQ- Qualify by TISPL
Payment -  Not Good</t>
  </si>
  <si>
    <t>EMD 
Amount</t>
  </si>
  <si>
    <t>16-Sep-2025
 05:30 PM</t>
  </si>
  <si>
    <t>10-Oct-2025
 03:00 PM</t>
  </si>
  <si>
    <t>14-Oct-2025
 03:00 PM</t>
  </si>
  <si>
    <t>PQ-TQ Qualified by TISPL ,SISPL
Payment -  OK</t>
  </si>
  <si>
    <t>13-Sep-2025
 3:00 PM</t>
  </si>
  <si>
    <t>Corr_Publish Representations-28-Aug</t>
  </si>
  <si>
    <t>PQ- Qualified by TISPL ,SISPL
Payment- OK</t>
  </si>
  <si>
    <t xml:space="preserve"> 30-Jun-2025</t>
  </si>
  <si>
    <t xml:space="preserve"> 12-Jul-2025 04:00 PM</t>
  </si>
  <si>
    <t xml:space="preserve"> 12-Jul-2025 05:00 PM</t>
  </si>
  <si>
    <t xml:space="preserve"> 17-Jan-2025 03:00 PM</t>
  </si>
  <si>
    <t xml:space="preserve"> 17-Jan-2025 04:00 PM</t>
  </si>
  <si>
    <t>20-Jan-2025 04:00 PM</t>
  </si>
  <si>
    <t>21-Jan-2025 04:00 PM</t>
  </si>
  <si>
    <t xml:space="preserve">Corr._Demo Ext.- 09-Jan
'Corr._Dt_Ext.- 08-Jan
Corr._Demo- 02-Jan
Corr._Tech_Specs- 03-Jan
</t>
  </si>
  <si>
    <t>PQ- Qualify by TISPL &amp; SISPL
Payment -  OK
Demo date extended till 13-jan-25.</t>
  </si>
  <si>
    <t xml:space="preserve">19-Dec-2024
11:30 AM </t>
  </si>
  <si>
    <t>16-Jan-2025 03:00 PM</t>
  </si>
  <si>
    <t>16-Jan-2025 03:30 PM</t>
  </si>
  <si>
    <t>Bank Draft/Demand Dra</t>
  </si>
  <si>
    <t>13-Jan-2025 11:00 AM</t>
  </si>
  <si>
    <t>14-Jan-2025 11:00 AM</t>
  </si>
  <si>
    <t>02-Dec-2024
05:00 PM</t>
  </si>
  <si>
    <t>09-Dec-2024
12:30 PM</t>
  </si>
  <si>
    <t>07-Jan-2025 02:00 PM</t>
  </si>
  <si>
    <t>07-Jan-2025 03:00 PM</t>
  </si>
  <si>
    <t>Corr._Query Resp &amp; updt_RFP- 16-Dec
Corr._Updt_BOQ- 05-Dec
Corr._Date_Ext.- 30-Dec, 19-Dec, 05-Dec
Corr._Pre-Bid_Date_Ext.- 05-Dec</t>
  </si>
  <si>
    <t>Under Technical Discussion, &amp; TQ-2 Need to Discuss
PQ- Qualify by TISPL
Payment -  OK</t>
  </si>
  <si>
    <t>Chandra Shekhar Jena - +91 7978649912
(Provisioning Section, OFES)
Shri Abinash Prusty - 8895781747
Station Officer (IT Cell)</t>
  </si>
  <si>
    <t xml:space="preserve"> 30-Dec-2024</t>
  </si>
  <si>
    <t>06-Jan-2025  06:00 PM</t>
  </si>
  <si>
    <t>06-Jan-2025  06:30 PM</t>
  </si>
  <si>
    <t>PQ- NQ by TISPL in RLVD Experience
Payment -  OK</t>
  </si>
  <si>
    <t>14-Nov-2024
11:00 AM</t>
  </si>
  <si>
    <t>06-Jan-2025 06:00 PM</t>
  </si>
  <si>
    <t>09-Jan-2025 11:00 AM</t>
  </si>
  <si>
    <t>tech_prebid- 05-Dec
Corr._Changes- 28-Dec, 17-Dec, 04-Dec
Corr._Due_Date_Ext.- 17-Dec, 27-Nov,23-Nov
Corr._Start_Date_Ext.- 19-Nov
Corr._Online_Pre -Bid- 05-Nov</t>
  </si>
  <si>
    <t>PQ- Need to DIscuss
Payment -  OK</t>
  </si>
  <si>
    <t>Delhi Power Finance Corp. Ltd. Server (Q2) GEM</t>
  </si>
  <si>
    <t xml:space="preserve"> 17-Dec-2024</t>
  </si>
  <si>
    <t>07-Jan-2025  11:00 AM</t>
  </si>
  <si>
    <t>07-Jan-2025  11:30 AM</t>
  </si>
  <si>
    <t>12-Nov-2024
11:00 AM</t>
  </si>
  <si>
    <t>20-Dec-2024 04:00 PM</t>
  </si>
  <si>
    <t>23-Dec-2024 04:00 PM</t>
  </si>
  <si>
    <t>Corr._Tech._Changes- 12-Dec
Corr._Date_Ext.- 09-Dec
Corr._Date_Ext.- 28-Nov</t>
  </si>
  <si>
    <t>Delhi Indian Railway CRIS CCTV Surveillance (RA)</t>
  </si>
  <si>
    <t>27-May-2024  11:00 AM</t>
  </si>
  <si>
    <t>20-Dec-2024  03:30 PM</t>
  </si>
  <si>
    <t>Corr._Dt_Ext.- 08-Oct, 07-Aug,10-Jun
Corr._Query Rpl &amp; Date_Ext.- 11-Jul-24</t>
  </si>
  <si>
    <t>PQ- NQ in TO
Payment - OK</t>
  </si>
  <si>
    <t>08-Dec-2024
03:00 PM</t>
  </si>
  <si>
    <t>09-Dec-2024
06:00 PM</t>
  </si>
  <si>
    <t>16-Dec-2024 02:00 PM</t>
  </si>
  <si>
    <t>16-Dec-2024 02:30 PM</t>
  </si>
  <si>
    <t>Kolkata Metro Railway  CCTV Surveillance IREPS</t>
  </si>
  <si>
    <t>12-Nov-2024  11:00 AM</t>
  </si>
  <si>
    <t>10-Dec-2024  03:00 PM</t>
  </si>
  <si>
    <t>Pre BID Clarification- 21-Nov
Pre Bid details- 07-Nov</t>
  </si>
  <si>
    <t xml:space="preserve"> 11-Dec-2024</t>
  </si>
  <si>
    <t>12-Dec-2024
11:00 AM</t>
  </si>
  <si>
    <t>24-Dec-2024 01:00 PM</t>
  </si>
  <si>
    <t>26-Dec-2024 03:00 PM</t>
  </si>
  <si>
    <t>BG/CDR/FDR/DD</t>
  </si>
  <si>
    <t>PQ- Qualify by TISPL 
Payment -  OK</t>
  </si>
  <si>
    <t>05-Dec-2024
11:30 AM</t>
  </si>
  <si>
    <t>27-Dec-2024 03:00 PM</t>
  </si>
  <si>
    <t>28-Dec-2024 03:00 PM</t>
  </si>
  <si>
    <t>04-Dec-2024
12:00 PM</t>
  </si>
  <si>
    <t>18-Dec-2024 06:00 PM</t>
  </si>
  <si>
    <t>19-Dec-2024 06:00 PM</t>
  </si>
  <si>
    <t>PQ- Qualify by TISPL, SISPL &amp; INFO
Payment -  OK
Location- 1659  stations</t>
  </si>
  <si>
    <t>25-Oct-2024
11:30 AM</t>
  </si>
  <si>
    <t>22-Nov-2024 11:30 AM</t>
  </si>
  <si>
    <t>BG/DD/ Banker’s Cheque</t>
  </si>
  <si>
    <t>Corr._Date_Ext.- 12-Nov</t>
  </si>
  <si>
    <t>PQ- Qualify by TISPL
Payment - N2D</t>
  </si>
  <si>
    <t>23-Oct-2024
11:00 PM</t>
  </si>
  <si>
    <t>07-Nov-2024 04:00 PM</t>
  </si>
  <si>
    <t>07-Nov-2024 04:30 PM</t>
  </si>
  <si>
    <t>DD/ Banker’s Cheque/ ISB/ FDR</t>
  </si>
  <si>
    <t>19-Oct-2024 11:00:00</t>
  </si>
  <si>
    <t>30-Oct-2024  06:00 PM</t>
  </si>
  <si>
    <t>30-Oct-2024  06:30 PM</t>
  </si>
  <si>
    <t>BG / DD</t>
  </si>
  <si>
    <t>28-Oct-2024 03:00 PM</t>
  </si>
  <si>
    <t>29-Oct-2024 03:00 PM</t>
  </si>
  <si>
    <t>DD/ NEFT/ RTGS</t>
  </si>
  <si>
    <t>Corr._Date_Ext.- 23-Oct-24. 21-Oct-24</t>
  </si>
  <si>
    <t>PQ- Qualify by TISPL 
Payment -  Good (70-30)</t>
  </si>
  <si>
    <t>05-Oct-2024
12:00 PM</t>
  </si>
  <si>
    <t>04-Nov-2024 05:00 PM</t>
  </si>
  <si>
    <t>06-Nov-2024 03:30 PM</t>
  </si>
  <si>
    <t>Corr._Date_Ext.- 15-Oct-24
Corr._Tech_Pre-Bid- 15-Oct-24
Corr._Amend_BOQ.- 15-Oct-24
Corr._Amend_Technical Bid- 15-Oct-24</t>
  </si>
  <si>
    <t xml:space="preserve">Sambalpur Mncpl  Corp. UCCP with ITMS , City Surveillance, PA System Odisha </t>
  </si>
  <si>
    <t xml:space="preserve"> 26-Sep-2024 11:00 AM</t>
  </si>
  <si>
    <t>19-Oct-2024 05:00 PM</t>
  </si>
  <si>
    <t>22-Oct-2024 11:00 AM</t>
  </si>
  <si>
    <t>Corr._Query Rpl- 09-Oct-2024
Corr._Date_Ext.- 25-Sep-2024</t>
  </si>
  <si>
    <t xml:space="preserve">PQ- Qualify by TISPL 
Payment -  OK
BoQ- Enclosed </t>
  </si>
  <si>
    <t>Lucknow UPSRT Outdoor LED Display Panels UP</t>
  </si>
  <si>
    <t>09-Sep-2024</t>
  </si>
  <si>
    <t>10-Sep-2024 05:30 PM</t>
  </si>
  <si>
    <t>14-Oct-2024 04:00 PM</t>
  </si>
  <si>
    <t>14-Oct-2024 05:00 PM</t>
  </si>
  <si>
    <t>Corr._Query Rpl - 04-Oct-2024
Corr._Date_Ext.- 04-Oct-2024
Corr._Date_Ext.- 23-Sep-2024</t>
  </si>
  <si>
    <t>PQ-  Qualify by TISPL
Payment -  Good (80-20)
Location- 20, BoQ- Enclosed</t>
  </si>
  <si>
    <t>Under discussion</t>
  </si>
  <si>
    <t>12-Sep-2024 11:30AM</t>
  </si>
  <si>
    <t>14-Oct-2024 06:00 PM</t>
  </si>
  <si>
    <t>16-Oct-2024 11:00 AM</t>
  </si>
  <si>
    <t>Need to Send Queries &amp; attend meeting
PQ- NQ
Payment -  Good (80-20) 
BoQ- Enclosed</t>
  </si>
  <si>
    <t>23-Sep-2024  2:00 PM</t>
  </si>
  <si>
    <t>03-Oct-2024 02:00 PM</t>
  </si>
  <si>
    <t>03-Oct-2024 02:30 PM</t>
  </si>
  <si>
    <t>PQ- Qualify by TISPL  &amp; SISPL
Payment -  OK 
BoQ- Enclosed</t>
  </si>
  <si>
    <t>23-Sep-2024  8:00  PM</t>
  </si>
  <si>
    <t>23-Sep-2024  8:30  PM</t>
  </si>
  <si>
    <t>No GO BY NK Sir
Qualify by TISPL &amp; SISPL
Payment - Not Given
BoQ- Enclosed</t>
  </si>
  <si>
    <t>04-Sep-2024 12:00 PM</t>
  </si>
  <si>
    <t>PQ- Qualify by TISPL 
Payment -  OK 
BoQ- Enclosed</t>
  </si>
  <si>
    <t>19-Sep-2024 12:00 PM</t>
  </si>
  <si>
    <t>19-Sep-2024 03:00 PM</t>
  </si>
  <si>
    <t>Mumbai 6 Statation Video surveillance system Central Railway IREPS</t>
  </si>
  <si>
    <t>30-Jul-2024  3:00 PM</t>
  </si>
  <si>
    <t>PQ- N2D PQ
Payment -  OK
BOQ- Enclosed</t>
  </si>
  <si>
    <t>18-Jun-2024 (T)</t>
  </si>
  <si>
    <t>15-Jul-2024 04:00 PM</t>
  </si>
  <si>
    <t>16-Jul-2024 04:30 PM</t>
  </si>
  <si>
    <t>Corr.3_Tech. Chng &amp; Dt_Ext.- 06-Jul-24
Corr.2_Tech. Chng &amp; Dt_Ext.-  29-Jun-24
Corr.1_Query Rpl _&amp; Dt._Ext. - 24-Jun-24</t>
  </si>
  <si>
    <t>PQ- Qualify by SISPL  &amp; TISPL 
Payment -  OK
Pre-Bid Query- 7(seven) days before Due Date</t>
  </si>
  <si>
    <t>12-Jul-2024
12:00 PM</t>
  </si>
  <si>
    <t>29-Jul-2024 02:00 PM</t>
  </si>
  <si>
    <t>30-Jul-2024 04:00 PM</t>
  </si>
  <si>
    <t>No Go By HB Sir Because of Set Tenders
PQ- Qualify byTISPL  &amp; SISPL
Payment -  OK
BOQ- Enclosed</t>
  </si>
  <si>
    <t>12-Jul-2024
12:30 PM</t>
  </si>
  <si>
    <t>Belapur Gail India Limited CCTV GEM</t>
  </si>
  <si>
    <t>04-04-2024  3:00 PM</t>
  </si>
  <si>
    <t>19-Jun-2024 2:00 PM</t>
  </si>
  <si>
    <t>19-Jun-2024 2:30 PM</t>
  </si>
  <si>
    <t xml:space="preserve">Corr._New_RFP-04-06-2024
Corr._Changes-04-06-2024
Corr._Pre-Bid Reply-04-06-2024
Corr._New_RFP-03-06-2024
Corr._Subst_Query Reply-03-06-2024
Corr._Pre-Bid Reply-03-06-2024
Corr._Date_Ext.-03-06-2024
Corr._Date_Ext.-22-05-2024
Corr._Date_Ext.- 08-05-2024
Corr.-1 Date_Ext., Changes &amp; Reply of  Pre-bid Queries on 22-04-2024 </t>
  </si>
  <si>
    <t>No Go by HB Sir &amp; RS Sir Due to Margin and Feasable Issue  
PQ- Qualified by TISPL &amp; SISPL
Payment -  OK
Location - Belapur, Maharashtra
BOQ - Enclosed</t>
  </si>
  <si>
    <t>HB</t>
  </si>
  <si>
    <t>18-Mar-2024 05:30 PM</t>
  </si>
  <si>
    <t xml:space="preserve">19-Mar-2024 03:00 PM </t>
  </si>
  <si>
    <t>10-Jun-2024 05:30 PM</t>
  </si>
  <si>
    <t>11-Jun-2024 05:30 PM</t>
  </si>
  <si>
    <t>Corr.-10 Date_Ext.- 04-Jun-2024
Corr.-9 Date_Ext.- 22-May-2024
Corr.-08 Date_Ext.-13-May-2024
Corr.-7 Date_Ext.- 08-May-2024
Corr.-6 Date_Ext.- 01-May-2024
Corr.-5 Date_Ext.- 24-Apr-2024
Corr.-4 Date Extension- 16-Apr-2024
Corr.-3 Date_Ext.- 05-Apr-2024
Corr.-02 Date_Ext.-21-Mar-2024
Corr. for Prebid time and Online Link Updation 18-Mar-2024</t>
  </si>
  <si>
    <t xml:space="preserve">Tender Cancelled by Department
Clariffication Letter sent to Department
Queries sent  &amp; Meeting Attend waiting for Response
PQ Status- Qualified by TISPL &amp; SISPL
Payment terms - Good
Penalty -High Penalty for Manpower
</t>
  </si>
  <si>
    <t>13-Jun-2024 03:00 PM</t>
  </si>
  <si>
    <t>14-Jun-2024 03:30 PM</t>
  </si>
  <si>
    <t>Corr.-VI_Tender_Cancel- 31-05
Pre-Bid Query Reply- 31-05</t>
  </si>
  <si>
    <t xml:space="preserve">Tender Cancelled due to Payment Terms
PQ- Qualified 
Payment - Good
Penalty-Enclosed
</t>
  </si>
  <si>
    <t>11-04-2024 05:00 PM</t>
  </si>
  <si>
    <t>Corr. -VI Tender Cancelled
Corr. - IV_ Date_Ext.- 17-May-2024 
Corr. - III Date_Ext.- 25-Apr-2024
Corr. - II Date_Ext.- 03-Apr-2024
Corr. -I Revised Date for Prebid Queries and last date on 20-Mar-2024</t>
  </si>
  <si>
    <t xml:space="preserve">PQ- Qualified 
Payment - Good
Penalty-Enclosed
</t>
  </si>
  <si>
    <t xml:space="preserve">30-Apr-2024 09:30 AM 	</t>
  </si>
  <si>
    <t>01-Jun-2024 11:00 AM</t>
  </si>
  <si>
    <t>03-Jun-2024 01:00 PM</t>
  </si>
  <si>
    <t>Corrigendum for Extension of date on 25-May-2024
Technical Corrigendum on 24-05-2024
Pre-Bid Query Reply on 24-05-2024
Prebid meeting date extended on 22-Apr-2024
Pre bid meeting Link on 27-Apr-2024</t>
  </si>
  <si>
    <t xml:space="preserve">Tender is  Cancelled due to Payment which is in Rental Basis
PQ- Qualified by TISPL
Payment -Need Clarity from the Client.
Location- Hyderbad
</t>
  </si>
  <si>
    <t>Thane City DGP Mumbai CCTV Surveillance Maharashtra</t>
  </si>
  <si>
    <t>21-Mar-2024
06:00 PM</t>
  </si>
  <si>
    <t xml:space="preserve">28-Mar-2024 12:00 PM 	</t>
  </si>
  <si>
    <t>03-Jun-2024 06:00 PM</t>
  </si>
  <si>
    <t>04-Jun-2024 06:00 PM</t>
  </si>
  <si>
    <t>4,93,69,412</t>
  </si>
  <si>
    <t xml:space="preserve"> Corrigendum II for Date Extension on 02-May-2024
Corrigendum for Revised  Date Time and Venue of pre-bid meeting- 22-Mar-2024</t>
  </si>
  <si>
    <t>Strategic Coll
Sent Query, Waiting for Technical Corrig.
PQ  - NQ
TQ - Marks losse in Bidder Profile
Payment - NO
Location - Thane City
BOQ - Enclosed</t>
  </si>
  <si>
    <t>07-March -2024 05:00 PM</t>
  </si>
  <si>
    <t>13-Mar-2024 12:00 PM</t>
  </si>
  <si>
    <t>18-Jun-2024 06:00 PM</t>
  </si>
  <si>
    <t>19-Jun-2024 06:00 PM</t>
  </si>
  <si>
    <t>4,34,00,000</t>
  </si>
  <si>
    <t>Corrigendum III for only Due Date Extension on 22-May-2024
Corrigendum - II for only Due Date Extension on 22-Apr-2024
Corrigendum for  Changes in Date time and venue of pre-bid Meeting on 07-Mar-2024</t>
  </si>
  <si>
    <t>'Strategic Coll
Sent Queries attend meeting , waiting for Response
PQ  / TQ - NO
Payment -  OK
Location - Pune
BOQ - Enclosed</t>
  </si>
  <si>
    <t>24-Apr-2024 03:00 PM</t>
  </si>
  <si>
    <t>29-May-2024 05:30 PM</t>
  </si>
  <si>
    <t>05-Jun-2024 11:00 AM</t>
  </si>
  <si>
    <t>1,00,000</t>
  </si>
  <si>
    <t>Corrigendum for Date Extension on 22-Mar-2024</t>
  </si>
  <si>
    <t>PQ- Qualified (N2D PQ - 1.1)
TQ-  NQ (25 Marks out of 100)
Payment - Not Given (N2D)
Location - List Enclosed
BOQ - Enclosed</t>
  </si>
  <si>
    <t>Neemuch Solar Rewa Ultra Mega Solar Limited BEL</t>
  </si>
  <si>
    <t>15.77 Cr</t>
  </si>
  <si>
    <t>13-05-2024 Addendum 02 Date Extension
13-05-2024 Addendum 01 Date Extension</t>
  </si>
  <si>
    <t>Mumbai Bank Of India All in One PC (Q2) GEM</t>
  </si>
  <si>
    <t>16-05-2024  5:00 PM</t>
  </si>
  <si>
    <t>16-05-2024  5:30 PM</t>
  </si>
  <si>
    <t>7,16,100</t>
  </si>
  <si>
    <t>PQ Status- Qualified by TISPL
Payment -  Good 
Location - Mumbai
SLA- Enclosed
BOQ - Enclosed</t>
  </si>
  <si>
    <t>Navi Mumbai JNPA ISMS &amp; ICCC  GEM</t>
  </si>
  <si>
    <t>28-04-2024  11:59 PM</t>
  </si>
  <si>
    <t>24-May-2024  4:00 PM</t>
  </si>
  <si>
    <t>24-May-2024  4:30 PM</t>
  </si>
  <si>
    <t>38,99,735</t>
  </si>
  <si>
    <t>DD or BG or  Insurance Surety Bond</t>
  </si>
  <si>
    <t>Lock Case 
PQ Status- Qualified by TISPL
TQ- 50 out of 60 Marks, rest marks subjectv
Payment -  OK
Location - Navi Mumbai
SLA -Encolsed</t>
  </si>
  <si>
    <t>No Go</t>
  </si>
  <si>
    <t xml:space="preserve">Before Pre-Bid </t>
  </si>
  <si>
    <t>10.04.2024  03.00 PM</t>
  </si>
  <si>
    <t>17.04.2024 4.00 PM</t>
  </si>
  <si>
    <t>17.04.2024 4.30 PM</t>
  </si>
  <si>
    <t>DD or BG</t>
  </si>
  <si>
    <t>No Go Due to Paymewnt Terms
Qualified by SISPL 
PQ Status- Qualified
Payment terms - OK
Location- Noida</t>
  </si>
  <si>
    <t>25-04-2024  11:00 AM</t>
  </si>
  <si>
    <t>25-04-2024  11:30 AM</t>
  </si>
  <si>
    <t>12,09,900 (Total 7 Schedules)</t>
  </si>
  <si>
    <t>No Go by NK Sir
PQ Status- Qualified
TQ - N2D in Technical &amp; OEM Qualification
OEM PQ - Yes
Payment -  80-20
Location - Bilaspur
BOQ - Enclosed</t>
  </si>
  <si>
    <t>Tech. Under Discu.</t>
  </si>
  <si>
    <t>23-02-2024
6:00 PM</t>
  </si>
  <si>
    <t>26/02/2024 12:00 Hrs</t>
  </si>
  <si>
    <t>15-04-2024
06:00 PM</t>
  </si>
  <si>
    <t>75,00,000</t>
  </si>
  <si>
    <t>Demand Draft or Bank Guarantee</t>
  </si>
  <si>
    <t>Corrigendum for Date Extension on 28-03-2024
Addendum and Corrigendum for Date Extension &amp; changes 15/03/2024
Corrigendum for only Date Extension on 11-Mar-2024</t>
  </si>
  <si>
    <t>No Go by HB Sir due to QCBS, OEM Lockcase &amp; Lossing Marks
No Change in Qualification Status
Qualified by TISPL, but N2D PQ_6 &amp; TQ_6
OEM PQ - Yes
Payment -  Good
Location - Rajkot
BOQ - Enclosed</t>
  </si>
  <si>
    <t>05-March -2024 05:30 PM</t>
  </si>
  <si>
    <t>06-Mar-2024 03:00 PM</t>
  </si>
  <si>
    <t>18-Apr-2024 05:30 PM</t>
  </si>
  <si>
    <t>19-Apr-2024 05:30 PM</t>
  </si>
  <si>
    <t xml:space="preserve">6,02,432	</t>
  </si>
  <si>
    <t>Corrigendum-4 for Technical Change on 04-Apr-2024
Corrigendum-3 for Date Extension on 04-Apr-2024
Corrigendum-02 for Date Extension on 21-Mar-2024 
Pre-Bid Response- 14-03-2024
Corrigendum for Prebid online Meeting 04-Mar-2024 04:20 PM</t>
  </si>
  <si>
    <t xml:space="preserve">No Go by HB Sir due to Technical Lockcase
Clariffication Letter sent to Department
No Change in Qualification Status
PQ - Need to Discuss, 
TQ -  70 Marks
OEM PQ - NO
Payments -  Not Good
</t>
  </si>
  <si>
    <t>26-Mar-2024 12:30 PM</t>
  </si>
  <si>
    <t>27-Mar-2024 12:30 PM</t>
  </si>
  <si>
    <t>13-Apr-2024 05:30 PM</t>
  </si>
  <si>
    <t>15-Apr-2024 12:30 PM</t>
  </si>
  <si>
    <t>5,00,000</t>
  </si>
  <si>
    <t>Addendum No. 1 (Reply to Pre-Bid Queries) on 04-Apr-2024
Corrigendum for Online Pre-Bid Meeting on 26-Mar-2024
Corrigendum for Revised pre-bid meeting venue on 20-Mar-2024</t>
  </si>
  <si>
    <t>Clariffication Letter sent to Department
PQ / TQ - Not Qualified 
Payment- N2D
Location-  Narmadapuram
SLA- Enclosed
BoQ- Enclosed</t>
  </si>
  <si>
    <t xml:space="preserve">20-Mar-2024 03:00 PM </t>
  </si>
  <si>
    <t>18-Apr-2024 03:00 PM</t>
  </si>
  <si>
    <t>22-Apr-2024 03:00 PM</t>
  </si>
  <si>
    <t>25,97,000</t>
  </si>
  <si>
    <t>Corrigendum -1 for Extention of Bid Due Date  - 28-Mar-2024</t>
  </si>
  <si>
    <t>PQ  - Qualified
TQ - NQ Need to Discuss
Payment -  OK
Location - Maharashtra
BOQ - Enclosed</t>
  </si>
  <si>
    <t>12-Apr-2024 03:00 PM</t>
  </si>
  <si>
    <t>16-Apr-2024 04:00 PM</t>
  </si>
  <si>
    <t>PQ- OK
Payment -  Need to Discuss
Location -Bhopal
BOQ - Enclosed</t>
  </si>
  <si>
    <t>31-03-2024
03:00 PM</t>
  </si>
  <si>
    <t>01-Apr-2024 03:00 PM</t>
  </si>
  <si>
    <t>18-Apr-2024 05:00 PM</t>
  </si>
  <si>
    <t>19-Apr-2024 05:00 PM</t>
  </si>
  <si>
    <t>Corrigendum for Online Prebid Meeting 27-Mar-2024
Corrigendum-I for Bid Extend 19-Mar-2024</t>
  </si>
  <si>
    <t>General Queries Sent waiting for Corrig.
PQ - Qualified by TISPL &amp; SISPL
Payment -OK
SLA- Enclosed
Locations- 5</t>
  </si>
  <si>
    <t>22-03-2024
 4.00 PM</t>
  </si>
  <si>
    <t>27-Mar-2024
12:00PM</t>
  </si>
  <si>
    <t>08-Apr-2024 03:00 PM</t>
  </si>
  <si>
    <t>08-Apr-2024 03:30 PM</t>
  </si>
  <si>
    <t>1,00,00,000</t>
  </si>
  <si>
    <t>Corrigendum for Pre-Bid Meeting Venue Change on 26-Mar-2024</t>
  </si>
  <si>
    <t>Sent Query, Waiting for Technical Corrig.
PQ- OK , TQ- Qualified 
Payment -  Need to Discuss
SLA - Enclosed
BoQ- Enclosed</t>
  </si>
  <si>
    <t>20-March-2024 06:00 PM</t>
  </si>
  <si>
    <t>21-Mar-2024 04:00 PM</t>
  </si>
  <si>
    <t>01-Apr-2024 04:00 PM</t>
  </si>
  <si>
    <t>70,00,000</t>
  </si>
  <si>
    <t>Pre bid Meeting Rescheduled on 19-Mar-2024 03:02 PM 'Corrigendum 1 for Prebid Meeting Link 18-Mar-2024</t>
  </si>
  <si>
    <t xml:space="preserve">No Go due to TQ- Not Qualified Reason andf Rental basis Contarct Need to Send Queries
PQ- OK
TQ- Qualified
Payment -  NO
SLA - Enclosed
BoQ-  Enclosed
</t>
  </si>
  <si>
    <t>21-Mar-2024
11:30 AM</t>
  </si>
  <si>
    <t>22-Mar-2024
11:30 AM</t>
  </si>
  <si>
    <t>09-Apr-2024 11:00 AM</t>
  </si>
  <si>
    <t>09-Apr-2024 11:30 AM</t>
  </si>
  <si>
    <t>45,20,000</t>
  </si>
  <si>
    <t>Need to Send Query
PQ- Yes
Payment -  Need to Discuss
Location - Jaipur Highway
BOQ - Enclosed</t>
  </si>
  <si>
    <t>Before Pre Bid</t>
  </si>
  <si>
    <t>29-02-2024  11:00 AM</t>
  </si>
  <si>
    <t>20-03-2024  3:30 PM</t>
  </si>
  <si>
    <t>20-Mar-2024  3:30 PM</t>
  </si>
  <si>
    <t>50,00,000</t>
  </si>
  <si>
    <t>PQ- Qualified
Payment Termns - OK
Location - New Delhi
Penalty - Enclosed</t>
  </si>
  <si>
    <t>06-02-2024
11:30 AM</t>
  </si>
  <si>
    <t>07-02-2024
11:30 AM</t>
  </si>
  <si>
    <t>11-Mar-2024 05:00 PM</t>
  </si>
  <si>
    <t>12-Mar-2024 11:00 AM</t>
  </si>
  <si>
    <t>12,94,236</t>
  </si>
  <si>
    <t xml:space="preserve">Corrigendum - Date extend	04-Mar-2024 11:30 AM </t>
  </si>
  <si>
    <t xml:space="preserve">Qualified by TISPL
PQ - OK , TQ -  OK
Payment Terms - Good
Location -  Gurugram
BOQ - Enclosed
</t>
  </si>
  <si>
    <t>11-03-2024  1:00 PM</t>
  </si>
  <si>
    <t>15-Mar-2024 03:25 PM</t>
  </si>
  <si>
    <t>22-Mar-2024 05:00 PM</t>
  </si>
  <si>
    <t>28-Mar-2024 03:30 PM</t>
  </si>
  <si>
    <t>2,00,00,000</t>
  </si>
  <si>
    <t>ITMSCorrigendumNagpur 01-Mar-2024 04:56 PM
'Corrigendum1  for Technical Changes on 26-Feb-2024</t>
  </si>
  <si>
    <t>Not Qualified , Need to Send Queries and changes in Eligibility.
OEM PQ - Yes
Payment -  Good
Location - Mumbai
BOQ - Enclosed</t>
  </si>
  <si>
    <t xml:space="preserve">15-Mar-2024 03:15 PM  </t>
  </si>
  <si>
    <t>28-Mar-2024 03:15 PM</t>
  </si>
  <si>
    <t>3,00,00,000</t>
  </si>
  <si>
    <t>ITMSCorrigendumMumbai 01-Mar-2024 05:21 PM
Corrigendum1 for Technical Changes on 26-Feb-2024</t>
  </si>
  <si>
    <t>15-Mar-2024 03:20 PM</t>
  </si>
  <si>
    <t>28-Mar-2024 03:20 PM</t>
  </si>
  <si>
    <t>ITMSCorrigendumPune 01-Mar-2024 04:54 PM
Corrigendum1 for Technical Changes on 26-Feb-2024</t>
  </si>
  <si>
    <t xml:space="preserve">BHOPAL MPLUN  Supply of Video Wall </t>
  </si>
  <si>
    <t>Set Tender</t>
  </si>
  <si>
    <t>10-Jan-2023</t>
  </si>
  <si>
    <t>11-Jan-2024
04:30 PM</t>
  </si>
  <si>
    <t>29-Feb-2024 04:00 PM</t>
  </si>
  <si>
    <t>01-Mar-2024 04:00 PM</t>
  </si>
  <si>
    <t xml:space="preserve">Dates Extension	16-Feb-2024
Date Extension of Bid Submissions 05-Feb-2024 Corrigendum for Date Extension on 22-Jan-2024 </t>
  </si>
  <si>
    <t>SISPL not qualify as OEM
'OEM PQ &amp; Certifications- Yes
Payment Terms- Rate Contact
BOQ- Yes
The quantity shall be distributed among the Bidders.
Pre-bid -Queries Sent &amp; Meeting attend meeting by Mr. Gaurav</t>
  </si>
  <si>
    <t>2.5</t>
  </si>
  <si>
    <t xml:space="preserve">BHOPAL MPLUN  Supply of INTERACTIVE PANEL </t>
  </si>
  <si>
    <t>10-Jan-2024</t>
  </si>
  <si>
    <t xml:space="preserve">11-Jan-2024 
4:00 PM 	</t>
  </si>
  <si>
    <t>22-Jan-2024 04:00 PM</t>
  </si>
  <si>
    <t>05-Mar-2024 04:00 PM</t>
  </si>
  <si>
    <t>06-Mar-2024 04:00 PM</t>
  </si>
  <si>
    <t xml:space="preserve">Date extensions	27-Feb-2024
Date Extension	16-Feb-2024
Date Extension of Bid Submissions 05-Feb-2024  Corrigendum for Date Extension on  22-Jan-2024 
</t>
  </si>
  <si>
    <t>Bhopal MPLUN  Supply of AiO Laptop &amp; Desktop</t>
  </si>
  <si>
    <t>11-Jan-2022</t>
  </si>
  <si>
    <t>12-Jan-2024
04:00 PM</t>
  </si>
  <si>
    <t>07-Mar-2024 04:00 PM</t>
  </si>
  <si>
    <t>11-Mar-2024 04:00 PM</t>
  </si>
  <si>
    <t>Dates Extensions	20-Feb-2024
'Date Extension of Bid Submissions 06-Feb-2024
Corrigendum Date Extension of Bid Submission on 25-Jan-2024 02:31 PM</t>
  </si>
  <si>
    <t>'SISPL not qualify as OEM
'OEM PQ &amp; Certifications- Yes
Payment Terms- Rate Contact
BOQ- Yes
The quantity shall be distributed among the Bidders.
Pre-bid -Queries Sent &amp; Meeting attend meeting by Mr. Gaurav</t>
  </si>
  <si>
    <t xml:space="preserve">Bhopal MPLUN Supply of CCTV SYSTEM </t>
  </si>
  <si>
    <t>24-Jan-2024
04:00 PM</t>
  </si>
  <si>
    <t>25-Jan-2024
04:00 PM</t>
  </si>
  <si>
    <t>12-03-2024  4:00 PM</t>
  </si>
  <si>
    <t>Dates Extensions on 22- Feb-2024
Corrigendum for Date Extension of Bid Submissions 08-Feb-2024</t>
  </si>
  <si>
    <t xml:space="preserve">SISPL not qualify as OEM
OEM PQ &amp; Certifications- Yes
Payment Terms- Rate Contact
BOQ- Yes
The quantity shall be distributed among the Bidders.
</t>
  </si>
  <si>
    <t xml:space="preserve">NO GO </t>
  </si>
  <si>
    <t>High Penalty</t>
  </si>
  <si>
    <t xml:space="preserve">03-Mar-2024 11:00 AM </t>
  </si>
  <si>
    <t xml:space="preserve">04-Mar-2024 11:00 AM </t>
  </si>
  <si>
    <t>15-Mar-2024 12:00 PM</t>
  </si>
  <si>
    <t>15-Mar-2024 03:00 PM</t>
  </si>
  <si>
    <t xml:space="preserve">4,87,840	</t>
  </si>
  <si>
    <t xml:space="preserve">Qualified by TISPL
PQ - OK , TQ -  OK
Payment Terms - Good
Location -  Panchkula
BOQ - Enclosed
</t>
  </si>
  <si>
    <t xml:space="preserve">21-Feb-2024 03:00 PM </t>
  </si>
  <si>
    <t xml:space="preserve">22-Feb-2024 03:00 PM </t>
  </si>
  <si>
    <t>01-03-2024  4:00:00 PM</t>
  </si>
  <si>
    <t>04-Mar-2024 11:00 AM</t>
  </si>
  <si>
    <t>10,00,000</t>
  </si>
  <si>
    <t>Qualified by TISPL,
OEM PQ - NO
Payment -  Not Given
Location - BELAPUR, Maharashtra</t>
  </si>
  <si>
    <t>NO GO (HB)</t>
  </si>
  <si>
    <t>06-Mar-2024 05:00 PM</t>
  </si>
  <si>
    <t>08-Mar-2024 11:00 AM</t>
  </si>
  <si>
    <t>Revised Final estimate and approved make list Attach, Plz ignore previous attach estimate	23-Feb-2024</t>
  </si>
  <si>
    <t>Qualified by TISPL
PQ - 
Payment Terms - OK
Location -  Bhopal
BOQ - Enclosed</t>
  </si>
  <si>
    <t>24-02-2024 10:00 AM</t>
  </si>
  <si>
    <t>24-02-2024  10:30 AM</t>
  </si>
  <si>
    <t>20,00,000</t>
  </si>
  <si>
    <t>Lucknow ICT Lab Shreetron India Limited GEM</t>
  </si>
  <si>
    <t>Under
Discussion</t>
  </si>
  <si>
    <t>15-02-2024 4:00 PM</t>
  </si>
  <si>
    <t>15-02-2024 4:30 PM</t>
  </si>
  <si>
    <t>1 Cr</t>
  </si>
  <si>
    <t>DD/ BG/ RTGS / Bankers Cheque</t>
  </si>
  <si>
    <t>Corrigendum - Due Date Modified On: 2024-01-30 12:10:22 
Corrigendum - Due Date Modified On: 2024-01-20 11:32:24</t>
  </si>
  <si>
    <t xml:space="preserve">'PQ Status-  Qualified by TISPL.
OEM Criteria -  Yes
Payment Terms - Good (Moblisation adv. 5%, 80% on supply,10% on Go-live) 
Location -  757 ICT aLab in Lucknow UP
</t>
  </si>
  <si>
    <t>05.02.2024  05:30 pm</t>
  </si>
  <si>
    <t>21-Feb-2024 05:00 PM</t>
  </si>
  <si>
    <t>22-02-2024  5:15 PM</t>
  </si>
  <si>
    <t>20-02-2024  05:00 PM</t>
  </si>
  <si>
    <t>16-Feb-2024
11:30 AM</t>
  </si>
  <si>
    <t>07-Mar-2024 03:00 PM</t>
  </si>
  <si>
    <t>Bhopal Security Operations Center MPSEDCL-State Data Centre</t>
  </si>
  <si>
    <t>Hold</t>
  </si>
  <si>
    <t>08-Jan-2024</t>
  </si>
  <si>
    <t>09-Jan-2024 12:30 PM</t>
  </si>
  <si>
    <t>24-01-2024  4:00 PM</t>
  </si>
  <si>
    <t>05-Feb-2024 12:30 PM</t>
  </si>
  <si>
    <t>06-Feb-2024 12:30 PM</t>
  </si>
  <si>
    <t>40,00,000</t>
  </si>
  <si>
    <t>BOQ Changes &amp; Pre Bid Response on 23-Jan-2024 Corrigendum 5 for Technical changes on 23-Jan-2024 
Corrigendum 4 For Date Extension on 23-Jan-2024 Corrigendum 3 - Date Extension on 18-Jan-2024 04:05 PM
Corrigendum 2 For Bid Submission Date Extension
Corrigendum for Bid start Date  Extension on 11-Jan-2024 06:43 PM</t>
  </si>
  <si>
    <t>Need to send Queries 
PQ - N2D(SOC Experience)
OEM PQ - Yes
Payment - No
Location - MPSEDC Bhopal</t>
  </si>
  <si>
    <t>Kolkata WBSETCL CCTV &amp;  ICCC</t>
  </si>
  <si>
    <t>24-Jan-2024 12:00 PM</t>
  </si>
  <si>
    <t>25-Jan-2024 12:00 PM</t>
  </si>
  <si>
    <t>19-Feb-2024 03:00 PM</t>
  </si>
  <si>
    <t>21-Feb-2024 03:00 PM</t>
  </si>
  <si>
    <t>73,40,000</t>
  </si>
  <si>
    <t>Corrigendum 17.01.2024</t>
  </si>
  <si>
    <t>Noida FDDI  IT Equipments</t>
  </si>
  <si>
    <t>15-02-2024 9:00 PM</t>
  </si>
  <si>
    <t>10,15,345</t>
  </si>
  <si>
    <t xml:space="preserve">Talk to Delhi Team
</t>
  </si>
  <si>
    <t>Mumbai School Education And Sports Digital Library</t>
  </si>
  <si>
    <t xml:space="preserve">Before Pre bid </t>
  </si>
  <si>
    <t>29-01-2024  2:00 PM</t>
  </si>
  <si>
    <t>05-02-2024 6:00 PM</t>
  </si>
  <si>
    <t>05-02-2024 6:30 PM</t>
  </si>
  <si>
    <t>1,64,00,000</t>
  </si>
  <si>
    <t>223 CR</t>
  </si>
  <si>
    <t>SK</t>
  </si>
  <si>
    <t>23-01-2024 2:00 PM</t>
  </si>
  <si>
    <t>23-01-2024 2:30 PM</t>
  </si>
  <si>
    <t>4,47,33,000</t>
  </si>
  <si>
    <t>Bid Extend Corrigendum - 2024-01-11
'Bid Extend - 'Modified On: 2023-12-12 18:13:35Bid extended to 2024-01-12 14:00:00
Modified On: 2023-11-30 11:19:15Bid extended to 2023-12-14 14:00:00
Modified On: 2023-10-17 11:24:13Bid extended to 2023-11-30 14:00:00</t>
  </si>
  <si>
    <t>Interact with Dept and confirm by Shailesh Sir
Payment Terms - Pro-rata basis
Location -  Bikaner
OEM PQ -  Yes</t>
  </si>
  <si>
    <t xml:space="preserve">HB </t>
  </si>
  <si>
    <t>08-Jan-2024 11:30 AM</t>
  </si>
  <si>
    <t>29-01-2024  6:00 PM</t>
  </si>
  <si>
    <t>31-Jan-2024 11:00 AM</t>
  </si>
  <si>
    <r>
      <rPr>
        <b/>
        <sz val="28"/>
        <color theme="1"/>
        <rFont val="Cambria"/>
        <family val="1"/>
      </rPr>
      <t xml:space="preserve">Technical Confirmation required by Himadri Sir
PQ Status-Qualified
</t>
    </r>
    <r>
      <rPr>
        <b/>
        <u/>
        <sz val="28"/>
        <color theme="1"/>
        <rFont val="Cambria"/>
        <family val="1"/>
      </rPr>
      <t>Payment Terms</t>
    </r>
    <r>
      <rPr>
        <b/>
        <sz val="28"/>
        <color theme="1"/>
        <rFont val="Cambria"/>
        <family val="1"/>
      </rPr>
      <t xml:space="preserve"> - No
</t>
    </r>
    <r>
      <rPr>
        <b/>
        <u/>
        <sz val="28"/>
        <color theme="1"/>
        <rFont val="Cambria"/>
        <family val="1"/>
      </rPr>
      <t xml:space="preserve">Location </t>
    </r>
    <r>
      <rPr>
        <b/>
        <sz val="28"/>
        <color theme="1"/>
        <rFont val="Cambria"/>
        <family val="1"/>
      </rPr>
      <t xml:space="preserve">-  Jabalpur
</t>
    </r>
    <r>
      <rPr>
        <b/>
        <u/>
        <sz val="28"/>
        <color theme="1"/>
        <rFont val="Cambria"/>
        <family val="1"/>
      </rPr>
      <t>OEM Criteria</t>
    </r>
    <r>
      <rPr>
        <b/>
        <sz val="28"/>
        <color theme="1"/>
        <rFont val="Cambria"/>
        <family val="1"/>
      </rPr>
      <t xml:space="preserve"> -  NO
</t>
    </r>
  </si>
  <si>
    <t>3.30 Cr</t>
  </si>
  <si>
    <t>10-01-2024  5:00 PM</t>
  </si>
  <si>
    <t>12-01-2024  11:00 AM</t>
  </si>
  <si>
    <t>3,30,180</t>
  </si>
  <si>
    <r>
      <rPr>
        <b/>
        <sz val="28"/>
        <color theme="1"/>
        <rFont val="Cambria"/>
        <family val="1"/>
      </rPr>
      <t xml:space="preserve">Bid by SISPL
</t>
    </r>
    <r>
      <rPr>
        <b/>
        <u/>
        <sz val="28"/>
        <color theme="1"/>
        <rFont val="Cambria"/>
        <family val="1"/>
      </rPr>
      <t>Payment Terms</t>
    </r>
    <r>
      <rPr>
        <b/>
        <sz val="28"/>
        <color theme="1"/>
        <rFont val="Cambria"/>
        <family val="1"/>
      </rPr>
      <t xml:space="preserve"> - NA
</t>
    </r>
    <r>
      <rPr>
        <b/>
        <u/>
        <sz val="28"/>
        <color theme="1"/>
        <rFont val="Cambria"/>
        <family val="1"/>
      </rPr>
      <t xml:space="preserve">Location </t>
    </r>
    <r>
      <rPr>
        <b/>
        <sz val="28"/>
        <color theme="1"/>
        <rFont val="Cambria"/>
        <family val="1"/>
      </rPr>
      <t xml:space="preserve">-  Mandsaur
</t>
    </r>
    <r>
      <rPr>
        <b/>
        <u/>
        <sz val="28"/>
        <color theme="1"/>
        <rFont val="Cambria"/>
        <family val="1"/>
      </rPr>
      <t>OEM Criteria</t>
    </r>
    <r>
      <rPr>
        <b/>
        <sz val="28"/>
        <color theme="1"/>
        <rFont val="Cambria"/>
        <family val="1"/>
      </rPr>
      <t xml:space="preserve"> -  NO
</t>
    </r>
  </si>
  <si>
    <t>01.12.2023 04:00 pm</t>
  </si>
  <si>
    <t xml:space="preserve"> 05.12.2023  04:00 pm to 06:00 pm </t>
  </si>
  <si>
    <t>23-Jan-2024 03:30 PM</t>
  </si>
  <si>
    <t>23-Jan-2024 04:00 PM</t>
  </si>
  <si>
    <t>1,25,00,000</t>
  </si>
  <si>
    <t>Only NEFT , RTGS</t>
  </si>
  <si>
    <t>CORRIGENDUM 3 date extension on 30.12.2023  Corrigendum-2 for Date Extension on 30.12.2023 Corrigendum-2 dated 22.12.2023 for changes in some clauses 
Corrigendum on 12.12.2023 for changes in some clauses</t>
  </si>
  <si>
    <r>
      <rPr>
        <b/>
        <sz val="28"/>
        <color theme="1"/>
        <rFont val="Cambria"/>
        <family val="1"/>
      </rPr>
      <t xml:space="preserve">PQ Status- Qualified
</t>
    </r>
    <r>
      <rPr>
        <b/>
        <u/>
        <sz val="28"/>
        <color theme="1"/>
        <rFont val="Cambria"/>
        <family val="1"/>
      </rPr>
      <t>Payment Terms</t>
    </r>
    <r>
      <rPr>
        <b/>
        <sz val="28"/>
        <color theme="1"/>
        <rFont val="Cambria"/>
        <family val="1"/>
      </rPr>
      <t xml:space="preserve"> - OK
</t>
    </r>
    <r>
      <rPr>
        <b/>
        <u/>
        <sz val="28"/>
        <color theme="1"/>
        <rFont val="Cambria"/>
        <family val="1"/>
      </rPr>
      <t xml:space="preserve">Location </t>
    </r>
    <r>
      <rPr>
        <b/>
        <sz val="28"/>
        <color theme="1"/>
        <rFont val="Cambria"/>
        <family val="1"/>
      </rPr>
      <t xml:space="preserve">-  Navi Mumbai
</t>
    </r>
    <r>
      <rPr>
        <b/>
        <u/>
        <sz val="28"/>
        <color theme="1"/>
        <rFont val="Cambria"/>
        <family val="1"/>
      </rPr>
      <t>OEM Criteria</t>
    </r>
    <r>
      <rPr>
        <b/>
        <sz val="28"/>
        <color theme="1"/>
        <rFont val="Cambria"/>
        <family val="1"/>
      </rPr>
      <t xml:space="preserve"> -  NO
Go/No go status still pending</t>
    </r>
  </si>
  <si>
    <t>20-Dec-2023 03:00 PM</t>
  </si>
  <si>
    <t>18-Jan-2024 03:00 PM</t>
  </si>
  <si>
    <t>19-Jan-2024 03:00 PM</t>
  </si>
  <si>
    <t>29,00,000</t>
  </si>
  <si>
    <t>BG/ NEFT/ RTGS/ Demand Draft/ SWIFT</t>
  </si>
  <si>
    <t>Corrigendum - Pre-Bid Meeting Link on 15-Dec-2023 11:44 AM</t>
  </si>
  <si>
    <t xml:space="preserve">PQ Qualified
Payment Terms - NO
Location -  Chennai
OEM Criteria -  Yes
</t>
  </si>
  <si>
    <t xml:space="preserve">	04-Aug-2023 11:00 AM</t>
  </si>
  <si>
    <t xml:space="preserve">	08-Aug-2023 </t>
  </si>
  <si>
    <t>28-08-2023</t>
  </si>
  <si>
    <t>29-Aug-2023 11:00 AM </t>
  </si>
  <si>
    <t>11-01-2024  5:00 PM</t>
  </si>
  <si>
    <t>1	DD
 2	BG
3	BC</t>
  </si>
  <si>
    <t>08-Dec-2023 05:31 PM Corrigendum 7 Extension of Bid due date 22-Dec-2023 05:00 PM
Corrigendum-6 Extension of Bid Due Date 24-Nov-2023 10:22 AM 
Corrigendum-5   Ext. of Bid Due Date 06-Nov-2023 03:36 PM 
23-Oct-2023 Due Date Extended to 08-Nov-2023 05:00 PM 
'05-Oct-2023 Extension of Bid due date
26-Sep-2023 Extension of Bid due date
12-Sep-2023 Pre Bid Meeting
11-Sep-2023 Reschedule of Pre Bid Meeting
15-Sep-2023 Extension of Bid Due Date
29-Aug-2023 Corrigendum Rescheduling of Pre-bid Meeting</t>
  </si>
  <si>
    <t>Shailesh Sir will drive the Payment terms.
Increase visit and interaction with the customer.
Payment Terms - No (Payment Issue Discuss with MORTH)
Location -  148
OEM Criteria -  No</t>
  </si>
  <si>
    <t>9.96 Cr</t>
  </si>
  <si>
    <t>10-01-2024  9:00 PM</t>
  </si>
  <si>
    <t>10-01-2024  9:30 PM</t>
  </si>
  <si>
    <t>19,93,989</t>
  </si>
  <si>
    <t>Corrigendum - Modified On: 2023-12-19 21:24:23</t>
  </si>
  <si>
    <t>PQ Qualified
Payment Terms - Yes
Location -  Mohali
OEM Criteria -  No</t>
  </si>
  <si>
    <t>1.25 Cr</t>
  </si>
  <si>
    <t>05-Jan-2024 05:00 PM</t>
  </si>
  <si>
    <t>08-Jan-2024 11:00 AM</t>
  </si>
  <si>
    <t>1,25,450</t>
  </si>
  <si>
    <r>
      <rPr>
        <b/>
        <sz val="24"/>
        <color theme="1"/>
        <rFont val="Cambria"/>
        <family val="1"/>
      </rPr>
      <t xml:space="preserve">Cancelled because of Not relevant scope  of work
PQ Status- Not Qualified
</t>
    </r>
    <r>
      <rPr>
        <b/>
        <u/>
        <sz val="24"/>
        <color theme="1"/>
        <rFont val="Cambria"/>
        <family val="1"/>
      </rPr>
      <t>Payment Terms</t>
    </r>
    <r>
      <rPr>
        <b/>
        <sz val="24"/>
        <color theme="1"/>
        <rFont val="Cambria"/>
        <family val="1"/>
      </rPr>
      <t xml:space="preserve"> - NA
</t>
    </r>
    <r>
      <rPr>
        <b/>
        <u/>
        <sz val="24"/>
        <color theme="1"/>
        <rFont val="Cambria"/>
        <family val="1"/>
      </rPr>
      <t xml:space="preserve">Location </t>
    </r>
    <r>
      <rPr>
        <b/>
        <sz val="24"/>
        <color theme="1"/>
        <rFont val="Cambria"/>
        <family val="1"/>
      </rPr>
      <t xml:space="preserve">-  Neemach
</t>
    </r>
    <r>
      <rPr>
        <b/>
        <u/>
        <sz val="24"/>
        <color theme="1"/>
        <rFont val="Cambria"/>
        <family val="1"/>
      </rPr>
      <t>OEM Criteria</t>
    </r>
    <r>
      <rPr>
        <b/>
        <sz val="24"/>
        <color theme="1"/>
        <rFont val="Cambria"/>
        <family val="1"/>
      </rPr>
      <t xml:space="preserve"> -  NO
Go/No go status still pending</t>
    </r>
  </si>
  <si>
    <t xml:space="preserve">3.69 CR </t>
  </si>
  <si>
    <t xml:space="preserve"> 15/12/23 at 14:00 hrs</t>
  </si>
  <si>
    <t>18-Dec-2023 11:00 AM</t>
  </si>
  <si>
    <t>08-01-2024  10:00 AM</t>
  </si>
  <si>
    <t>10-01-2024  10:30 AM</t>
  </si>
  <si>
    <t>7,39,000</t>
  </si>
  <si>
    <t>Corrigendum - Extension of e-tender on 28-Dec-2023 04:37 PM
Corrigendum - Minutes of pre bid discussion</t>
  </si>
  <si>
    <t xml:space="preserve">Cancelled because of PQ Not Qualified 
Payment Terms - NO
Location -  Kolkata
OEM Criteria -  Yes'
ADDITIONAL PBG- Yes
</t>
  </si>
  <si>
    <t>Bhopal MP Jal Nigam EOI</t>
  </si>
  <si>
    <t>25-01-2024  5:00 PM</t>
  </si>
  <si>
    <r>
      <rPr>
        <b/>
        <sz val="20"/>
        <color theme="1"/>
        <rFont val="Cambria"/>
        <family val="1"/>
      </rPr>
      <t xml:space="preserve">On 30-12-2023 Tender is cancelled Due to irrelevant PQ Status- Not Qualified
</t>
    </r>
    <r>
      <rPr>
        <b/>
        <u/>
        <sz val="20"/>
        <color theme="1"/>
        <rFont val="Cambria"/>
        <family val="1"/>
      </rPr>
      <t>Payment Terms</t>
    </r>
    <r>
      <rPr>
        <b/>
        <sz val="20"/>
        <color theme="1"/>
        <rFont val="Cambria"/>
        <family val="1"/>
      </rPr>
      <t xml:space="preserve"> - No
</t>
    </r>
    <r>
      <rPr>
        <b/>
        <u/>
        <sz val="20"/>
        <color theme="1"/>
        <rFont val="Cambria"/>
        <family val="1"/>
      </rPr>
      <t xml:space="preserve">Location </t>
    </r>
    <r>
      <rPr>
        <b/>
        <sz val="20"/>
        <color theme="1"/>
        <rFont val="Cambria"/>
        <family val="1"/>
      </rPr>
      <t xml:space="preserve">-  Bhopal
</t>
    </r>
    <r>
      <rPr>
        <b/>
        <u/>
        <sz val="20"/>
        <color theme="1"/>
        <rFont val="Cambria"/>
        <family val="1"/>
      </rPr>
      <t>OEM Criteria</t>
    </r>
    <r>
      <rPr>
        <b/>
        <sz val="20"/>
        <color theme="1"/>
        <rFont val="Cambria"/>
        <family val="1"/>
      </rPr>
      <t xml:space="preserve"> -  Yes
Go/No go status still pending</t>
    </r>
  </si>
  <si>
    <t>7.5 Cr</t>
  </si>
  <si>
    <t>149 Proc. Water Supply MP Jal Nigam</t>
  </si>
  <si>
    <t>10-01-2024  12:30 PM</t>
  </si>
  <si>
    <t>29-01-2024  5:30 PM</t>
  </si>
  <si>
    <t>31-Jan-2024 12:30 PM</t>
  </si>
  <si>
    <r>
      <rPr>
        <b/>
        <sz val="20"/>
        <color theme="1"/>
        <rFont val="Cambria"/>
        <family val="1"/>
      </rPr>
      <t xml:space="preserve">On 30-12-2023 Tender is cancelled Due to irrelevant PQ Status- Not Qualified
JV/Consortium not Allowed
</t>
    </r>
    <r>
      <rPr>
        <b/>
        <u/>
        <sz val="20"/>
        <color theme="1"/>
        <rFont val="Cambria"/>
        <family val="1"/>
      </rPr>
      <t>Payment Terms</t>
    </r>
    <r>
      <rPr>
        <b/>
        <sz val="20"/>
        <color theme="1"/>
        <rFont val="Cambria"/>
        <family val="1"/>
      </rPr>
      <t xml:space="preserve"> - No
</t>
    </r>
    <r>
      <rPr>
        <b/>
        <u/>
        <sz val="20"/>
        <color theme="1"/>
        <rFont val="Cambria"/>
        <family val="1"/>
      </rPr>
      <t xml:space="preserve">Location </t>
    </r>
    <r>
      <rPr>
        <b/>
        <sz val="20"/>
        <color theme="1"/>
        <rFont val="Cambria"/>
        <family val="1"/>
      </rPr>
      <t xml:space="preserve">-  Bhopal
</t>
    </r>
    <r>
      <rPr>
        <b/>
        <u/>
        <sz val="20"/>
        <color theme="1"/>
        <rFont val="Cambria"/>
        <family val="1"/>
      </rPr>
      <t>OEM Criteria</t>
    </r>
    <r>
      <rPr>
        <b/>
        <sz val="20"/>
        <color theme="1"/>
        <rFont val="Cambria"/>
        <family val="1"/>
      </rPr>
      <t xml:space="preserve"> -  NO
Go/No go status still pending</t>
    </r>
  </si>
  <si>
    <t>4.5 Cr</t>
  </si>
  <si>
    <t>150 Proc. Water Supply MP Jal Nigam</t>
  </si>
  <si>
    <r>
      <rPr>
        <b/>
        <sz val="20"/>
        <color theme="1"/>
        <rFont val="Cambria"/>
        <family val="1"/>
      </rPr>
      <t xml:space="preserve">On 30-12-2023 Tender is cancelled  Due to irrelevant PQ Status- Not Qualified
JV/Consortium not Allowed
</t>
    </r>
    <r>
      <rPr>
        <b/>
        <u/>
        <sz val="20"/>
        <color theme="1"/>
        <rFont val="Cambria"/>
        <family val="1"/>
      </rPr>
      <t>Payment Terms</t>
    </r>
    <r>
      <rPr>
        <b/>
        <sz val="20"/>
        <color theme="1"/>
        <rFont val="Cambria"/>
        <family val="1"/>
      </rPr>
      <t xml:space="preserve"> - No
</t>
    </r>
    <r>
      <rPr>
        <b/>
        <u/>
        <sz val="20"/>
        <color theme="1"/>
        <rFont val="Cambria"/>
        <family val="1"/>
      </rPr>
      <t xml:space="preserve">Location </t>
    </r>
    <r>
      <rPr>
        <b/>
        <sz val="20"/>
        <color theme="1"/>
        <rFont val="Cambria"/>
        <family val="1"/>
      </rPr>
      <t xml:space="preserve">-  Bhopal
</t>
    </r>
    <r>
      <rPr>
        <b/>
        <u/>
        <sz val="20"/>
        <color theme="1"/>
        <rFont val="Cambria"/>
        <family val="1"/>
      </rPr>
      <t>OEM Criteria</t>
    </r>
    <r>
      <rPr>
        <b/>
        <sz val="20"/>
        <color theme="1"/>
        <rFont val="Cambria"/>
        <family val="1"/>
      </rPr>
      <t xml:space="preserve"> -  NO
Go/No go status still pending</t>
    </r>
  </si>
  <si>
    <t>151 Proc. Water Supply MP Jal Nigam</t>
  </si>
  <si>
    <t>9.80 CR</t>
  </si>
  <si>
    <t>No Pre-Bid</t>
  </si>
  <si>
    <t>27-12-2023 1:00 PM</t>
  </si>
  <si>
    <t>27-12-2023 1:30 PM</t>
  </si>
  <si>
    <t xml:space="preserve">New Tender Added
</t>
  </si>
  <si>
    <t xml:space="preserve"> 09-11-2022</t>
  </si>
  <si>
    <t>14-12-2023 05:00 PM</t>
  </si>
  <si>
    <t>14-12-2023 05:30 PM</t>
  </si>
  <si>
    <t>34,03,100</t>
  </si>
  <si>
    <t>Corrigendum Query Response on 30-11-2023 11:31 AM
Modified On: 2023-11-29 16:04:57Bid extended to 2023-12-14 17:00:00</t>
  </si>
  <si>
    <r>
      <rPr>
        <b/>
        <sz val="20"/>
        <rFont val="Cambria"/>
        <family val="1"/>
      </rPr>
      <t xml:space="preserve">Share action tracker and OEM tracker 
</t>
    </r>
    <r>
      <rPr>
        <b/>
        <u/>
        <sz val="20"/>
        <color rgb="FFFF0000"/>
        <rFont val="Cambria"/>
        <family val="1"/>
      </rPr>
      <t>Payment Terms -</t>
    </r>
    <r>
      <rPr>
        <b/>
        <sz val="20"/>
        <rFont val="Cambria"/>
        <family val="1"/>
      </rPr>
      <t xml:space="preserve"> Very good (80%  on supply)
</t>
    </r>
    <r>
      <rPr>
        <b/>
        <u/>
        <sz val="20"/>
        <color rgb="FFFF0000"/>
        <rFont val="Cambria"/>
        <family val="1"/>
      </rPr>
      <t>Location -</t>
    </r>
    <r>
      <rPr>
        <b/>
        <sz val="20"/>
        <rFont val="Cambria"/>
        <family val="1"/>
      </rPr>
      <t xml:space="preserve">  
</t>
    </r>
    <r>
      <rPr>
        <b/>
        <u/>
        <sz val="20"/>
        <color rgb="FFFF0000"/>
        <rFont val="Cambria"/>
        <family val="1"/>
      </rPr>
      <t xml:space="preserve">OEM Criteria - </t>
    </r>
    <r>
      <rPr>
        <b/>
        <sz val="20"/>
        <rFont val="Cambria"/>
        <family val="1"/>
      </rPr>
      <t xml:space="preserve"> No
</t>
    </r>
  </si>
  <si>
    <t>18-12-2023  11:00 AM</t>
  </si>
  <si>
    <t>02-01-2024  6:00 PM</t>
  </si>
  <si>
    <t>02-01-2024  6:30 PM</t>
  </si>
  <si>
    <t>Online RTGS / internet banking</t>
  </si>
  <si>
    <t>1.84 Cr</t>
  </si>
  <si>
    <t>PQ Qualified</t>
  </si>
  <si>
    <t xml:space="preserve"> 03.01.2024
02:30 pm</t>
  </si>
  <si>
    <t xml:space="preserve"> 04.01.2024
03:00 pm</t>
  </si>
  <si>
    <t>3,68,000</t>
  </si>
  <si>
    <t>D.D./ Banker’s cheque</t>
  </si>
  <si>
    <r>
      <rPr>
        <b/>
        <sz val="22"/>
        <color rgb="FFFF0000"/>
        <rFont val="Cambria"/>
        <family val="1"/>
      </rPr>
      <t xml:space="preserve">New Tender Added </t>
    </r>
    <r>
      <rPr>
        <b/>
        <sz val="22"/>
        <color theme="1"/>
        <rFont val="Cambria"/>
        <family val="1"/>
      </rPr>
      <t xml:space="preserve">
PQ Qualified
</t>
    </r>
    <r>
      <rPr>
        <b/>
        <u/>
        <sz val="22"/>
        <color rgb="FFFF0000"/>
        <rFont val="Cambria"/>
        <family val="1"/>
      </rPr>
      <t>Payment Terms</t>
    </r>
    <r>
      <rPr>
        <b/>
        <sz val="22"/>
        <color theme="1"/>
        <rFont val="Cambria"/>
        <family val="1"/>
      </rPr>
      <t xml:space="preserve"> - Not Given
</t>
    </r>
    <r>
      <rPr>
        <b/>
        <u/>
        <sz val="22"/>
        <color rgb="FFFF0000"/>
        <rFont val="Cambria"/>
        <family val="1"/>
      </rPr>
      <t>Location</t>
    </r>
    <r>
      <rPr>
        <b/>
        <sz val="22"/>
        <color theme="1"/>
        <rFont val="Cambria"/>
        <family val="1"/>
      </rPr>
      <t xml:space="preserve"> - 28
</t>
    </r>
    <r>
      <rPr>
        <b/>
        <u/>
        <sz val="22"/>
        <color rgb="FFFF0000"/>
        <rFont val="Cambria"/>
        <family val="1"/>
      </rPr>
      <t>OEM Criteria</t>
    </r>
    <r>
      <rPr>
        <b/>
        <sz val="22"/>
        <color theme="1"/>
        <rFont val="Cambria"/>
        <family val="1"/>
      </rPr>
      <t xml:space="preserve"> - Not Given</t>
    </r>
  </si>
  <si>
    <t>10cr</t>
  </si>
  <si>
    <t xml:space="preserve">	06-Oct-2023 10:00 AM</t>
  </si>
  <si>
    <t xml:space="preserve">09- Oct-2023 </t>
  </si>
  <si>
    <t>13-10-2023 06:00 pm</t>
  </si>
  <si>
    <t xml:space="preserve">16-Oct-2023 03:00 PM </t>
  </si>
  <si>
    <t xml:space="preserve">	04-Dec-2023 05:30 PM </t>
  </si>
  <si>
    <t>06-Dec-2023 11:30 AM</t>
  </si>
  <si>
    <t xml:space="preserve"> NEFT/RTGS</t>
  </si>
  <si>
    <t>Date Extend 21-Nov-2023 04:09 PM
Response and corrigendum-2 21-Nov-2023 04:16 PM
02-Nov-2023 Due Date Extended to 21-Nov-2023 05:30 PM</t>
  </si>
  <si>
    <r>
      <rPr>
        <b/>
        <sz val="16"/>
        <rFont val="Cambria"/>
        <family val="1"/>
      </rPr>
      <t xml:space="preserve">Go/No go Status still pending.
</t>
    </r>
    <r>
      <rPr>
        <b/>
        <u/>
        <sz val="16"/>
        <color rgb="FFFF0000"/>
        <rFont val="Cambria"/>
        <family val="1"/>
      </rPr>
      <t>Payment Terms -</t>
    </r>
    <r>
      <rPr>
        <b/>
        <sz val="16"/>
        <color theme="1"/>
        <rFont val="Cambria"/>
        <family val="1"/>
      </rPr>
      <t xml:space="preserve">  No</t>
    </r>
    <r>
      <rPr>
        <b/>
        <u/>
        <sz val="16"/>
        <color rgb="FFFF0000"/>
        <rFont val="Cambria"/>
        <family val="1"/>
      </rPr>
      <t xml:space="preserve">
Location - </t>
    </r>
    <r>
      <rPr>
        <b/>
        <sz val="16"/>
        <color theme="1"/>
        <rFont val="Cambria"/>
        <family val="1"/>
      </rPr>
      <t xml:space="preserve"> Palika Bhavan, Shivaji Nagar</t>
    </r>
    <r>
      <rPr>
        <b/>
        <u/>
        <sz val="16"/>
        <color rgb="FFFF0000"/>
        <rFont val="Cambria"/>
        <family val="1"/>
      </rPr>
      <t xml:space="preserve">
OEM Criteria -  </t>
    </r>
    <r>
      <rPr>
        <b/>
        <sz val="16"/>
        <rFont val="Cambria"/>
        <family val="1"/>
      </rPr>
      <t>No</t>
    </r>
  </si>
  <si>
    <t>91.32 Cr.</t>
  </si>
  <si>
    <t>16-11-2023 5:33 PM</t>
  </si>
  <si>
    <t>27-11-2023 5:47 PM</t>
  </si>
  <si>
    <t>28-06-2023</t>
  </si>
  <si>
    <t>30-06-2023</t>
  </si>
  <si>
    <t>06-12-2023 03:00 PM</t>
  </si>
  <si>
    <t>06-12-2023 03:30 PM</t>
  </si>
  <si>
    <t>8,11,850</t>
  </si>
  <si>
    <t>BG , DD &amp; Online</t>
  </si>
  <si>
    <t>2023-11-24 Corrigendum for modifiction</t>
  </si>
  <si>
    <r>
      <rPr>
        <b/>
        <sz val="14"/>
        <color theme="1"/>
        <rFont val="Cambria"/>
        <family val="1"/>
      </rPr>
      <t>New tender added
RA enable bid Payment shall be made on back-to-back basis.</t>
    </r>
    <r>
      <rPr>
        <b/>
        <sz val="14"/>
        <color rgb="FFFF0000"/>
        <rFont val="Cambria"/>
        <family val="1"/>
      </rPr>
      <t xml:space="preserve">
</t>
    </r>
    <r>
      <rPr>
        <b/>
        <u/>
        <sz val="14"/>
        <color rgb="FFFF0000"/>
        <rFont val="Cambria"/>
        <family val="1"/>
      </rPr>
      <t>Payment Terms -</t>
    </r>
    <r>
      <rPr>
        <b/>
        <sz val="14"/>
        <color rgb="FFFF0000"/>
        <rFont val="Cambria"/>
        <family val="1"/>
      </rPr>
      <t xml:space="preserve"> </t>
    </r>
    <r>
      <rPr>
        <b/>
        <sz val="14"/>
        <color theme="1"/>
        <rFont val="Cambria"/>
        <family val="1"/>
      </rPr>
      <t>TCIL will release payment only on receipt of payment from client (RCIL).</t>
    </r>
    <r>
      <rPr>
        <b/>
        <sz val="14"/>
        <color rgb="FFFF0000"/>
        <rFont val="Cambria"/>
        <family val="1"/>
      </rPr>
      <t xml:space="preserve">
</t>
    </r>
    <r>
      <rPr>
        <b/>
        <u/>
        <sz val="14"/>
        <color rgb="FFFF0000"/>
        <rFont val="Cambria"/>
        <family val="1"/>
      </rPr>
      <t xml:space="preserve">Location -  </t>
    </r>
    <r>
      <rPr>
        <b/>
        <sz val="14"/>
        <color theme="1"/>
        <rFont val="Cambria"/>
        <family val="1"/>
      </rPr>
      <t xml:space="preserve">151
</t>
    </r>
    <r>
      <rPr>
        <b/>
        <u/>
        <sz val="14"/>
        <color rgb="FFFF0000"/>
        <rFont val="Cambria"/>
        <family val="1"/>
      </rPr>
      <t xml:space="preserve">OEM Criteria -  </t>
    </r>
    <r>
      <rPr>
        <b/>
        <sz val="14"/>
        <color theme="1"/>
        <rFont val="Cambria"/>
        <family val="1"/>
      </rPr>
      <t>No</t>
    </r>
    <r>
      <rPr>
        <b/>
        <sz val="14"/>
        <color rgb="FFFF0000"/>
        <rFont val="Cambria"/>
        <family val="1"/>
      </rPr>
      <t xml:space="preserve">
</t>
    </r>
  </si>
  <si>
    <t xml:space="preserve">Punjab Ferozepur CCTV Cameras </t>
  </si>
  <si>
    <t>04-Dec-2023 11:00 Am</t>
  </si>
  <si>
    <t>05-Dec-2023 11:00 Am</t>
  </si>
  <si>
    <t>12-12-2023  11:00:00 Am</t>
  </si>
  <si>
    <t>13-Dec-2023 11:00 AM</t>
  </si>
  <si>
    <t>6,80,000</t>
  </si>
  <si>
    <t>Online mode &amp; BG</t>
  </si>
  <si>
    <r>
      <rPr>
        <b/>
        <sz val="16"/>
        <color theme="1"/>
        <rFont val="Cambria"/>
        <family val="1"/>
      </rPr>
      <t xml:space="preserve">Need to Send Query </t>
    </r>
    <r>
      <rPr>
        <b/>
        <sz val="16"/>
        <color rgb="FFFF0000"/>
        <rFont val="Cambria"/>
        <family val="1"/>
      </rPr>
      <t xml:space="preserve">
</t>
    </r>
    <r>
      <rPr>
        <b/>
        <u/>
        <sz val="16"/>
        <color rgb="FFFF0000"/>
        <rFont val="Cambria"/>
        <family val="1"/>
      </rPr>
      <t>Payment Terms</t>
    </r>
    <r>
      <rPr>
        <b/>
        <sz val="16"/>
        <color rgb="FFFF0000"/>
        <rFont val="Cambria"/>
        <family val="1"/>
      </rPr>
      <t xml:space="preserve"> -</t>
    </r>
    <r>
      <rPr>
        <b/>
        <sz val="16"/>
        <color theme="1"/>
        <rFont val="Cambria"/>
        <family val="1"/>
      </rPr>
      <t>OK</t>
    </r>
    <r>
      <rPr>
        <b/>
        <sz val="16"/>
        <color rgb="FFFF0000"/>
        <rFont val="Cambria"/>
        <family val="1"/>
      </rPr>
      <t xml:space="preserve">
</t>
    </r>
    <r>
      <rPr>
        <b/>
        <u/>
        <sz val="16"/>
        <color rgb="FFFF0000"/>
        <rFont val="Cambria"/>
        <family val="1"/>
      </rPr>
      <t>Location -</t>
    </r>
    <r>
      <rPr>
        <b/>
        <sz val="16"/>
        <color rgb="FFFF0000"/>
        <rFont val="Cambria"/>
        <family val="1"/>
      </rPr>
      <t xml:space="preserve">  </t>
    </r>
    <r>
      <rPr>
        <b/>
        <sz val="16"/>
        <color theme="1"/>
        <rFont val="Cambria"/>
        <family val="1"/>
      </rPr>
      <t>4 Nos</t>
    </r>
    <r>
      <rPr>
        <b/>
        <sz val="16"/>
        <color rgb="FFFF0000"/>
        <rFont val="Cambria"/>
        <family val="1"/>
      </rPr>
      <t xml:space="preserve">
OEM Criteria -  </t>
    </r>
    <r>
      <rPr>
        <b/>
        <sz val="16"/>
        <color theme="1"/>
        <rFont val="Cambria"/>
        <family val="1"/>
      </rPr>
      <t>Yes</t>
    </r>
  </si>
  <si>
    <t>14-12-2023  3:00 PM</t>
  </si>
  <si>
    <t>29-12-2023 03:00 PM</t>
  </si>
  <si>
    <t>29-12-2023 03:30 PM</t>
  </si>
  <si>
    <t>26,00,000</t>
  </si>
  <si>
    <t>16.52cr</t>
  </si>
  <si>
    <t>Navi Mumbai ICCC GEM</t>
  </si>
  <si>
    <t>14-08-2023</t>
  </si>
  <si>
    <t>30-09-2023</t>
  </si>
  <si>
    <t>14-Dec-2023 04:00 PM</t>
  </si>
  <si>
    <t>14-Dec-2023 04:30 PM</t>
  </si>
  <si>
    <t>Online - Bank of India</t>
  </si>
  <si>
    <t>Modified On: 2023-12-07 16:09:40 Bid extended to 14-12-2023 16:00:00 
Response Publication Date: 28-11-2023 11:22 AM 
Modified On: 2023-11-20 16:33:37 Modified On: 08-11-2023 04:12:56 pm 
on 23-10-23 Bid extended to 17-11-2023 03:00 PM 
'Modified On: 2023-10-06
'Modified On: 2023-10-06- Changes 
Date Corrigendum</t>
  </si>
  <si>
    <r>
      <rPr>
        <b/>
        <sz val="22"/>
        <rFont val="Cambria"/>
        <family val="1"/>
      </rPr>
      <t xml:space="preserve"> Provide Shailesh Sir the dates &amp; tracker of the and  Himadri Sir to increase interaction with the customer
</t>
    </r>
    <r>
      <rPr>
        <b/>
        <u/>
        <sz val="22"/>
        <color rgb="FFFF0000"/>
        <rFont val="Cambria"/>
        <family val="1"/>
      </rPr>
      <t>Payment Terms -</t>
    </r>
    <r>
      <rPr>
        <b/>
        <sz val="22"/>
        <color theme="1"/>
        <rFont val="Cambria"/>
        <family val="1"/>
      </rPr>
      <t xml:space="preserve"> OK</t>
    </r>
    <r>
      <rPr>
        <b/>
        <u/>
        <sz val="22"/>
        <color rgb="FFFF0000"/>
        <rFont val="Cambria"/>
        <family val="1"/>
      </rPr>
      <t xml:space="preserve">
Location - </t>
    </r>
    <r>
      <rPr>
        <b/>
        <sz val="22"/>
        <color theme="1"/>
        <rFont val="Cambria"/>
        <family val="1"/>
      </rPr>
      <t xml:space="preserve"> Jawaharlal Nehru Port
Authority, Administration Building, Sheva, Navi Mumbai</t>
    </r>
    <r>
      <rPr>
        <b/>
        <u/>
        <sz val="22"/>
        <color rgb="FFFF0000"/>
        <rFont val="Cambria"/>
        <family val="1"/>
      </rPr>
      <t xml:space="preserve">
OEM Criteria -  </t>
    </r>
    <r>
      <rPr>
        <b/>
        <sz val="22"/>
        <rFont val="Cambria"/>
        <family val="1"/>
      </rPr>
      <t>No</t>
    </r>
  </si>
  <si>
    <t xml:space="preserve">	30-Sep-2023 12:00 PM</t>
  </si>
  <si>
    <t xml:space="preserve">	30-Sep-2023 </t>
  </si>
  <si>
    <t xml:space="preserve"> 17:30 PM
 11-10-2023.</t>
  </si>
  <si>
    <t xml:space="preserve">	11-Oct-2023 03:30 PM</t>
  </si>
  <si>
    <t>19-Dec-2023 05:00 PM</t>
  </si>
  <si>
    <t>20-Dec-2023 05:00 PM</t>
  </si>
  <si>
    <t>Online  NEFT/RTGS</t>
  </si>
  <si>
    <t xml:space="preserve">Corigenduam V Key date extended 23-Nov-2023 05:48 PM 
Corrigendum-IV 09-Nov-2023 06:14 PM
Corrigendum-III 03-Nov-2023 04:37 PM Due Date Extended 
'27-Oct-2023  Corrigendum-II for Due Date Extention 
18-Oct-2023  Corrigendum </t>
  </si>
  <si>
    <r>
      <rPr>
        <b/>
        <sz val="16"/>
        <rFont val="Cambria"/>
        <family val="1"/>
      </rPr>
      <t xml:space="preserve"> Challenge in TQ- Losing marks in Experience &amp; Certification.
</t>
    </r>
    <r>
      <rPr>
        <b/>
        <u/>
        <sz val="16"/>
        <color rgb="FFFF0000"/>
        <rFont val="Cambria"/>
        <family val="1"/>
      </rPr>
      <t>Payment Terms -</t>
    </r>
    <r>
      <rPr>
        <b/>
        <sz val="16"/>
        <color theme="1"/>
        <rFont val="Cambria"/>
        <family val="1"/>
      </rPr>
      <t xml:space="preserve"> No</t>
    </r>
    <r>
      <rPr>
        <b/>
        <u/>
        <sz val="16"/>
        <color rgb="FFFF0000"/>
        <rFont val="Cambria"/>
        <family val="1"/>
      </rPr>
      <t xml:space="preserve">
Location -  </t>
    </r>
    <r>
      <rPr>
        <b/>
        <sz val="16"/>
        <color theme="1"/>
        <rFont val="Cambria"/>
        <family val="1"/>
      </rPr>
      <t>Gautam Nagar, Bhopal</t>
    </r>
    <r>
      <rPr>
        <b/>
        <u/>
        <sz val="16"/>
        <color rgb="FFFF0000"/>
        <rFont val="Cambria"/>
        <family val="1"/>
      </rPr>
      <t xml:space="preserve">
OEM Criteria -  </t>
    </r>
    <r>
      <rPr>
        <b/>
        <sz val="16"/>
        <rFont val="Cambria"/>
        <family val="1"/>
      </rPr>
      <t>No</t>
    </r>
  </si>
  <si>
    <t>03-01-2024  12:00 PM</t>
  </si>
  <si>
    <t>03-01-2024  3:00 PM</t>
  </si>
  <si>
    <t>32,00,000</t>
  </si>
  <si>
    <t>DD  &amp; BG</t>
  </si>
  <si>
    <r>
      <rPr>
        <b/>
        <sz val="14"/>
        <color rgb="FFFF0000"/>
        <rFont val="Cambria"/>
        <family val="1"/>
      </rPr>
      <t xml:space="preserve">Need to Discuss
</t>
    </r>
    <r>
      <rPr>
        <b/>
        <u/>
        <sz val="14"/>
        <color rgb="FFFF0000"/>
        <rFont val="Cambria"/>
        <family val="1"/>
      </rPr>
      <t>Payment Terms</t>
    </r>
    <r>
      <rPr>
        <b/>
        <sz val="14"/>
        <color rgb="FFFF0000"/>
        <rFont val="Cambria"/>
        <family val="1"/>
      </rPr>
      <t xml:space="preserve"> -</t>
    </r>
    <r>
      <rPr>
        <b/>
        <sz val="14"/>
        <color theme="1"/>
        <rFont val="Cambria"/>
        <family val="1"/>
      </rPr>
      <t xml:space="preserve"> (75% - 25</t>
    </r>
    <r>
      <rPr>
        <b/>
        <strike/>
        <sz val="14"/>
        <color theme="1"/>
        <rFont val="Cambria"/>
        <family val="1"/>
      </rPr>
      <t>%)</t>
    </r>
    <r>
      <rPr>
        <b/>
        <sz val="14"/>
        <color rgb="FFFF0000"/>
        <rFont val="Cambria"/>
        <family val="1"/>
      </rPr>
      <t xml:space="preserve">
</t>
    </r>
    <r>
      <rPr>
        <b/>
        <u/>
        <sz val="14"/>
        <color rgb="FFFF0000"/>
        <rFont val="Cambria"/>
        <family val="1"/>
      </rPr>
      <t>Location -</t>
    </r>
    <r>
      <rPr>
        <b/>
        <sz val="14"/>
        <color rgb="FFFF0000"/>
        <rFont val="Cambria"/>
        <family val="1"/>
      </rPr>
      <t xml:space="preserve">  </t>
    </r>
    <r>
      <rPr>
        <b/>
        <sz val="14"/>
        <color theme="1"/>
        <rFont val="Cambria"/>
        <family val="1"/>
      </rPr>
      <t>500 Retail Vending Shops TASMAC</t>
    </r>
    <r>
      <rPr>
        <b/>
        <sz val="14"/>
        <color rgb="FFFF0000"/>
        <rFont val="Cambria"/>
        <family val="1"/>
      </rPr>
      <t xml:space="preserve">
OEM Criteria -  </t>
    </r>
    <r>
      <rPr>
        <b/>
        <sz val="14"/>
        <color theme="1"/>
        <rFont val="Cambria"/>
        <family val="1"/>
      </rPr>
      <t>No</t>
    </r>
    <r>
      <rPr>
        <b/>
        <sz val="14"/>
        <color rgb="FFFF0000"/>
        <rFont val="Cambria"/>
        <family val="1"/>
      </rPr>
      <t xml:space="preserve">
</t>
    </r>
  </si>
  <si>
    <t xml:space="preserve"> 13-Jan-2025  05:00 PM</t>
  </si>
  <si>
    <t xml:space="preserve"> 16-Jan-2025 02:00 PM</t>
  </si>
  <si>
    <t xml:space="preserve"> 30-Jan-2025 05:00 PM</t>
  </si>
  <si>
    <t xml:space="preserve"> 31-Jan-2025 10:00 AM</t>
  </si>
  <si>
    <t>Corr._Pre Bid_Clarification- 22-Jan
Corr._Pre Bid-22-Jan</t>
  </si>
  <si>
    <t xml:space="preserve"> 13-Jan-2025 06:00 PM</t>
  </si>
  <si>
    <t xml:space="preserve"> 29-Jan-2025 05:00 PM</t>
  </si>
  <si>
    <t xml:space="preserve"> 30-Jan-2025 11:00 AM</t>
  </si>
  <si>
    <t>Corr._Changes- 14-Jan</t>
  </si>
  <si>
    <t>PQ- Qualify by TISPL
OEM PQ- Yes
Payment - OK</t>
  </si>
  <si>
    <t>27-Jan-2025  01:00 PM</t>
  </si>
  <si>
    <t>27-Jan-2025  01:30 PM</t>
  </si>
  <si>
    <t>RTGS / DD / Internet Banking</t>
  </si>
  <si>
    <t>Corr._Date_Ext.- 16-Jan
Corr._Updt_RFP_&amp;_Dt_Ext.- 04-Jan,</t>
  </si>
  <si>
    <t>02-Dec-2024  10:00 AM</t>
  </si>
  <si>
    <t>22-Jan-2025  12:00 PM</t>
  </si>
  <si>
    <t>22-Jan-2025  12:30 PM</t>
  </si>
  <si>
    <t xml:space="preserve">Corr.Revised RFP- 15-Jan, 14-Jan
Corr._Dt_Ext.- 13-Dec, 30-Dec, 16-Dec
Corr._Changes- 20-Dec
Corr._Query_Resp- 18-Dec
</t>
  </si>
  <si>
    <t>PQ- N2D
Payment -  OK</t>
  </si>
  <si>
    <t>18-Dec-2024  04:00 PM</t>
  </si>
  <si>
    <t>22-Jan-2025 03:00 PM</t>
  </si>
  <si>
    <t>22-Jan-2025 03:30 PM</t>
  </si>
  <si>
    <t>Corr._Changes- 02-Jan
Corr._Date_Ext.- 16-Jan, 31-Dec</t>
  </si>
  <si>
    <t>Raipur CHiPS State Data
Centre Chhattisgarh</t>
  </si>
  <si>
    <t>08-Nov-2024  03:00 PM</t>
  </si>
  <si>
    <t>13-Nov-2024  03:00 PM</t>
  </si>
  <si>
    <t>12-Nov-2024  03:00 PM</t>
  </si>
  <si>
    <t>21-Jan-2025  05:00 PM</t>
  </si>
  <si>
    <t>22-Jan-2025  06:00 PM</t>
  </si>
  <si>
    <t>Corr._Clarification _&amp; BOQ- 16-Jan, 09-Jan
Corr._BOQ Update - 16-Jan, 06-Jan
Corr._Date_Ext.- 14-Jan, 01-Jan, 23-Dec
Corr._Clarification- 06-Jan, 01-Jan, 09-Dec
Corr._Date_Ext.&amp; BOQ Update - 06-Jan, 01-Jan, 09-Dec
Corr.-Pre- Bid_Dt_Ext.- 08-Nov</t>
  </si>
  <si>
    <t>Sent Queries attend meeting , waiting for Response
PQ- NQ in PQ- 2 &amp; 3
Payment - OK</t>
  </si>
  <si>
    <t>17-Jan-2025 04:00 PM</t>
  </si>
  <si>
    <t>17-Jan-2025 04:30 PM</t>
  </si>
  <si>
    <t>PBG/DD</t>
  </si>
  <si>
    <t>Corr._Reviesed_RFP- 08-Jan
Corr._Date_Ext.- 08-Jan, 06-Jan</t>
  </si>
  <si>
    <t>PQ- Qualify by TISPL &amp; SISPL
Payment -  Good (68-32)</t>
  </si>
  <si>
    <t>18-Nov-2024  10:00 AM</t>
  </si>
  <si>
    <t>02-Dec-2024  06:00 PM</t>
  </si>
  <si>
    <t>17-Jan-2025  12:00 PM</t>
  </si>
  <si>
    <t>17-Jan-2025  12:30 PM</t>
  </si>
  <si>
    <t xml:space="preserve">Corr._Changes- 13-Jan, 09-Jan
Corr._Date_Ext.- 04-Dec, 27-Dec, 14-Dec, 26-Nov, </t>
  </si>
  <si>
    <t>Lt Col Anoop Sir Infantry
+91 70285 40009</t>
  </si>
  <si>
    <t xml:space="preserve"> 01-Jan-2025 05:00 PM</t>
  </si>
  <si>
    <t xml:space="preserve"> 02-Jan-2025 03:00 PM</t>
  </si>
  <si>
    <t xml:space="preserve"> 16-Jan-2025  05:00 PM</t>
  </si>
  <si>
    <t xml:space="preserve"> 17-Jan-2025 12:00 PM</t>
  </si>
  <si>
    <t>13-Jan-2025 04:00 PM</t>
  </si>
  <si>
    <t>14-Jan-2025 04:30 PM</t>
  </si>
  <si>
    <t>Corr._Updt_BOQ- 02-Jan</t>
  </si>
  <si>
    <t>PQ- Qualify by Only TISPL
Under Technical Discussion
Payment - OK</t>
  </si>
  <si>
    <t>13-Jan-2025 02:00 PM</t>
  </si>
  <si>
    <t>13-Jan-2025 02:30 PM</t>
  </si>
  <si>
    <t>Net banking / NEFT/ RTGS</t>
  </si>
  <si>
    <t>Corr._Revised_RFP &amp; Dt Ext.- 27-Dec</t>
  </si>
  <si>
    <t>15-Jan-2025 05:00 PM</t>
  </si>
  <si>
    <t>16-Jan-2025 11:00 AM</t>
  </si>
  <si>
    <t xml:space="preserve"> 05-Feb-2025 03:00 PM</t>
  </si>
  <si>
    <t xml:space="preserve"> 06-Feb-2025 03:30 PM</t>
  </si>
  <si>
    <t>PQ- OK
TQ- Loosing marks in TQ-A3 &amp; B2
Payment -  OK</t>
  </si>
  <si>
    <t xml:space="preserve"> 23-Dec-2024 04:00 PM</t>
  </si>
  <si>
    <t xml:space="preserve"> 11-Jan-2025 04:00 PM</t>
  </si>
  <si>
    <t xml:space="preserve"> 13-Jan-2025 04:00 PM</t>
  </si>
  <si>
    <t>RTGS/Online</t>
  </si>
  <si>
    <t>Corr._Date_Ext. &amp; Tech._Chngs- 06-Jan, 26-Dec</t>
  </si>
  <si>
    <t>Bhopal SDRF Home Department
DSLR Camera GEM</t>
  </si>
  <si>
    <t>Q/NQ</t>
  </si>
  <si>
    <t>10-Jan-2024  05:00 PM</t>
  </si>
  <si>
    <t>10-Jan-2024  05:30 PM</t>
  </si>
  <si>
    <t>Repr- 06-Jan</t>
  </si>
  <si>
    <t>Under Technical Discussion
PQ- Qualify by TISPL &amp; SISPL
Payment -  OK</t>
  </si>
  <si>
    <t>10-Jan-2024  06:00 PM</t>
  </si>
  <si>
    <t>10-Jan-2024  06:30 PM</t>
  </si>
  <si>
    <t>Banker’s Cheque/DD/FDR</t>
  </si>
  <si>
    <t>Corr._Date_Ext.- 26-Dec
Corr._Changes- 20-Dec</t>
  </si>
  <si>
    <t>30-Dec-2024 11:00 AM</t>
  </si>
  <si>
    <t>30-Dec-2024 11:30 AM</t>
  </si>
  <si>
    <t>Corr._Changes- 16-Dec</t>
  </si>
  <si>
    <t>28-Dec-2024  01:00 PM</t>
  </si>
  <si>
    <t>28-Dec-2024  01:30 PM</t>
  </si>
  <si>
    <t>23-Jul-2024
12:00 PM</t>
  </si>
  <si>
    <t>26-Dec-2024 02:00 PM</t>
  </si>
  <si>
    <t>27-Dec-2024 04:00 PM</t>
  </si>
  <si>
    <t>Corr._Date_Ext.- 17-Dec, 05-Dec, 28-Nov, 19-Nov, 07-Nov,, 25-Oct, 15-Oct, 04-Oct,  19-Sep, 10-Sep, 28-Aug, 16-Aug, 06-Aug
Corr._POC _Date_Ext.-  13-Sep-2024
Corr._Invite_for _POC- 06-Sep-2023</t>
  </si>
  <si>
    <t>Sent Queries attend meeting , waiting for Response
PQ- Not Qualify in PQ- 2.3 &amp; 2.7
Payment - Ok</t>
  </si>
  <si>
    <t>Corr._Date_Ext.- 17-Dec, 05-Dec, 28-Nov, 19-Nov, 07-Nov, 25-Oct, 15-Oct, 04-Oct,  19-Sep, 10-Sep, 28-Aug, 16-Aug, 06-Aug
Corr._POC _Date_Ext.-  13-Sep-2024
Corr._Invite_for _POC- 06-Sep-2024</t>
  </si>
  <si>
    <t xml:space="preserve">06-Dec-2024
03:00 PM </t>
  </si>
  <si>
    <t>24-Dec-2024 03:00 PM</t>
  </si>
  <si>
    <t>24-Dec-2024 04:00 PM</t>
  </si>
  <si>
    <t>Corr._Query Resp- 19-Dec</t>
  </si>
  <si>
    <t>PQ- Qualify by TISPL &amp; SISPL
TQ- Qualify by TISPL &amp; SISPL
Payment -  OK</t>
  </si>
  <si>
    <t>Mubarak IT Officer NN GZB
+91 81780 18385</t>
  </si>
  <si>
    <t>Bhopal MP Police RHQ CCTV Replacement System</t>
  </si>
  <si>
    <t>28-Nov-2024 05:00 PM</t>
  </si>
  <si>
    <t>02-Dec-2024 12:00 PM</t>
  </si>
  <si>
    <t>24-Dec-2024 05:10 PM</t>
  </si>
  <si>
    <t>Corr._Query Resp- 10-Dec
Corr._Date_Ext.- 05-Dec</t>
  </si>
  <si>
    <t>PQ- Qualify by TISPL
Payment -  OK
Location- 1659  stations</t>
  </si>
  <si>
    <t>25-Nov-2024
11:30 AM</t>
  </si>
  <si>
    <t>21-Dec-2024 05:00 PM</t>
  </si>
  <si>
    <t>23-Dec-2024 11:30 AM</t>
  </si>
  <si>
    <t>Corr._Dt_Ext.- 17-Dec, 04-Dec
Corr._Changes- 30-Nov</t>
  </si>
  <si>
    <t>PQ- Not Qualify
Payment -  OK</t>
  </si>
  <si>
    <t>Additional Secretary - 94544 57246</t>
  </si>
  <si>
    <t>27-Nov-2024 12:00 PM</t>
  </si>
  <si>
    <t>12-Dec-2024 06:00 PM</t>
  </si>
  <si>
    <t>13-Dec-2024 06:00 PM</t>
  </si>
  <si>
    <t>PQ- Qualify by TISPL,  SISPL &amp; Infobase
Payment -  N2D</t>
  </si>
  <si>
    <t xml:space="preserve"> 14-Nov-2024  03:30 AM</t>
  </si>
  <si>
    <t>05-Dec-2024 03:30 PM</t>
  </si>
  <si>
    <t>06-Dec-2024 12:00 PM</t>
  </si>
  <si>
    <t>PQ- NQ in PQ- 6
Payment - OK</t>
  </si>
  <si>
    <t>25-Nov-2024 03:00 PM</t>
  </si>
  <si>
    <t>25-Nov-2024 03:30 PM</t>
  </si>
  <si>
    <t>Corr._Date_Ext.- 11-Nov, 01-Nov, 22-Oct, 08-Oct,23-Sep,10-Sep
Corr.2_Query Rpl- 22-Oct
Corr.1_Query Rpl- 23-Sep</t>
  </si>
  <si>
    <t>PQ- 10 Not Qualify by TISPL &amp; SISPL
Payment -  OK</t>
  </si>
  <si>
    <t>23-Oct-2024</t>
  </si>
  <si>
    <t>22-Oct-2024
03:30 PM</t>
  </si>
  <si>
    <t>21-Nov-2024 06:00 PM</t>
  </si>
  <si>
    <t>22-Nov-2024 04:00 PM</t>
  </si>
  <si>
    <t>BG/ DD/ Banker’s Cheque</t>
  </si>
  <si>
    <t>Corr._Query Rpl- 14-Nov
Corr._Date_Ext.- 12-Nov
Corr._Query Rpl &amp; Revised RFP- 30-Oct</t>
  </si>
  <si>
    <t>PQ- Qualify by TISPL 
Payment -  OK
Under Technical Discussion for Location and others</t>
  </si>
  <si>
    <t>26-Aug-2024</t>
  </si>
  <si>
    <t>29-Aug-2024 12:00 PM</t>
  </si>
  <si>
    <t>19-Nov-2024 04:30 PM</t>
  </si>
  <si>
    <t>20-Nov-2024 04:30 PM</t>
  </si>
  <si>
    <t>Corr._Pre-Bid_Rezsponse- 14-Nov. 13-Nov
Corr._Date_Ext.- 24-Oct-24, 25-Sep-24</t>
  </si>
  <si>
    <t xml:space="preserve">PQ- Qualify by TISPL  &amp; SISPL
Payment -  OK </t>
  </si>
  <si>
    <t>18-Nov-2024  09:00 PM</t>
  </si>
  <si>
    <t>18-Nov-2024  09:30 PM</t>
  </si>
  <si>
    <t>Corr._Revised RFP &amp; Date_Ext.- 11-Nov</t>
  </si>
  <si>
    <t xml:space="preserve">PQ- Qualify by TISPL  &amp; SISPL
Payment -  Good (80-20) </t>
  </si>
  <si>
    <t>16-Nov-2024 12:00 PM</t>
  </si>
  <si>
    <t>16-Nov-2024 12:30 PM</t>
  </si>
  <si>
    <t>DD/Banker’s Cheque/FDR</t>
  </si>
  <si>
    <t>Corr._Query Rpl &amp; Date_Ext.- 11-Nov</t>
  </si>
  <si>
    <t>Qualify by TISPL &amp; SISPL
Need to Send Queries for Payment Timelines and other</t>
  </si>
  <si>
    <t>09-Nov-2024 04:00 PM</t>
  </si>
  <si>
    <t>11-Nov-2024 02:00 PM</t>
  </si>
  <si>
    <t>DD/NEFT/ RTGS</t>
  </si>
  <si>
    <t>Corr._Date_Ext.- 06-Nov, 29-Oct</t>
  </si>
  <si>
    <t>PQ- Qualify by TISPL  &amp; SISPL
Payment -  Good (75-25)</t>
  </si>
  <si>
    <t>18-Sep-2024
3:00 PM</t>
  </si>
  <si>
    <t>11-Sep-2024 12:00 PM</t>
  </si>
  <si>
    <t>05-Nov-2024 03:00 PM</t>
  </si>
  <si>
    <t>06-Nov-2024 03:00 PM</t>
  </si>
  <si>
    <t>Corr._Amnd_Tech_Specs- 24-Oct-24
Corr._Dt_Ext.-  21-Oct-24, 08-Oct-24
Corr._Changes-  14-Oct-24
'Corr.2_EMD in BG- 25-Sep-, 24
Corr._Query Rpl - 25-Sep-24
Corr.- Queries Date_Ext.- 12-Sep-24</t>
  </si>
  <si>
    <t>PQ- NQ
Payment -  N2D</t>
  </si>
  <si>
    <t>ONGC Workstations Switches Servers GEM RA</t>
  </si>
  <si>
    <t>17-Sep-2024  11:00 AM</t>
  </si>
  <si>
    <t>23-Oct-2024  03:00 PM</t>
  </si>
  <si>
    <t>23-Oct-2024  03:30 PM</t>
  </si>
  <si>
    <t>BG/ NEFT/ RTGS/ IMPS</t>
  </si>
  <si>
    <t>Corr._Date_Ext.- 14-Oct-24
Corr.- Revised ATC- 09-Oct, 07-Oct, 06-Sep</t>
  </si>
  <si>
    <t xml:space="preserve">PQ- Qualify by TISPL 
Payment -  Good (70-30)
</t>
  </si>
  <si>
    <t>23-Oct-2024  09:00 AM</t>
  </si>
  <si>
    <t>23-Oct-2024  09:30 AM</t>
  </si>
  <si>
    <t>Corr._Date_Ext.- 10-Oct-24</t>
  </si>
  <si>
    <t xml:space="preserve">Qualify by TISPL , SISPL &amp; Infobase
Payment - Good
</t>
  </si>
  <si>
    <t>21-Oct-2024 06:00 PM</t>
  </si>
  <si>
    <t>23-Oct-2024 11:30 AM</t>
  </si>
  <si>
    <t xml:space="preserve">PQ- NQ
Payment -  Good (80-20) 
</t>
  </si>
  <si>
    <t>Chennai AAI Servers Storage &amp; Networking RA GEM</t>
  </si>
  <si>
    <t>21-Oct-2024  07:00 PM</t>
  </si>
  <si>
    <t>21-Oct-2024  07:30 PM</t>
  </si>
  <si>
    <t>Corr.- Tech Changes- 04-Oct-24</t>
  </si>
  <si>
    <t>15-Oct-2024 11:00 AM</t>
  </si>
  <si>
    <t>15-Oct-2024 11:30 AM</t>
  </si>
  <si>
    <t>Corr._Date_Ext.- 08-Oct-2024 
Corr._Date_Ext.- 17-Sep-2024
Corr._Date_Ext.- 10-Sep-2024
Corr._Date_Ext.- 20-Aug-2024
Corr._Date_Ext.- 31-Jul-2024</t>
  </si>
  <si>
    <t>Qualification - NQ as SI 
Under Technical discussion  with OEM
Payment -  OK</t>
  </si>
  <si>
    <t>04-Sep-2024
11:30 AM</t>
  </si>
  <si>
    <t>15-Oct-2024 06:00 PM</t>
  </si>
  <si>
    <t>17-Oct-2024 11:30 AM</t>
  </si>
  <si>
    <t>Corr._clarifications- 04-Oct-2024</t>
  </si>
  <si>
    <t xml:space="preserve">Qualify by TISPL 
Payment - Good (80-20)
Location - 226, BoQ- Enclosed, </t>
  </si>
  <si>
    <t>09-Sep-2024
11:30 AM</t>
  </si>
  <si>
    <t>16-Oct-2024 11:30 AM</t>
  </si>
  <si>
    <t>Corr.- Clarification-  24-Sep-2024
Corr.- Query Rpl &amp; Date Ext-  24-Sep-2024</t>
  </si>
  <si>
    <t>PQ- Qualify by TISPL 
Payment -  Good (80-20)
BoQ- Enclosed</t>
  </si>
  <si>
    <t>08-Oct-2024  06:00 PM</t>
  </si>
  <si>
    <t>08-Oct-2024  06:30 PM</t>
  </si>
  <si>
    <t>PQ- Qualify by TISPL &amp; SISPL, Bid by SISPL
Payment -  Good (80-20)
BoQ- Enclosed</t>
  </si>
  <si>
    <t>08-Oct-2024  8:00 PM</t>
  </si>
  <si>
    <t>08-Oct-2024  8:30 PM</t>
  </si>
  <si>
    <t>PQ- Qualify by TISPL &amp; SISPL, Bid by SISPL
Payment -  Good (70-30)
BoQ- Enclosed</t>
  </si>
  <si>
    <t>26-Aug-2024 12:00 PM</t>
  </si>
  <si>
    <t>29-Aug-2024 03:00 PM</t>
  </si>
  <si>
    <t>25-Sep-2024 03:00 PM</t>
  </si>
  <si>
    <t>26-Sep-2024 03:00 PM</t>
  </si>
  <si>
    <t>Corr._Date_Ext.- 18-Sep-2024
Corr._Date_Ext.- 04-Sep-2024
Corr._Pre- Bid_Date_Ext.- 22-Aug-2024</t>
  </si>
  <si>
    <t>Queries sent waiting for Response
PQ- NQ in PQ- 04
Payment -</t>
  </si>
  <si>
    <t>03-Sep-2024  12:00 PM</t>
  </si>
  <si>
    <t>18-Sep-2024 06:00 PM</t>
  </si>
  <si>
    <t>18-Sep-2024 06:30 PM</t>
  </si>
  <si>
    <t>Qualify by TISPL
Payment - Not Given
BoQ- Enclosed</t>
  </si>
  <si>
    <t>06-Aug-2024 05:00 PM</t>
  </si>
  <si>
    <t>18-Sep-2024 03:00 PM</t>
  </si>
  <si>
    <t>20-Sep-2024 11:30 AM</t>
  </si>
  <si>
    <t>Corr-3.-Query Reply- 04-Sep-2024
Corr.-2- Date_Ext.- 04-Sep-2024
Corr.1- Date_Ext.- 20-Aug-2024</t>
  </si>
  <si>
    <t>Qualify by TISPL &amp; SISPL
Payment - Good
BoQ- Enclosed</t>
  </si>
  <si>
    <t>Sunil Gagneja Panchkula IT Section
91 94174 50480</t>
  </si>
  <si>
    <t>17-Sep-2024 01:00 PM</t>
  </si>
  <si>
    <t>17-Sep-2024 01:30 PM</t>
  </si>
  <si>
    <t>RTGS</t>
  </si>
  <si>
    <t>Corr.- Date_Ext.- 11-Sep-2024
Corr.- Revised ATC- 05-Sep-2024
Corr.- Revised ATC- 04-Sep-2024
Corr.- Date_Ext.- 04-Sep-2024</t>
  </si>
  <si>
    <t>Qualify by  TISPL &amp; SISPL
Payment - Good
BoQ- Enclosed</t>
  </si>
  <si>
    <t>0522-6692000 , 001 directordrmlims@gmail.com , director@drmlims.ac.in</t>
  </si>
  <si>
    <t>02-Sep-2024  5:00 PM</t>
  </si>
  <si>
    <t>03-Sep-2024  10:00 AM</t>
  </si>
  <si>
    <t>12-Sep-2024  5:00 PM</t>
  </si>
  <si>
    <t>12-Sep-2024  5:30 PM</t>
  </si>
  <si>
    <t>PQ- N2D PQ- 1
Payment -  OK 
BoQ- Enclosed</t>
  </si>
  <si>
    <t>12-Sep-2024 3:00 PM</t>
  </si>
  <si>
    <t>12-Sep-2024 3:30 PM</t>
  </si>
  <si>
    <t>Corr.- Changes- 30-Aug-2024
Corr.- Date_Ext.- 28-Aug-2024
Corr.- Tech._Changes- 13-Aug-2024
Corr.- Date_Ext.- 13-Aug-2024</t>
  </si>
  <si>
    <t>Sh Lalit Mohan Pant, Dy. Director
Email id - lmpant@ignou.ac.in , 9891566022
Sh. Pankaj Kumar Deputy Director
Email- krpankaj@ignou.ac.in , 9868258158
Sh. Bhaskar Tripathi Assistant Director (S/w)
Email - bhaskartripathi@ignou.ac.in</t>
  </si>
  <si>
    <t>14-Aug-2024 05:30 PM</t>
  </si>
  <si>
    <t>16-Aug-2024 11;30 AM</t>
  </si>
  <si>
    <t>07-Sep-2024 05:30 PM</t>
  </si>
  <si>
    <t>11-Sep-2024  11:00 AM</t>
  </si>
  <si>
    <t>CC/DD/NEFT/OTC</t>
  </si>
  <si>
    <t>Corr._Pre- Bid_Reply 28-Aug-2024
Corr._ADDENDUM- 28-Aug-2024
Corr._Date_Ext.- 27-Aug-2024</t>
  </si>
  <si>
    <t>PQ- NQ in PQ-G &amp; H
Payment - OK
Location-  Delhi</t>
  </si>
  <si>
    <t>20-08-2024  12:00 PM</t>
  </si>
  <si>
    <t>02-Sept-2024  5:00 PM</t>
  </si>
  <si>
    <t>02-Sept-2024  5:30 PM</t>
  </si>
  <si>
    <t>02-Sep-2024 05:30 PM</t>
  </si>
  <si>
    <t>04-Sep-2024  11:00 AM</t>
  </si>
  <si>
    <t>Corr._Date_Ext.- 31-Aug-2024
Corr._Pre- Bid_Reply 28-Aug-2024
Corr._ADDENDUM- 28-Aug-2024
Corr._Date_Ext.- 27-Aug-2024</t>
  </si>
  <si>
    <t>PQ- NQ in PQ-G
Payment - OK
Location-  Delhi</t>
  </si>
  <si>
    <t>04-Jul-2024 05:00 PM</t>
  </si>
  <si>
    <t>10-Jul-2024
04:00 PM</t>
  </si>
  <si>
    <t>29-Aug-2024 05:00 PM</t>
  </si>
  <si>
    <t>30-Aug-2024 04:30 PM</t>
  </si>
  <si>
    <t>Corr._Date_Ext.- 21-Aug-2024
Corr._Revised BOQ- 17-Aug-2024
Corr._Date_Ext.- 05-Aug-2024
Corr._Reference Drawings- 27-Jul-2024
Corr._Query Reply- 26-Jul-2024
Corr._Date_Ext.- 15-Jul-2024</t>
  </si>
  <si>
    <t>Shri Manoj Kumar Singh
Mobile +91- 522-4004523/ +91- 522-4004527, 
+91-522-2307542/ +91-522-2307592
Email ID-  upeida2@gmail.com</t>
  </si>
  <si>
    <t>18-Jul-2024
06:00PM</t>
  </si>
  <si>
    <t>19-Jul-2024
01:00PM</t>
  </si>
  <si>
    <t>28-Aug-2024 03:30 PM</t>
  </si>
  <si>
    <t>Corr._Date_Ext.- 21-Aug-2024
Corr._Date_Ext.- 14-Aug-2024
Corr._Date_Ext.- 05-Aug-2024
Corr._Date_Ext.- 29-Jul-2024
Corr.-1 Query Response- 25-Jul-2024 
Corr._Pre_Bid Reply - 25-Jul-2024</t>
  </si>
  <si>
    <t>PQ- NQ by TISPL
TQ-  NQ
Payment - Ok</t>
  </si>
  <si>
    <t>Tel: 0651-2401044
Email: ceo.japit@jharkhandmail.gov.in</t>
  </si>
  <si>
    <t>21-Aug-2024 06:00 PM</t>
  </si>
  <si>
    <t>21-Aug-2024 06:30 PM</t>
  </si>
  <si>
    <t>BG or DD</t>
  </si>
  <si>
    <t>Corr._Date_Ext.-12-Aug-2024
Corr._Technical- 04-Aug-2024
Corr._Date_Ext.- 29-Jul-2024
Corr._Date_Ext.- 18-Jul-2024</t>
  </si>
  <si>
    <t>PQ- Not Qualify in PQ- 2 &amp; 3 
Payment - Ok
BoQ - Enclosed</t>
  </si>
  <si>
    <t>Mr R P Singh UPNEDA
‎+91 94156 09014</t>
  </si>
  <si>
    <t>06-06-2023  12:00 PM</t>
  </si>
  <si>
    <t>19-Aug-2024 4:00 PM</t>
  </si>
  <si>
    <t>19-Aug-2024 4:30 PM</t>
  </si>
  <si>
    <t>DD/ FDR/ BG</t>
  </si>
  <si>
    <t>Corr.- Date_Ext.- 06-Aug-2024
Corr.- Date_Ext.- 23-Jul-2024
Corr._Pre Bid Reply- 25-Jun-2024
Corr.- Date_Ext.- 25-Jun-2024
Corr.- Date_Ext.-  20-Nov-2023
Corr.- Date_Ext.- 01-Nov-2023
Corr._Pre Bid Reply- 04-Oct-2023
Corr.- Date_Ext.- 04-Oct-2023
Corr.- Date_Ext.- 26-Jun-2023</t>
  </si>
  <si>
    <t>PQ- Qualify by TISPL
Payment -  OK
BoQ - Enclosed
Location List - Enclosed</t>
  </si>
  <si>
    <t>06-06-2023  1:00 PM</t>
  </si>
  <si>
    <t>Corr.- Date_Ext.- 06-Aug-2024
Corr.- Date_Ext.- 23-Jul-2024
Corr._Pre Bid Reply- 25-Jun-2024
Corr._Pre Bid Reply- 25-Jun-2024
Corr.- Date_Ext.- 25-Jun-2024
Corr.- Date_Ext.-  20-Nov-2023
Corr.- Date_Ext.- 01-Nov-2023
Corr._Pre Bid Reply- 04-Oct-2023
Corr.- Date_Ext.- 04-Oct-2023
Corr.- Date_Ext.- 26-Jun-2024</t>
  </si>
  <si>
    <t>PQ-  Qualify by TISPL
Payment -  OK
BoQ - Enclosed
Location List - Enclosed</t>
  </si>
  <si>
    <t xml:space="preserve">Faridabad Municipal Corporation VMD Haryana </t>
  </si>
  <si>
    <t>16-Aug-2024 06:00 PM</t>
  </si>
  <si>
    <t>17-Aug-2024 11:00 AM</t>
  </si>
  <si>
    <t>PQ- Qualify by TISPL  &amp; SISPL 
Payment -  OK
BoQ - Enclosed</t>
  </si>
  <si>
    <t>Sh. Jitender Kumar, IAS (Commissioner)
0129-2416464, 0129-2416465 
Email- cmc.mcfbd@gmail.com</t>
  </si>
  <si>
    <t>08-Aug-2024  4:00 PM</t>
  </si>
  <si>
    <t>08-Aug-2024  4:30 PM</t>
  </si>
  <si>
    <t>Corr._Chng &amp; Revised RFP- 31-Jul-2024
Corr._Date_Ext.- 31-Jul-2024
Corr._Representation- 29-Jul-2024
Corr._Chng &amp; Revised RFP- 24-Jul-2024</t>
  </si>
  <si>
    <t xml:space="preserve">Not Qualified as Lead Bidder
PQ- N2D PQ-7 
TQ- 63 Marks out of 80 Markss &amp; 20 Marks are Subj
Payment - OK </t>
  </si>
  <si>
    <t xml:space="preserve">Assistant General Manager(Vig.) Sunil Kumar	
Phone Number	 - 011-43527413 Email - mvig.fci@gov.in
</t>
  </si>
  <si>
    <t>05-Apr-2024  05:00 PM</t>
  </si>
  <si>
    <t>02-Apr-2024 11:30 AM</t>
  </si>
  <si>
    <t>07-Aug-2024 03:00 PM</t>
  </si>
  <si>
    <t xml:space="preserve">Corr.-Amendment &amp; Add - 23-Jul-2024
Corr.-Pre bid Reply-23-Jul-2024
Corr.-7 Date_Ext.- 22-Jul-2024
Corr.-6 Date_Ext.- 09-Jul-2024
Corr.-5 Date_Ext.- 24-Jun-2024
Corr._Pre-Bid Reply - 11-Jun-2024
Corr._Amendment &amp;Add- 11-Jun
Corr.-4 Date_Ext.- 11-Jun-2024
Corr.-3 Date_Ext.- 24-May-2024 
Corr.-2 Date_Ext.- 09-May-2024
Corr. Date_Ext.- 23-Apr-2024 </t>
  </si>
  <si>
    <t>'Bid by Delhi Team
PQ Status- Qualified by TISPL
Payment -  OK</t>
  </si>
  <si>
    <t>Sh. A. Sreenivas, IAS Chief Executive Officer 
0124-2392611 or 0124-2392711 ceo.gmda@gov.in
Sh. Rakesh Gupta Head IT 0124-2746615 9871990037</t>
  </si>
  <si>
    <t>28-May-2024 05:00 PM</t>
  </si>
  <si>
    <t>27-May-2024 11:00 AM</t>
  </si>
  <si>
    <t>06-Aug-2024 06:00 PM</t>
  </si>
  <si>
    <t>07-Aug-2024 05:00 PM</t>
  </si>
  <si>
    <t>Offline (BG)</t>
  </si>
  <si>
    <t>Corr._Date_Ext.- 19-Jul-2024
Corr._Typo_Error- 11-Jul-2024
Corr._Pre-Bid Reply -  03-Jul-2024
Corr._Date_Ext.- 01-07-2024
Corr._Start_Date_Ext.- 05-06-2024
Corr._Quer_Subm_Dt_Ext.- 28-05-2024</t>
  </si>
  <si>
    <t>PQ- Qualified by TISPL
TQ-  Qualified by TISPL
Payment- OK</t>
  </si>
  <si>
    <t>31-07-2024
1:00 PM</t>
  </si>
  <si>
    <t>31-07-2024
1:30 PM</t>
  </si>
  <si>
    <t>PQ Status- Qualified by SISPL
Payment- OK</t>
  </si>
  <si>
    <t>Nagpur Camera Western Coalfields Limited GEM (RA)</t>
  </si>
  <si>
    <t>01-07-2024 12:00 PM</t>
  </si>
  <si>
    <t>01-07-2024 12:30 PM</t>
  </si>
  <si>
    <t>Corr._Date_Ext.- 20-Jun-2024
Corr._Tech._Chng-&amp; Date_Ext. - 05-June
Corr._Date_Ext. &amp; Tech. Chng- 21-05-24
Spcfn for Query Reply on 16-05-2024
Corr._Date_Ext. and some Technical Changes on 11-05-2024</t>
  </si>
  <si>
    <t>PQ Status- Qualified by TISPL 
Payment -  OK
Location - Nagpur</t>
  </si>
  <si>
    <t>Nagpur city NMCN IITMS  Maharashtra</t>
  </si>
  <si>
    <t>13-Mar-2024 05:00 PM</t>
  </si>
  <si>
    <t>19-Mar-2024  10:33 AM</t>
  </si>
  <si>
    <t>27-Jun-2024 03:00 PM</t>
  </si>
  <si>
    <t>01-Jul-2024 05:30 PM</t>
  </si>
  <si>
    <t>Corr.-7 Date_Ext.- 20-Jun-2024
Corr.-6 Date_Ext.- 05-Jun-2024
Corr.-5_Chng_Ann.5_Loc. 31-May-2024
Corr.-4 Date_Ext. &amp; Changes in Project Timelines &amp; Deliverables- 17-05-2024
Corr.-3 for changes- 29-Apr-2024
Corr._Date_Ext.- 25-Apr-2024
PRE BID Queries and clarification (CSD) 04-Apr-2024 02:37 PM
Corr._Date_Ext.- 03-Apr-2024 07:47 PM</t>
  </si>
  <si>
    <t xml:space="preserve">PQ - OK 
TQ- Challenge in TQ-3
OEM PQ - Yes
Payment -  OK
</t>
  </si>
  <si>
    <t>20-Mar-2024  
3:00 PM</t>
  </si>
  <si>
    <t>27-Jun-2024 04:00 PM</t>
  </si>
  <si>
    <t>27-Jun-2024 4:30 PM</t>
  </si>
  <si>
    <t xml:space="preserve">Corr._Query_Reply- 25-06-2024
Corr._Changes -20-06-2024
Corr._Date_Ext.- 19-06-2024
Corr._Query_Reply- 18-06-2024
Corr._Query_Response- 13-06-2024
Corr._Date_Ext.- 27-05-2024
Corr._Changes &amp; Date_Ext.-22-05-2024
Corr._for_Changes-13-05-2024
Corr._Date_Ext.-  10-05-2024
Corr._Date_Ext.-  08-04-2024 </t>
  </si>
  <si>
    <t xml:space="preserve">Not -Qualified as  Lead Bidder
PQ- NQ in PQ 4  point s
TQ- NQ in TQ 1 , 63 Marks out of 80 Marks
Payment - N2D
Location- New Delhi (List Enclosed)
</t>
  </si>
  <si>
    <t>25-Jun-2024 05:00 PM</t>
  </si>
  <si>
    <t>28-Jun-2024 01:00 PM</t>
  </si>
  <si>
    <t>PQ- NQ 
TQ- NQ
Payment - OK</t>
  </si>
  <si>
    <t>13-Jun-2024 05:30 PM</t>
  </si>
  <si>
    <t>14-Jun-2024  1:00 PM</t>
  </si>
  <si>
    <t>25-Jun-2024 05:30 PM</t>
  </si>
  <si>
    <t>26-Jun-2024 05:30 PM</t>
  </si>
  <si>
    <t>Corr.5_Changes-- 22-06-2024
Corr.4_Date_Ext.- 22-Jun-2024
'Corri.-3_ Prebid_Reply- 19-06-24
Corri.-2_ Prebid_Reply- 19-06-24
Corri.1_ Prebid_Dt &amp; Mode 12-06-24</t>
  </si>
  <si>
    <t>PQ- Challenge in PQ- B &amp; E
TQ- 45 Marks out of 70 &amp; rest 30 Marks are Subjectv
Payment - OK</t>
  </si>
  <si>
    <t>24-Jun-2024 12:00 PM</t>
  </si>
  <si>
    <t>25-Jun-2024 03:00 PM</t>
  </si>
  <si>
    <t>PQ- Qualify byTISPL
Payment- OK
BoQ - Enclosed</t>
  </si>
  <si>
    <t>31-03-2024
05:00 PM</t>
  </si>
  <si>
    <t>08-Apr-2024
11:00 AM</t>
  </si>
  <si>
    <t>08-Jun-2024 04:00 PM</t>
  </si>
  <si>
    <t>08-Jun-2024 05:00 PM</t>
  </si>
  <si>
    <t>Corr._for_changes on 20-05-2024
Corr. Date_Ext.- 15-Apr-2024</t>
  </si>
  <si>
    <t>Send Letter for Clarrification and Changes 
PQ- Not Qualified 
Payment - OK
Location-  Gorakhpur</t>
  </si>
  <si>
    <t>03-05-2024  11:00 AM</t>
  </si>
  <si>
    <t>24-May-2024  11:00 AM</t>
  </si>
  <si>
    <t>24-May-2024  11:30 AM</t>
  </si>
  <si>
    <t>24,00,000</t>
  </si>
  <si>
    <t xml:space="preserve">PQ- Qualified 
Payment - OK
Location - Kolkata
Penalty -Encolsed
BOQ- Enclosed
</t>
  </si>
  <si>
    <t>21-May-2024  3:00 PM</t>
  </si>
  <si>
    <t>21-May-2024  3:30 PM</t>
  </si>
  <si>
    <t>8,82,600</t>
  </si>
  <si>
    <t>Corrigendum for Date Extension on 14-May-2024
Corrigendum-2 for Changes  on 06-May-2024
Corrigendum-1 for Changes on 06-May-2024
 Corrigendum for Date Extension on 06-May-2024
Corrigendum for Date Extension on 30-Apr-2024</t>
  </si>
  <si>
    <t xml:space="preserve">Bid by Delhi Team
PQ- N2D PQ 2 
Payment - Good
Location- Gurgaon
Penalty -Encolsed
BOQ- Enclosed
</t>
  </si>
  <si>
    <t>22-02-2024  5:00 PM</t>
  </si>
  <si>
    <t>27/02/2024 11:00 am</t>
  </si>
  <si>
    <t>15-May-2024 03:00 PM</t>
  </si>
  <si>
    <t>16-May-2024 03:30 PM</t>
  </si>
  <si>
    <t xml:space="preserve">1,00,00,000	</t>
  </si>
  <si>
    <t>Reply to additional Pre Bid Queries on 09-04-2024 Corrigendum-7 for Date Extension on 09-04-2024 
Corrigendum-6 for Due Date Extenion on 30-04-2024
Corrigendum 5 Pre-Bid  Reply &amp; Changes on 22-Apr-2024
Corrigendum 4 EXTENSION OF BID DUE DATE on 18-Apr-2024
CORRIGENDUM 3	EXTENSION OF BID DUE DATE	08-Apr-2024
Corrigendum II for DUE DATE EXTENSION om 22-Mar-2024 CORRIGENDUM I FOR BID DUE DATE EXTENSION 11-Mar-2024</t>
  </si>
  <si>
    <t>PQ  Status-  PQ 5 Not Qualified 
Payment terms - OK
SLA- Enclosed
Location - Delhi &amp; Uttar Pradesh</t>
  </si>
  <si>
    <t>27-Mar-2024
03:30 PM</t>
  </si>
  <si>
    <t>14-May-2024 04:00 PM</t>
  </si>
  <si>
    <t>14-May-2024 05:00 PM</t>
  </si>
  <si>
    <t>10,00,400</t>
  </si>
  <si>
    <t>Corrigendum 10 for Revised Appendix-5 on 03.05.2024
Corrigendum 9 for Revised Appendix-5 on 02.05.2024
Corrigendum 8 Revised DTCN RFP on 02.05.2024
Corrigendum 7  for Date Extension on 02-May-2024
Corrigendum 6 for Revised Price breakup Part II &amp; tech prebid on 18-Apr-2024
Corrigendum 5 for Revised Appendix-5 on 18-Apr-2024
Corrigendum 4 Revised RFP on 18-Apr-2024
Corrigendum 3 for Date Extend on 10-Apr-2024
Corrigendum 2 for Date Extend on 06-Apr-2024
Corrigendum 1 for Date Extend on 02-Apr-2024
Corrigendum 1 APPENDIX-5 on 15-Mar-2024</t>
  </si>
  <si>
    <t xml:space="preserve">PQ- Qualified by SISPL
TQ- Qualified (70 Marks)
Payment -  OK
Location - Daitari, Odisha 
SLA- Enclosed
BOQ - Enclosed
</t>
  </si>
  <si>
    <t>Somnath Temple GIPL CCTV Surveillance  Gujarat GEM</t>
  </si>
  <si>
    <t>26-03-2024  11:00 AM</t>
  </si>
  <si>
    <t>10-May-2024  5:00 PM</t>
  </si>
  <si>
    <t>10-May-2024  5:30 PM</t>
  </si>
  <si>
    <t>16,86,869</t>
  </si>
  <si>
    <t>Corrigendum-5 for Date Extension on 03-05-2024
Corrigendum-4 for Date Extension on 26-04-2024
Corrigendum-3 for Date Extension on 19-04-2024
Corrigendum for Pre-Bid Response- 09.04.2024
Corrigendum for Date Extension on 08/04/2024 11:52:54</t>
  </si>
  <si>
    <t>PQ / TQ - Qualified by TISPL
OEM PQ- Yes
Payment -  Very Good (80%-20%)
Location - Somnath, Gujarat
BOQ - Enclosed 171 Cameras</t>
  </si>
  <si>
    <t xml:space="preserve">Rajasthan RISL ITMS  </t>
  </si>
  <si>
    <t>09-May-2024 03:00 PM</t>
  </si>
  <si>
    <t>09-May-2024 04:00 PM</t>
  </si>
  <si>
    <t xml:space="preserve"> Corrigendum Date extended on 23-Apr-2024</t>
  </si>
  <si>
    <t>Bid by Delhi Team
PQ Status- Qualified by TISPL 
TQ - 70 Marks
Payment -  OK
Location - Rajasthan
SLA- Enclosed
BOQ - Enclosed</t>
  </si>
  <si>
    <t>13-02-2024  5:00 PM</t>
  </si>
  <si>
    <t>13-02-2024  11:00 AM</t>
  </si>
  <si>
    <t>02-Apr-2024 03:30 PM</t>
  </si>
  <si>
    <t>1,20,00,000</t>
  </si>
  <si>
    <t>CORRIGENDUM 3-  for Bid Due Date Extension on  11-Mar-2024
EXTENSION OF BID DUE DATE 04-Mar-2024
'EXTENSION OF BID DUE DATE 26-Feb-2024</t>
  </si>
  <si>
    <t>Waiting for Technical Corrigendum
PQ Status- Qualified by TISPL
Payment terms - OK
SLA- Enclosed
Location - Rajasthan &amp; Haryana</t>
  </si>
  <si>
    <t>25-Mar-2024 06:00 PM</t>
  </si>
  <si>
    <t>26-Mar-2024 11:00 AM</t>
  </si>
  <si>
    <t>5,93,544</t>
  </si>
  <si>
    <t xml:space="preserve">Clariffication Letter sent to Department
PQ / TQ - OK
OEM PQ - NO
Penalty  Very High
Payment - Not Given 
BOQ - E nclosed
</t>
  </si>
  <si>
    <t>Patna Smart City VMD Bihar</t>
  </si>
  <si>
    <t>16-02-2024 2:00 PM</t>
  </si>
  <si>
    <t>16-02-2024 12:00 PM</t>
  </si>
  <si>
    <t>13-03-2024 03:00 PM</t>
  </si>
  <si>
    <t>14-03-2024 11:00 AM</t>
  </si>
  <si>
    <t>32,70,000</t>
  </si>
  <si>
    <t>Corrigendum 4 &amp; Addendum 2
on 06-03-2024
CORRIGENDUM- 3 regarding for changes in TQ &amp; JV  on 02-03-24
CORRIGENDUM- 2 regarding for changes on 02-03-2024
Bid Due Date Extend from 02-03-2024 2:00 PM to 06-03-2024 03:00 PM &amp;  Corrigendum for some Technical &amp; other Changes on 01-03-2024</t>
  </si>
  <si>
    <t>PQ - Qualified
OEM PQ - Yes
Payment -  Good
Location - Patna
BOQ - 50 VMD</t>
  </si>
  <si>
    <t>13-Mar-2024 05:30 PM</t>
  </si>
  <si>
    <t>14-Mar-2024 05:35 PM</t>
  </si>
  <si>
    <t>PQ Status- OK
Payment terms - Monthly On quoted Price as per Financial Bid
SLA- Enclosed
Location - Jabalpur</t>
  </si>
  <si>
    <t>MP ANPR &amp; CCTV Camera Warehouse MP Excise Department &amp;  Smart City Bhopal (2nd Call)</t>
  </si>
  <si>
    <t>08/01/2024  05:00 PM</t>
  </si>
  <si>
    <t>27-12-2023 at 13:00 Hrs</t>
  </si>
  <si>
    <t>05-Mar-2024 03:00 PM</t>
  </si>
  <si>
    <t>06-Mar-2024 11:00 AM</t>
  </si>
  <si>
    <t>4,00,000</t>
  </si>
  <si>
    <t>date extension	04-Mar-2024
'DATE EXTENTION	&amp; changes in some clauses on 28-Feb-2024 Date Extension on 26-Feb-2024 Date Extension on 19-Feb-2024
Prebid Response on 19-Feb-2024
Date Extension on 24-Jan-2024 12:24 PM
Corrigendum Addendum for Email address update on 27-Dec-2023 01:07 PM</t>
  </si>
  <si>
    <r>
      <rPr>
        <b/>
        <sz val="28"/>
        <color theme="1"/>
        <rFont val="Cambria"/>
        <family val="1"/>
      </rPr>
      <t xml:space="preserve">PQ Status-  Qualified
OEM Criteria -  Yes
</t>
    </r>
    <r>
      <rPr>
        <b/>
        <u/>
        <sz val="28"/>
        <color theme="1"/>
        <rFont val="Cambria"/>
        <family val="1"/>
      </rPr>
      <t>Payment Terms</t>
    </r>
    <r>
      <rPr>
        <b/>
        <sz val="28"/>
        <color theme="1"/>
        <rFont val="Cambria"/>
        <family val="1"/>
      </rPr>
      <t xml:space="preserve"> - No
</t>
    </r>
    <r>
      <rPr>
        <b/>
        <u/>
        <sz val="28"/>
        <color theme="1"/>
        <rFont val="Cambria"/>
        <family val="1"/>
      </rPr>
      <t xml:space="preserve">Location </t>
    </r>
    <r>
      <rPr>
        <b/>
        <sz val="28"/>
        <color theme="1"/>
        <rFont val="Cambria"/>
        <family val="1"/>
      </rPr>
      <t xml:space="preserve">-  Bhopal
</t>
    </r>
  </si>
  <si>
    <t>Bhopal Farmer Welfare And Agriculture Development Department CCTV GEM</t>
  </si>
  <si>
    <t>29-02-2024  1:00 PM</t>
  </si>
  <si>
    <t>29-02-2024  1:30 PM</t>
  </si>
  <si>
    <t>82,50,000</t>
  </si>
  <si>
    <t xml:space="preserve">PQ - Qualified
OEM PQ - Yes
Payment - Very Good(80% (Supply) 20% (Installation)
Location - Mandi Board Bhopal Loaction List Enclosed
</t>
  </si>
  <si>
    <t xml:space="preserve">09-Jan-2024 </t>
  </si>
  <si>
    <t>10-Jan-2024 03:30 PM</t>
  </si>
  <si>
    <t>22-Feb-2024 03:00 PM</t>
  </si>
  <si>
    <t>22-Feb-2024 03:30 PM</t>
  </si>
  <si>
    <t>Addendum-IV	19-Feb-2024
'Corrigendum-7 Date Extension 15-Feb-2024
Addendum-III on 09-Feb-2024 Corrigendum-6 Date Extension on 07-Feb-2024
Addendum-II on 03-Feb-2024 
Corigendum IV -Updated Estimated Cost on 03-Feb-2024 BOQ update2 on 01-Feb-2024 12:19 PM
 BOQ update on 31-Jan-2024 11:12 AM
Corrigendum-II for Changes in some Specification on 23-Jan-2024 
Addendum-I on 23-Jan-2024
Corrigendum - Date Extension on 19-Jan-2024</t>
  </si>
  <si>
    <t xml:space="preserve">Challenge in Experience Criteria &amp; TQ Waiting for Technical Corrigendum  for changes 
</t>
  </si>
  <si>
    <t>Odisha Transport Department Command Control Centre &amp; IEMS</t>
  </si>
  <si>
    <t>07-02-2024
5.00 PM</t>
  </si>
  <si>
    <t>16-02-2024  02.00 P.M.</t>
  </si>
  <si>
    <t>16-02-2024 04:30 P.M.</t>
  </si>
  <si>
    <t>PQ - Qualified 
OEM PQ - Yes
Paymen Terms -N2D
Location - Odisha
BOQ - Enclosed</t>
  </si>
  <si>
    <t xml:space="preserve">29-Dec-2023 
03:00 PM </t>
  </si>
  <si>
    <t>15-02-2024  5:00 PM</t>
  </si>
  <si>
    <t>15-02-2024  5:30 PM</t>
  </si>
  <si>
    <t>12,00,000</t>
  </si>
  <si>
    <t>Technical Corrigendum on: 2024-02-06
Bid Due Daste Modified On: 2024-01-31 11:30:34
Bid Extension Corrigendum on
2024-01-18 16:35:54
'Bid Extension Corrigendum on 2024-01-11 15:03:27</t>
  </si>
  <si>
    <t xml:space="preserve">PQ Qualified
OEM  -  Yes
Payment Terms - Very Good
Location - Lucknow
</t>
  </si>
  <si>
    <t xml:space="preserve"> Nagpur IITMS Municipal Corporation (Electrical)</t>
  </si>
  <si>
    <t>24-11-2023  5:00 PM</t>
  </si>
  <si>
    <t>29-Nov-2023
02:00 PM</t>
  </si>
  <si>
    <t>09-Feb-2024 03:00 PM</t>
  </si>
  <si>
    <t>12-Feb-2024 01:00 PM</t>
  </si>
  <si>
    <t xml:space="preserve">Date Extended Corrigendum 3 on 01-Feb-2024 12:46 PM
ANNEXURE B2 (CSD) - 13.4 OEM Pre-Qualification Criteria OEM Criteria Pg.28 (New Addition) on 18-Jan-2024 12:10 PM
PRE BID MEETING QUERIES SUGGESTIONS on 11-Jan-2024
Date extended Corrigendum on 09-01-2024
Date Corrigendum on 18-Dec-2023 11:44 AM 
On 29-Nov-2023 07:33 PM PRE BID SUBMISSION QUERRIES DATE EXTENDED to 04-Dec-2023 05:00 PM </t>
  </si>
  <si>
    <r>
      <rPr>
        <b/>
        <sz val="28"/>
        <color theme="1"/>
        <rFont val="Cambria"/>
        <family val="1"/>
      </rPr>
      <t xml:space="preserve">PQ-Qualified
Challenge in TQ_1 &amp; TQ_2
OEM Criteria -  Yes
</t>
    </r>
    <r>
      <rPr>
        <b/>
        <u/>
        <sz val="28"/>
        <color theme="1"/>
        <rFont val="Cambria"/>
        <family val="1"/>
      </rPr>
      <t>Payment Terms -</t>
    </r>
    <r>
      <rPr>
        <b/>
        <sz val="28"/>
        <color theme="1"/>
        <rFont val="Cambria"/>
        <family val="1"/>
      </rPr>
      <t xml:space="preserve"> Delivery &amp; Installation &amp; Integration - 50% , UAT - 20%</t>
    </r>
    <r>
      <rPr>
        <b/>
        <u/>
        <sz val="28"/>
        <color theme="1"/>
        <rFont val="Cambria"/>
        <family val="1"/>
      </rPr>
      <t xml:space="preserve">
Location -  </t>
    </r>
    <r>
      <rPr>
        <b/>
        <sz val="28"/>
        <color theme="1"/>
        <rFont val="Cambria"/>
        <family val="1"/>
      </rPr>
      <t>164</t>
    </r>
    <r>
      <rPr>
        <b/>
        <u/>
        <sz val="28"/>
        <color theme="1"/>
        <rFont val="Cambria"/>
        <family val="1"/>
      </rPr>
      <t xml:space="preserve">
</t>
    </r>
  </si>
  <si>
    <t>Ferozepur Border CCTV  Punjab Police</t>
  </si>
  <si>
    <t>26.12.2023 Time 11:00 Hrs.</t>
  </si>
  <si>
    <t xml:space="preserve">29-Dec-2023 11:00 AM </t>
  </si>
  <si>
    <t>08-Feb-2024 11:00 AM</t>
  </si>
  <si>
    <t>09-Feb-2024 11:00 AM</t>
  </si>
  <si>
    <t>amendment in RFP01 on  06-Feb-2024 
'Corrigendum reg. date002 on 01-Feb-2024 10:47 AM
Corrigendum for Date &amp; amendment in RFP on 25-Jan-2024 
Corrigendum-02 reg. date on 25-Jan-2024 
Corrigendum for Date Extension on 18-Jan-2024 04:20 PM
Corrigendum reg. Technical Bid01 12-Jan-2024 05:35 PM
Technical Corrigendum on 10-01-2024</t>
  </si>
  <si>
    <t xml:space="preserve">Talk to Customer  &amp; find evaluate OEM 
PQ Qualified
OEM PQ -  Yes
Payment Terms - OK
Location  -  7 Diff. Dist. of Ferozepur
</t>
  </si>
  <si>
    <t>MP RHQ 5 cities ANPR CCTV System (2nd Call)</t>
  </si>
  <si>
    <t xml:space="preserve">Q </t>
  </si>
  <si>
    <t>22/01/2024  06 PM</t>
  </si>
  <si>
    <t>23-Jan-2024
12:00 PM</t>
  </si>
  <si>
    <t>07-Feb-2024 05:00 PM</t>
  </si>
  <si>
    <t>08-Feb-2024 05:10 PM</t>
  </si>
  <si>
    <t xml:space="preserve">Corrigendum for pre bid response on 29-Jan-2024 05:25 PM	</t>
  </si>
  <si>
    <t>PQ status -Qualified by TISPL&amp;SISPL.
OEM PQ &amp; Certifications- Yes
payment terms- Ok
Location- MP 5 cities
 (Alirajpur, Agar Malwa, Badwani, Niwadi and Sidhi)
BOQ Enclosed along with OEM Certification &amp;Technical specs remarks.</t>
  </si>
  <si>
    <t xml:space="preserve">60.29
</t>
  </si>
  <si>
    <t>Faridabad FMDA ITMS  Haryana Government</t>
  </si>
  <si>
    <t>28-Dec-2023
11:30 AM</t>
  </si>
  <si>
    <t>05-02-2024  5:00 PM</t>
  </si>
  <si>
    <t>06-Feb-2024 11:00 AM</t>
  </si>
  <si>
    <t>1,20,58,000</t>
  </si>
  <si>
    <t>Online.</t>
  </si>
  <si>
    <t>Corrigendum for Extension of date on 09-Jan-2024 05:19 PM
Corrigendum - Pre-bid meeting date is rescheduled on '28-Dec-2023 11:30 AM</t>
  </si>
  <si>
    <t>PQ Qualified
OEM PQ -YES
Payment Terms - Need To Discuss
Location -  Faridabad</t>
  </si>
  <si>
    <t>HB/SK</t>
  </si>
  <si>
    <t>31-01-2024</t>
  </si>
  <si>
    <t xml:space="preserve"> Corrigendum - Amendment No.2 issued on 10-11-2023
</t>
  </si>
  <si>
    <t xml:space="preserve">PQ Status- N2D (PQ_6 STQC Security Certification)
OEM PQ -  Yes
Payment Terms - No
Location -  List Enclosed
</t>
  </si>
  <si>
    <t>7.65</t>
  </si>
  <si>
    <t>06-jan-2024</t>
  </si>
  <si>
    <t xml:space="preserve">08-Jan-2024 </t>
  </si>
  <si>
    <t>31-Jan-2024 10:00 AM</t>
  </si>
  <si>
    <t>15,31,960</t>
  </si>
  <si>
    <t>corrigendum for Date Extension on 29-Jan-2024 10:07 PM
Date extended-12-Jan-2024
Corrigendum for 	Pre bid meeting replies and changes</t>
  </si>
  <si>
    <t xml:space="preserve">PQ - Qualify by TISPL
OEM PQ - No
Payment Terms -  not given.
Location - 42 junction at Ludhiana
BOQ- Financial BOQ only
BOQ Line item. Technical specs &amp; OEM certification not given.
</t>
  </si>
  <si>
    <t>NQ in TQ</t>
  </si>
  <si>
    <t>20-11-2023 up to 05.00 P.M.,</t>
  </si>
  <si>
    <t>21-11-2023 at 04.00 P.M.</t>
  </si>
  <si>
    <t>30-01-2024 04.00 P.M.</t>
  </si>
  <si>
    <t>30-01-2024 04:30 P.M.</t>
  </si>
  <si>
    <r>
      <rPr>
        <b/>
        <sz val="28"/>
        <rFont val="Cambria"/>
        <family val="1"/>
      </rPr>
      <t>CORRIGENDUM - 5  for Date Extension on 18-01-2024 'CORRIGENDUM - 4  for Date Extension &amp; change in 2 points on 05-01-2024</t>
    </r>
    <r>
      <rPr>
        <sz val="28"/>
        <rFont val="Cambria"/>
        <family val="1"/>
      </rPr>
      <t xml:space="preserve">
</t>
    </r>
    <r>
      <rPr>
        <b/>
        <sz val="28"/>
        <rFont val="Cambria"/>
        <family val="1"/>
      </rPr>
      <t xml:space="preserve"> CORRIGENDUM- III on 21-12-2023 regarding changes in some clause  
Corrigendum-|| on 12-12-2023 for Date, time, and venue of pre-bid meeting
'Corrigendum-1 20-11-2023 for Date, time, and venue of pre-bid meeting</t>
    </r>
  </si>
  <si>
    <r>
      <rPr>
        <b/>
        <sz val="28"/>
        <color theme="1"/>
        <rFont val="Cambria"/>
        <family val="1"/>
      </rPr>
      <t xml:space="preserve">PQ Qualified
Challenge in TQ as QCBS bid.
OEM Criteria -  No
</t>
    </r>
    <r>
      <rPr>
        <b/>
        <u/>
        <sz val="28"/>
        <color theme="1"/>
        <rFont val="Cambria"/>
        <family val="1"/>
      </rPr>
      <t>Payment Terms -</t>
    </r>
    <r>
      <rPr>
        <b/>
        <sz val="28"/>
        <color theme="1"/>
        <rFont val="Cambria"/>
        <family val="1"/>
      </rPr>
      <t xml:space="preserve"> NO</t>
    </r>
    <r>
      <rPr>
        <b/>
        <u/>
        <sz val="28"/>
        <color theme="1"/>
        <rFont val="Cambria"/>
        <family val="1"/>
      </rPr>
      <t xml:space="preserve">
Location -  </t>
    </r>
    <r>
      <rPr>
        <b/>
        <sz val="28"/>
        <color theme="1"/>
        <rFont val="Cambria"/>
        <family val="1"/>
      </rPr>
      <t>Rajaswa Bhawan, Chandini Chowk, Cuttack, Odisha</t>
    </r>
    <r>
      <rPr>
        <b/>
        <u/>
        <sz val="28"/>
        <color theme="1"/>
        <rFont val="Cambria"/>
        <family val="1"/>
      </rPr>
      <t xml:space="preserve">
</t>
    </r>
  </si>
  <si>
    <t>25-Dec 2023
05:30 PM</t>
  </si>
  <si>
    <t>26-Dec- 2023
11:00 AM</t>
  </si>
  <si>
    <t>29-Jan-2024 05:30 PM</t>
  </si>
  <si>
    <t>30-Jan-2024 05:30 PM</t>
  </si>
  <si>
    <t>4,23,560</t>
  </si>
  <si>
    <t>Debit Card/ Credit Card /Internet Banking or system Generated
Challan</t>
  </si>
  <si>
    <t xml:space="preserve">Corrigendum-8 for Technical Bid on -  22-Jan-2024
Corrigendum-7 for Date Extension on - 22-Jan-2024 Corrigendum-6 for Date Extension on 15-Jan-2024
Corrigendum-5 -for Clarification meeting 12-Jan-2024 07:04 PM Corrigendum-4 for Date Extension on 08-Jan-2024 
Corrigendum-3 Technical 02-Jan-2024 07:36 PM
Corrigendum-2 for Date Extension on 01-Jan-2024 04:51 PM Corrigendum-1 for Technical changes in clause  on 01-Jan-2024 04:51 PM	</t>
  </si>
  <si>
    <t xml:space="preserve">PQ Status- Qualified
OEM Criteria -  NO
Payment Terms - OK
Location -   Gwalior
</t>
  </si>
  <si>
    <t>Bilaspur SECL ICCC Gem</t>
  </si>
  <si>
    <t>27-01-2024  7:00 PM</t>
  </si>
  <si>
    <t>27-01-2024  7:30 PM</t>
  </si>
  <si>
    <t>PQ - Qualify by TISPL
OEM PQ - Yes
Payment Terms - OK
Location - Bilaspur
RA BID ( Q3 )</t>
  </si>
  <si>
    <t>MP RHQ 3 cities ANPR CCTV System (2nd Call)</t>
  </si>
  <si>
    <t>24/12/2023 05:00 pm</t>
  </si>
  <si>
    <t xml:space="preserve">26-Dec-2023 12:00 PM </t>
  </si>
  <si>
    <t>24-01-2024  5:00 PM</t>
  </si>
  <si>
    <t>25-Jan-2024 05:10 PM</t>
  </si>
  <si>
    <t>DD / BG / BD</t>
  </si>
  <si>
    <t xml:space="preserve">Corrigendum for BOQ on 02-Jan-2024 11:01 AM
Corrigendum for Revised RFP on 02-Jan-2024 11:11 AM	</t>
  </si>
  <si>
    <r>
      <rPr>
        <b/>
        <sz val="28"/>
        <color theme="1"/>
        <rFont val="Cambria"/>
        <family val="1"/>
      </rPr>
      <t xml:space="preserve">PQ Status-  Qualified
OEM Criteria -  Yes
</t>
    </r>
    <r>
      <rPr>
        <b/>
        <u/>
        <sz val="28"/>
        <color theme="1"/>
        <rFont val="Cambria"/>
        <family val="1"/>
      </rPr>
      <t>Payment Terms</t>
    </r>
    <r>
      <rPr>
        <b/>
        <sz val="28"/>
        <color theme="1"/>
        <rFont val="Cambria"/>
        <family val="1"/>
      </rPr>
      <t xml:space="preserve"> - Yes
</t>
    </r>
    <r>
      <rPr>
        <b/>
        <u/>
        <sz val="28"/>
        <color theme="1"/>
        <rFont val="Cambria"/>
        <family val="1"/>
      </rPr>
      <t xml:space="preserve">Location </t>
    </r>
    <r>
      <rPr>
        <b/>
        <sz val="28"/>
        <color theme="1"/>
        <rFont val="Cambria"/>
        <family val="1"/>
      </rPr>
      <t xml:space="preserve">-  Bhopal,Indore, Jabalpur
</t>
    </r>
  </si>
  <si>
    <t>Mangalore Port CCTV CAMERAS</t>
  </si>
  <si>
    <t>28-Nov-2023 03:30 PM</t>
  </si>
  <si>
    <t>24-Jan-2024 01:00 PM</t>
  </si>
  <si>
    <t>25-01-2024  2:00 PM</t>
  </si>
  <si>
    <t>27,81,650</t>
  </si>
  <si>
    <t xml:space="preserve">BG ,FDR , DD &amp; Banker’s Cheque </t>
  </si>
  <si>
    <t>Corrigendum No. 3 for Date Extension on 08-Jan-2024 10:14 AM
Corrigendum 2 - Extension of bid submission and opening date on 22-Dec-2023 06:25 PM
Corrigendum-1 Extension of bid submission and opening date on 07-Dec-2023 12:37 PM &amp; Corrigendum for changes in some clause</t>
  </si>
  <si>
    <r>
      <rPr>
        <b/>
        <sz val="28"/>
        <color theme="1"/>
        <rFont val="Cambria"/>
        <family val="1"/>
      </rPr>
      <t xml:space="preserve">Bid by SISPL
Very low Turnover Req. 3.53 Cr.  
Experience criteria also doesn't ask for Govt. Jobs.
OEM Criteria -  No
</t>
    </r>
    <r>
      <rPr>
        <b/>
        <u/>
        <sz val="28"/>
        <color theme="1"/>
        <rFont val="Cambria"/>
        <family val="1"/>
      </rPr>
      <t>Payment Terms -</t>
    </r>
    <r>
      <rPr>
        <b/>
        <sz val="28"/>
        <color theme="1"/>
        <rFont val="Cambria"/>
        <family val="1"/>
      </rPr>
      <t xml:space="preserve"> good - 70% supply , 20% I&amp;C , 10% Go-Live.
</t>
    </r>
    <r>
      <rPr>
        <b/>
        <u/>
        <sz val="28"/>
        <color theme="1"/>
        <rFont val="Cambria"/>
        <family val="1"/>
      </rPr>
      <t xml:space="preserve">Location -  </t>
    </r>
    <r>
      <rPr>
        <b/>
        <sz val="28"/>
        <color theme="1"/>
        <rFont val="Cambria"/>
        <family val="1"/>
      </rPr>
      <t>New Mangalore Port Authority, Panambur, Mangalore 
Location is Manglore , lot of MSI's will qualify so huge competition.</t>
    </r>
    <r>
      <rPr>
        <b/>
        <u/>
        <sz val="28"/>
        <color theme="1"/>
        <rFont val="Cambria"/>
        <family val="1"/>
      </rPr>
      <t xml:space="preserve">
</t>
    </r>
  </si>
  <si>
    <t>Guwahati Smart City ITMS</t>
  </si>
  <si>
    <t>25-Jan-2024 03:30 PM</t>
  </si>
  <si>
    <t>6.10 Cr</t>
  </si>
  <si>
    <t xml:space="preserve"> NEFT/ RTGS</t>
  </si>
  <si>
    <t>Corrigendum 1 Date Extension on 18-Jan-2024 02:51 PM</t>
  </si>
  <si>
    <t xml:space="preserve">Working on Detailed Representation 
PQ - NQ (Challenge in TO)
TQ - 50 Marks 
OEM PQ - Yes 
Payment Terms - Pro Rata Basis
Location - Guwahati 
</t>
  </si>
  <si>
    <t>Vrindavan  CCTV Cameras &amp; PA System UP</t>
  </si>
  <si>
    <t>19-Jan-2024 11:00 AM</t>
  </si>
  <si>
    <t>19-Jan-2024 12:00 AM</t>
  </si>
  <si>
    <t>4,50,000</t>
  </si>
  <si>
    <t>Bid by SISPL
Qualified by Both the Companies
Payment  Terms- Not Given
BoQ - Not Given 
Location Mathura - Vrindavan
Quantity - CCTV( 138 ) , PA( 70 )</t>
  </si>
  <si>
    <t>Bhopal Vallabh Bhawan Supply of Computer Desktop GEM</t>
  </si>
  <si>
    <t>08-01-2024 2:00 PM</t>
  </si>
  <si>
    <t>08-01-2024 2:30 PM</t>
  </si>
  <si>
    <t>1,38,000</t>
  </si>
  <si>
    <t>Corrigendum - Modified On: 2023-12-21 15:09:36</t>
  </si>
  <si>
    <r>
      <rPr>
        <b/>
        <sz val="28"/>
        <color theme="1"/>
        <rFont val="Cambria"/>
        <family val="1"/>
      </rPr>
      <t xml:space="preserve">Technical Confirmation required by Himadri Sir
PQ Status- Qualified
</t>
    </r>
    <r>
      <rPr>
        <b/>
        <u/>
        <sz val="28"/>
        <color theme="1"/>
        <rFont val="Cambria"/>
        <family val="1"/>
      </rPr>
      <t>Payment Terms</t>
    </r>
    <r>
      <rPr>
        <b/>
        <sz val="28"/>
        <color theme="1"/>
        <rFont val="Cambria"/>
        <family val="1"/>
      </rPr>
      <t xml:space="preserve"> -No
</t>
    </r>
    <r>
      <rPr>
        <b/>
        <u/>
        <sz val="28"/>
        <color theme="1"/>
        <rFont val="Cambria"/>
        <family val="1"/>
      </rPr>
      <t xml:space="preserve">Location </t>
    </r>
    <r>
      <rPr>
        <b/>
        <sz val="28"/>
        <color theme="1"/>
        <rFont val="Cambria"/>
        <family val="1"/>
      </rPr>
      <t xml:space="preserve">-  Bhopal
</t>
    </r>
    <r>
      <rPr>
        <b/>
        <u/>
        <sz val="28"/>
        <color theme="1"/>
        <rFont val="Cambria"/>
        <family val="1"/>
      </rPr>
      <t>OEM Criteria</t>
    </r>
    <r>
      <rPr>
        <b/>
        <sz val="28"/>
        <color theme="1"/>
        <rFont val="Cambria"/>
        <family val="1"/>
      </rPr>
      <t xml:space="preserve"> -  NO
Go/No go status still pending</t>
    </r>
  </si>
  <si>
    <t>1.40 Cr</t>
  </si>
  <si>
    <t>1,40,260</t>
  </si>
  <si>
    <t>Corrigendum - Reference Image for Non SOR Item NE18 at Maharanapratap smarak</t>
  </si>
  <si>
    <r>
      <rPr>
        <b/>
        <sz val="28"/>
        <color theme="1"/>
        <rFont val="Cambria"/>
        <family val="1"/>
      </rPr>
      <t xml:space="preserve">Site visit &amp;  get more information regarding tender &amp; understand the job
PQ Status- Not Qualified
</t>
    </r>
    <r>
      <rPr>
        <b/>
        <u/>
        <sz val="28"/>
        <color theme="1"/>
        <rFont val="Cambria"/>
        <family val="1"/>
      </rPr>
      <t>Payment Terms</t>
    </r>
    <r>
      <rPr>
        <b/>
        <sz val="28"/>
        <color theme="1"/>
        <rFont val="Cambria"/>
        <family val="1"/>
      </rPr>
      <t xml:space="preserve"> - NA
</t>
    </r>
    <r>
      <rPr>
        <b/>
        <u/>
        <sz val="28"/>
        <color theme="1"/>
        <rFont val="Cambria"/>
        <family val="1"/>
      </rPr>
      <t xml:space="preserve">Location </t>
    </r>
    <r>
      <rPr>
        <b/>
        <sz val="28"/>
        <color theme="1"/>
        <rFont val="Cambria"/>
        <family val="1"/>
      </rPr>
      <t xml:space="preserve">-  Bhopal
</t>
    </r>
    <r>
      <rPr>
        <b/>
        <u/>
        <sz val="28"/>
        <color theme="1"/>
        <rFont val="Cambria"/>
        <family val="1"/>
      </rPr>
      <t>OEM Criteria</t>
    </r>
    <r>
      <rPr>
        <b/>
        <sz val="28"/>
        <color theme="1"/>
        <rFont val="Cambria"/>
        <family val="1"/>
      </rPr>
      <t xml:space="preserve"> -  NO
Go/No go status still pending</t>
    </r>
  </si>
  <si>
    <t>Raipur AIIMS CCTV with Server GEM</t>
  </si>
  <si>
    <t xml:space="preserve"> 04-01-2024 5:00 PM</t>
  </si>
  <si>
    <t xml:space="preserve"> 04-01-2024 5:30 PM</t>
  </si>
  <si>
    <t>14,70,000</t>
  </si>
  <si>
    <t>Interact with OEM &amp; Customer and finalize this tender is locked or not
'PQ Status- Qualified
Payment Terms - Not given
Location -   AIIMS Raipur
OEM Criteria -  NO</t>
  </si>
  <si>
    <t>2.57cr</t>
  </si>
  <si>
    <t>06-Oct-2023 09:00 AM</t>
  </si>
  <si>
    <t xml:space="preserve">06-Oct-2023 </t>
  </si>
  <si>
    <t xml:space="preserve"> 16-Oct-2023 05:00 PM </t>
  </si>
  <si>
    <t xml:space="preserve">16-Oct-2023 01:00 PM </t>
  </si>
  <si>
    <t>28-12-2023  5:30 PM</t>
  </si>
  <si>
    <t>29-Dec-2023 05:30 PM</t>
  </si>
  <si>
    <t>6,00,000</t>
  </si>
  <si>
    <t>Online NEFT/RTGS</t>
  </si>
  <si>
    <t xml:space="preserve">Date Extension 3 20-Dec-2023 05:59 PM
Date Extension Corrigendum on 06-Dec-2023 03:33 PM
Date Extension Corrigendum on 06-Nov-2023 04:38 PM  </t>
  </si>
  <si>
    <r>
      <rPr>
        <b/>
        <sz val="24"/>
        <rFont val="Cambria"/>
        <family val="1"/>
      </rPr>
      <t xml:space="preserve">Waiting for Corrigendum.
 Pre-bid queries to be given to Videh Sir 
Videh Sir to drive changes 
</t>
    </r>
    <r>
      <rPr>
        <b/>
        <u/>
        <sz val="24"/>
        <color rgb="FFFF0000"/>
        <rFont val="Cambria"/>
        <family val="1"/>
      </rPr>
      <t>Payment Terms -</t>
    </r>
    <r>
      <rPr>
        <b/>
        <sz val="24"/>
        <color theme="1"/>
        <rFont val="Cambria"/>
        <family val="1"/>
      </rPr>
      <t xml:space="preserve"> No</t>
    </r>
    <r>
      <rPr>
        <b/>
        <u/>
        <sz val="24"/>
        <color rgb="FFFF0000"/>
        <rFont val="Cambria"/>
        <family val="1"/>
      </rPr>
      <t xml:space="preserve">
Location - </t>
    </r>
    <r>
      <rPr>
        <b/>
        <sz val="24"/>
        <color theme="1"/>
        <rFont val="Cambria"/>
        <family val="1"/>
      </rPr>
      <t xml:space="preserve"> Kalibadi Rd, Near Natraj Petrol Pump</t>
    </r>
    <r>
      <rPr>
        <b/>
        <u/>
        <sz val="24"/>
        <color rgb="FFFF0000"/>
        <rFont val="Cambria"/>
        <family val="1"/>
      </rPr>
      <t xml:space="preserve">
OEM Criteria -  </t>
    </r>
    <r>
      <rPr>
        <b/>
        <sz val="24"/>
        <rFont val="Cambria"/>
        <family val="1"/>
      </rPr>
      <t>No</t>
    </r>
  </si>
  <si>
    <t>Ayodhya city PA System  Uttar Pradesh</t>
  </si>
  <si>
    <t>16-Dec-2023
04:00 PM</t>
  </si>
  <si>
    <t>26-12-2023  2:00 PM</t>
  </si>
  <si>
    <t>26-Dec-2023 04:00 PM</t>
  </si>
  <si>
    <t>15,91,439</t>
  </si>
  <si>
    <t>RTGS / BG</t>
  </si>
  <si>
    <t>Corrigendum 2 - Date and Other 21-Dec-2023 07:49 PM
 Corrigendum 1 - Date and Queries Answer	19-Dec-2023 07:36 PM</t>
  </si>
  <si>
    <t>Payment Terms - OK
PQ- Qualified
Location - Ayodhya
OEM  Criteria - NO</t>
  </si>
  <si>
    <t>20 L</t>
  </si>
  <si>
    <t>26-12-2023  11:00 AM</t>
  </si>
  <si>
    <t>03-Jan-2024 05:00 PM</t>
  </si>
  <si>
    <t xml:space="preserve">04-Jan-2024 05:00 PM </t>
  </si>
  <si>
    <r>
      <rPr>
        <b/>
        <sz val="24"/>
        <color rgb="FFFF0000"/>
        <rFont val="Cambria"/>
        <family val="1"/>
      </rPr>
      <t xml:space="preserve">Payment Terms - </t>
    </r>
    <r>
      <rPr>
        <b/>
        <sz val="24"/>
        <color theme="1"/>
        <rFont val="Cambria"/>
        <family val="1"/>
      </rPr>
      <t>NO</t>
    </r>
    <r>
      <rPr>
        <b/>
        <sz val="24"/>
        <color rgb="FFFF0000"/>
        <rFont val="Cambria"/>
        <family val="1"/>
      </rPr>
      <t xml:space="preserve">
Location - </t>
    </r>
    <r>
      <rPr>
        <b/>
        <sz val="24"/>
        <color theme="1"/>
        <rFont val="Cambria"/>
        <family val="1"/>
      </rPr>
      <t>RAJBHAWAN BHOPAL</t>
    </r>
    <r>
      <rPr>
        <b/>
        <sz val="24"/>
        <color rgb="FFFF0000"/>
        <rFont val="Cambria"/>
        <family val="1"/>
      </rPr>
      <t xml:space="preserve">
OEM Criteria -  </t>
    </r>
    <r>
      <rPr>
        <b/>
        <sz val="24"/>
        <color theme="1"/>
        <rFont val="Cambria"/>
        <family val="1"/>
      </rPr>
      <t>NO</t>
    </r>
  </si>
  <si>
    <t xml:space="preserve"> 25-12-2023 6:00 PM</t>
  </si>
  <si>
    <t>25-12-2023  6:30 PM</t>
  </si>
  <si>
    <t>2,50 000</t>
  </si>
  <si>
    <t>Modified On: 2023-12-18 19:11:44
Modified On: 2023-12-18 19:06:17 Date Extension
Modified On: 2023-12-15 20:24:58 Technical Corrigendum
Modified On: 2023-12-15 20:19:28 Bid extended to 2023-12-22 06:00 pm</t>
  </si>
  <si>
    <r>
      <rPr>
        <b/>
        <u/>
        <sz val="22"/>
        <color rgb="FFFF0000"/>
        <rFont val="Cambria"/>
        <family val="1"/>
      </rPr>
      <t>Payment Terms</t>
    </r>
    <r>
      <rPr>
        <b/>
        <sz val="22"/>
        <rFont val="Cambria"/>
        <family val="1"/>
      </rPr>
      <t xml:space="preserve"> - No
</t>
    </r>
    <r>
      <rPr>
        <b/>
        <u/>
        <sz val="22"/>
        <color rgb="FFFF0000"/>
        <rFont val="Cambria"/>
        <family val="1"/>
      </rPr>
      <t xml:space="preserve">Location </t>
    </r>
    <r>
      <rPr>
        <b/>
        <sz val="22"/>
        <color rgb="FFFF0000"/>
        <rFont val="Cambria"/>
        <family val="1"/>
      </rPr>
      <t>-</t>
    </r>
    <r>
      <rPr>
        <b/>
        <sz val="22"/>
        <rFont val="Cambria"/>
        <family val="1"/>
      </rPr>
      <t xml:space="preserve">  25 Locations
</t>
    </r>
    <r>
      <rPr>
        <b/>
        <u/>
        <sz val="22"/>
        <color rgb="FFFF0000"/>
        <rFont val="Cambria"/>
        <family val="1"/>
      </rPr>
      <t>OEM Criteria</t>
    </r>
    <r>
      <rPr>
        <b/>
        <sz val="22"/>
        <color rgb="FFFF0000"/>
        <rFont val="Cambria"/>
        <family val="1"/>
      </rPr>
      <t xml:space="preserve"> - </t>
    </r>
    <r>
      <rPr>
        <sz val="22"/>
        <color theme="1"/>
        <rFont val="Cambria"/>
        <family val="1"/>
      </rPr>
      <t>No</t>
    </r>
  </si>
  <si>
    <t>22-Dec-2023 05:00 PM</t>
  </si>
  <si>
    <t>23-Dec-2023 05:00 PM</t>
  </si>
  <si>
    <t xml:space="preserve"> Corrigendum date extends on 20-Dec-2023 01:30 PM
BOQ CHANGEon 20-Dec-2023 01:03 PM</t>
  </si>
  <si>
    <t>Before Pre bid</t>
  </si>
  <si>
    <t>06-Sep-2023
11:00 AM</t>
  </si>
  <si>
    <t>20-Dec-2023 05:30 PM</t>
  </si>
  <si>
    <t>28,70,000</t>
  </si>
  <si>
    <t>DD, BG, FDR</t>
  </si>
  <si>
    <t>Corrigendum - 9 date corrigendum on 12-Dec-2023 05:48 PM
Corrigendum - 8 Date Corrigendum on 07-Dec-2023 05:49 PM
Technical bid addendum on 07-Dec-2023 06:20 PM</t>
  </si>
  <si>
    <t>PQ Qualified
Payment Terms - NO
Location -  Haridwar 
OEM Criteria -  No</t>
  </si>
  <si>
    <t xml:space="preserve">Delhi Police Automatic Over Speed 125 Location GEM </t>
  </si>
  <si>
    <t>20-05-2023 8:08 PM</t>
  </si>
  <si>
    <t>29.05.2023</t>
  </si>
  <si>
    <t>06-06-2023 ,13:00</t>
  </si>
  <si>
    <t xml:space="preserve">	20-Dec-2023 02:00 PM</t>
  </si>
  <si>
    <t xml:space="preserve">	20-Dec-2023 02:30 PM</t>
  </si>
  <si>
    <t>1,14,30,000</t>
  </si>
  <si>
    <t>Modified On: 2023-11-20 18:37:54 Modified On: 2023-11-03 Date exte. 
Modified On: 2023-06-26 Corrigendum for Date Exten.</t>
  </si>
  <si>
    <r>
      <rPr>
        <b/>
        <sz val="22"/>
        <rFont val="Cambria"/>
        <family val="1"/>
      </rPr>
      <t xml:space="preserve">Working on the the tender ,Waiting for Corrigendum
Payment terms yet not changed
</t>
    </r>
    <r>
      <rPr>
        <b/>
        <u/>
        <sz val="22"/>
        <color rgb="FFFF0000"/>
        <rFont val="Cambria"/>
        <family val="1"/>
      </rPr>
      <t>Payment Terms -</t>
    </r>
    <r>
      <rPr>
        <b/>
        <sz val="22"/>
        <color theme="1"/>
        <rFont val="Cambria"/>
        <family val="1"/>
      </rPr>
      <t xml:space="preserve"> NO (50% - 50%)</t>
    </r>
    <r>
      <rPr>
        <b/>
        <u/>
        <sz val="22"/>
        <color rgb="FFFF0000"/>
        <rFont val="Cambria"/>
        <family val="1"/>
      </rPr>
      <t xml:space="preserve">
Location - </t>
    </r>
    <r>
      <rPr>
        <b/>
        <sz val="22"/>
        <color theme="1"/>
        <rFont val="Cambria"/>
        <family val="1"/>
      </rPr>
      <t>125</t>
    </r>
    <r>
      <rPr>
        <b/>
        <u/>
        <sz val="22"/>
        <color rgb="FFFF0000"/>
        <rFont val="Cambria"/>
        <family val="1"/>
      </rPr>
      <t xml:space="preserve">
OEM Criteria -  </t>
    </r>
    <r>
      <rPr>
        <b/>
        <sz val="22"/>
        <rFont val="Cambria"/>
        <family val="1"/>
      </rPr>
      <t>No</t>
    </r>
  </si>
  <si>
    <t xml:space="preserve">Delhi Police Red Light Signal 57 Intersections-GEM </t>
  </si>
  <si>
    <t>19-05-2023 6:15 PM</t>
  </si>
  <si>
    <t>06-06-2023 ,12:00</t>
  </si>
  <si>
    <t>1,72,89,000</t>
  </si>
  <si>
    <t>Online /RTGS</t>
  </si>
  <si>
    <t>Modified On: 2023-11-20 18:36:01 Modified On: 2023-11-03 Date exte. 
Modified On: 2023-06-26 Corrigendum for Date Exten.</t>
  </si>
  <si>
    <r>
      <rPr>
        <b/>
        <sz val="22"/>
        <rFont val="Cambria"/>
        <family val="1"/>
      </rPr>
      <t xml:space="preserve">Working on the the tender ,Waiting for Corrigendum
Payment terms yet not changed  
</t>
    </r>
    <r>
      <rPr>
        <b/>
        <u/>
        <sz val="22"/>
        <color rgb="FFFF0000"/>
        <rFont val="Cambria"/>
        <family val="1"/>
      </rPr>
      <t>Payment Terms -</t>
    </r>
    <r>
      <rPr>
        <b/>
        <sz val="22"/>
        <color theme="1"/>
        <rFont val="Cambria"/>
        <family val="1"/>
      </rPr>
      <t xml:space="preserve"> NO (50% - 50%)</t>
    </r>
    <r>
      <rPr>
        <b/>
        <u/>
        <sz val="22"/>
        <color rgb="FFFF0000"/>
        <rFont val="Cambria"/>
        <family val="1"/>
      </rPr>
      <t xml:space="preserve">
Location -  </t>
    </r>
    <r>
      <rPr>
        <b/>
        <sz val="22"/>
        <color theme="1"/>
        <rFont val="Cambria"/>
        <family val="1"/>
      </rPr>
      <t>57</t>
    </r>
    <r>
      <rPr>
        <b/>
        <u/>
        <sz val="22"/>
        <color rgb="FFFF0000"/>
        <rFont val="Cambria"/>
        <family val="1"/>
      </rPr>
      <t xml:space="preserve">
OEM Criteria -  </t>
    </r>
    <r>
      <rPr>
        <b/>
        <sz val="22"/>
        <rFont val="Cambria"/>
        <family val="1"/>
      </rPr>
      <t>No</t>
    </r>
  </si>
  <si>
    <t>8.49 Crore</t>
  </si>
  <si>
    <t>19-12-2023  2:00 PM</t>
  </si>
  <si>
    <t>19-Dec-2023 04:00 PM</t>
  </si>
  <si>
    <t>17,00,000</t>
  </si>
  <si>
    <t>10.38 Cr</t>
  </si>
  <si>
    <t>19-12-2023  5:00 PM</t>
  </si>
  <si>
    <t>19-12-2023  5:30 PM</t>
  </si>
  <si>
    <t>10,38,300</t>
  </si>
  <si>
    <t>Internet banking/ NEFT/RTGS</t>
  </si>
  <si>
    <t>On 11-Dec-2023 03:52 PM Corrigendum_3 Date Extentend to  '19-12-2023  5:00 PM
Corrigendum 2 Date Extension and Modification of Clauses 
05-Dec-2023 03:02 PM
Corrigendum_1  regarding date extension with response to pre-bid queries 
23-Nov-2023 06:05 PM</t>
  </si>
  <si>
    <r>
      <rPr>
        <b/>
        <u/>
        <sz val="22"/>
        <color rgb="FFFF0000"/>
        <rFont val="Cambria"/>
        <family val="1"/>
      </rPr>
      <t>Payment Terms</t>
    </r>
    <r>
      <rPr>
        <b/>
        <sz val="22"/>
        <rFont val="Cambria"/>
        <family val="1"/>
      </rPr>
      <t xml:space="preserve"> - Not Given (Rate Contract)
</t>
    </r>
    <r>
      <rPr>
        <b/>
        <u/>
        <sz val="22"/>
        <color rgb="FFFF0000"/>
        <rFont val="Cambria"/>
        <family val="1"/>
      </rPr>
      <t>Location</t>
    </r>
    <r>
      <rPr>
        <b/>
        <sz val="22"/>
        <rFont val="Cambria"/>
        <family val="1"/>
      </rPr>
      <t xml:space="preserve"> - Bhubaneshwar
</t>
    </r>
    <r>
      <rPr>
        <b/>
        <u/>
        <sz val="22"/>
        <color rgb="FFFF0000"/>
        <rFont val="Cambria"/>
        <family val="1"/>
      </rPr>
      <t>OEM  Criteria</t>
    </r>
    <r>
      <rPr>
        <b/>
        <sz val="22"/>
        <rFont val="Cambria"/>
        <family val="1"/>
      </rPr>
      <t xml:space="preserve"> - Yes
Technical Bid Opening</t>
    </r>
  </si>
  <si>
    <t>Punjab Police Housing 8 Jails Corporation CCTV Surveillance</t>
  </si>
  <si>
    <t>01.11.2023 Time 11:00Hrs</t>
  </si>
  <si>
    <t>19-Dec-2023 11:00 AM</t>
  </si>
  <si>
    <t>15,00,000</t>
  </si>
  <si>
    <t>Tender Fee - Online mode 
EMD - BG</t>
  </si>
  <si>
    <t>Corrigendum reg. Technical Bid-02 15-Dec-2023 03:31 PM
09-Dec-2023 01:50 PM Corrigendum date extended to 18-Dec-2023 11:00 AM 
09-Dec-2023 01:50 PM Corrigendum reg. Technical Bid Corrigendum reg. date 24-Nov-2023</t>
  </si>
  <si>
    <r>
      <rPr>
        <b/>
        <sz val="22"/>
        <rFont val="Cambria"/>
        <family val="1"/>
      </rPr>
      <t xml:space="preserve">Warranty - 3 Years, 
Check with respect to OEMs
Check for the work centres
</t>
    </r>
    <r>
      <rPr>
        <b/>
        <u/>
        <sz val="22"/>
        <color rgb="FFFF0000"/>
        <rFont val="Cambria"/>
        <family val="1"/>
      </rPr>
      <t xml:space="preserve">Payment Terms - </t>
    </r>
    <r>
      <rPr>
        <b/>
        <sz val="22"/>
        <color theme="1"/>
        <rFont val="Cambria"/>
        <family val="1"/>
      </rPr>
      <t>OK</t>
    </r>
    <r>
      <rPr>
        <b/>
        <u/>
        <sz val="22"/>
        <color rgb="FFFF0000"/>
        <rFont val="Cambria"/>
        <family val="1"/>
      </rPr>
      <t xml:space="preserve">
Location - </t>
    </r>
    <r>
      <rPr>
        <b/>
        <sz val="22"/>
        <color theme="1"/>
        <rFont val="Cambria"/>
        <family val="1"/>
      </rPr>
      <t xml:space="preserve"> 8 Nos Jail</t>
    </r>
    <r>
      <rPr>
        <b/>
        <u/>
        <sz val="22"/>
        <color rgb="FFFF0000"/>
        <rFont val="Cambria"/>
        <family val="1"/>
      </rPr>
      <t xml:space="preserve">
OEM Criteria - </t>
    </r>
    <r>
      <rPr>
        <b/>
        <sz val="22"/>
        <rFont val="Cambria"/>
        <family val="1"/>
      </rPr>
      <t xml:space="preserve"> No</t>
    </r>
  </si>
  <si>
    <t>2.50cr</t>
  </si>
  <si>
    <t>22-Sep-2019</t>
  </si>
  <si>
    <t>before 2 days</t>
  </si>
  <si>
    <t>29.09.202303:00 PM</t>
  </si>
  <si>
    <t>12-Dec-2023
05:30pm</t>
  </si>
  <si>
    <t>14-Dec-2023
11:00 am</t>
  </si>
  <si>
    <t>1,25,000</t>
  </si>
  <si>
    <t>Corrigendum 5 on 06-12-2023 Corrigendum Due Date Extended to 12-Dec-2023 05:30 PM on 02-12-23
Date sanshodhan 20-Nov-2023 01:27 PM
14-Oct-2023 Date
 09-Oct-2023  Date exchange
03-Oct-2023 Corrigendum  	Nivida sansodhan sochana</t>
  </si>
  <si>
    <r>
      <rPr>
        <b/>
        <sz val="22"/>
        <rFont val="Cambria"/>
        <family val="1"/>
      </rPr>
      <t xml:space="preserve">bid prepared and on extension by long time. 
</t>
    </r>
    <r>
      <rPr>
        <b/>
        <u/>
        <sz val="22"/>
        <color rgb="FFFF0000"/>
        <rFont val="Cambria"/>
        <family val="1"/>
      </rPr>
      <t>Payment Terms -</t>
    </r>
    <r>
      <rPr>
        <b/>
        <sz val="22"/>
        <color rgb="FFFF0000"/>
        <rFont val="Cambria"/>
        <family val="1"/>
      </rPr>
      <t xml:space="preserve">  </t>
    </r>
    <r>
      <rPr>
        <b/>
        <sz val="22"/>
        <color theme="1"/>
        <rFont val="Cambria"/>
        <family val="1"/>
      </rPr>
      <t>Capex -  80% Opex - 20%</t>
    </r>
    <r>
      <rPr>
        <b/>
        <u/>
        <sz val="22"/>
        <color rgb="FFFF0000"/>
        <rFont val="Cambria"/>
        <family val="1"/>
      </rPr>
      <t xml:space="preserve">
Location -</t>
    </r>
    <r>
      <rPr>
        <b/>
        <sz val="22"/>
        <color theme="1"/>
        <rFont val="Cambria"/>
        <family val="1"/>
      </rPr>
      <t xml:space="preserve">  Sheopur Road, Jiwaji Ganj</t>
    </r>
    <r>
      <rPr>
        <b/>
        <u/>
        <sz val="22"/>
        <color rgb="FFFF0000"/>
        <rFont val="Cambria"/>
        <family val="1"/>
      </rPr>
      <t xml:space="preserve">
OEM Criteria -  </t>
    </r>
    <r>
      <rPr>
        <b/>
        <sz val="22"/>
        <rFont val="Cambria"/>
        <family val="1"/>
      </rPr>
      <t>No</t>
    </r>
  </si>
  <si>
    <t>203cr</t>
  </si>
  <si>
    <t xml:space="preserve">	09-Sep-2023 06:00 PM</t>
  </si>
  <si>
    <t xml:space="preserve">	11-Sep-2023 </t>
  </si>
  <si>
    <t>19-09-2023 up to 18.00 Hrs.</t>
  </si>
  <si>
    <t xml:space="preserve">	06-Dec-2023 03:00 PM</t>
  </si>
  <si>
    <t>08-Dec-2023 02:30 PM</t>
  </si>
  <si>
    <t>6,10,70,522</t>
  </si>
  <si>
    <t>Online -SBI Bank</t>
  </si>
  <si>
    <t xml:space="preserve">Corrigendum 6 Date Extension 21-Nov-2023 04:51 PM
Corrigendum 5 changes in clause 21-Nov-2023 04:54 PM
Pre-bid Query responses 17-Nov-23 11:16 AM
 Corrigendum 4 Changes In Clause of RFPs + Prebid Query response on 17-11-23 Corrigendum No. 3 Date Extention 10-Nov-2023
on 27-10-23 03:00 PM Date Extension
14-Nov-2023 Corrigendum 2    
10-Oct-2023 Corrigendum </t>
  </si>
  <si>
    <r>
      <rPr>
        <b/>
        <sz val="20"/>
        <rFont val="Cambria"/>
        <family val="1"/>
      </rPr>
      <t xml:space="preserve">Discuss With Shailesh sir than take final disission NQ Solely or as a lead bidder Due to high turnover Criteria
</t>
    </r>
    <r>
      <rPr>
        <b/>
        <u/>
        <sz val="20"/>
        <color rgb="FFFF0000"/>
        <rFont val="Cambria"/>
        <family val="1"/>
      </rPr>
      <t>Payment Terms -</t>
    </r>
    <r>
      <rPr>
        <b/>
        <sz val="20"/>
        <color theme="1"/>
        <rFont val="Cambria"/>
        <family val="1"/>
      </rPr>
      <t xml:space="preserve"> OK</t>
    </r>
    <r>
      <rPr>
        <b/>
        <u/>
        <sz val="20"/>
        <color rgb="FFFF0000"/>
        <rFont val="Cambria"/>
        <family val="1"/>
      </rPr>
      <t xml:space="preserve">
Location - </t>
    </r>
    <r>
      <rPr>
        <b/>
        <sz val="20"/>
        <color theme="1"/>
        <rFont val="Cambria"/>
        <family val="1"/>
      </rPr>
      <t xml:space="preserve"> Guwahati, Assam</t>
    </r>
    <r>
      <rPr>
        <b/>
        <u/>
        <sz val="20"/>
        <color rgb="FFFF0000"/>
        <rFont val="Cambria"/>
        <family val="1"/>
      </rPr>
      <t xml:space="preserve">
OEM Criteria -  </t>
    </r>
    <r>
      <rPr>
        <b/>
        <sz val="20"/>
        <rFont val="Cambria"/>
        <family val="1"/>
      </rPr>
      <t>Yes</t>
    </r>
  </si>
  <si>
    <t xml:space="preserve">Estimated value in Crores  </t>
  </si>
  <si>
    <t>Bhopal DPI Interactive Panels CPU (Q2) GEM</t>
  </si>
  <si>
    <t>03-11-2025  
05:00 PM</t>
  </si>
  <si>
    <t>04-Nov-2025
 12:00 PM</t>
  </si>
  <si>
    <t>19-Nov-2025 
8:00 PM</t>
  </si>
  <si>
    <t>Representations -11-Nov</t>
  </si>
  <si>
    <t>05-Dec-2025 
 12:00 PM</t>
  </si>
  <si>
    <t>PQ-H- N2D</t>
  </si>
  <si>
    <t>Nisha 
Mam</t>
  </si>
  <si>
    <t>Bhopal Khushilal Sharma Ayurvedic CCTV camera supply and installation MP</t>
  </si>
  <si>
    <t>29-Aug-2025
  02:00 PM</t>
  </si>
  <si>
    <t>17-Sep-2025
  05 :00 PM</t>
  </si>
  <si>
    <t>19-Sep-2025 
 02:00 PM</t>
  </si>
  <si>
    <t>PQ-TQ Qualified by SISPL</t>
  </si>
  <si>
    <t xml:space="preserve"> 16-Sep-2025
 03:00 PM</t>
  </si>
  <si>
    <t>25-Sep-2025
 10:00 AM</t>
  </si>
  <si>
    <t xml:space="preserve"> 25-Sep-2025
 10:30 AM</t>
  </si>
  <si>
    <t>18-Sep-2025
 03:00  PM</t>
  </si>
  <si>
    <t>18-Sep-2025
 03:30  PM</t>
  </si>
  <si>
    <t>25-Sep-2025
 5:00 PM</t>
  </si>
  <si>
    <t>25-Sep-2025
 5:30 PM</t>
  </si>
  <si>
    <t>PQ-Not Qualified</t>
  </si>
  <si>
    <t>Jammu  Indian Army Video Wall RA GEM</t>
  </si>
  <si>
    <t>22-09-2025
 11:00 AM</t>
  </si>
  <si>
    <t>27-Sep-2025
 1:00 PM</t>
  </si>
  <si>
    <t>27-Sep-2025
 01:30 PM</t>
  </si>
  <si>
    <t xml:space="preserve">Corr._Date_Ext-23-Sep
Corr._ Response -23-Sep
</t>
  </si>
  <si>
    <t>PQ- Qualified by SISPL</t>
  </si>
  <si>
    <t>Solan Himachal Pradesh Indian Army LED VIDEO WALL RA GEM</t>
  </si>
  <si>
    <t>29-Sep-2025
 4:00 PM</t>
  </si>
  <si>
    <t>29-Sep-2025
 4:30 PM</t>
  </si>
  <si>
    <t>Corr Publish Representations-22-Sep Corr_Date_Ext-20-Sep</t>
  </si>
  <si>
    <t>09-Sep-2025
 11 :AM</t>
  </si>
  <si>
    <t>13-Oct-2025
 7:00 PM</t>
  </si>
  <si>
    <t>13-Oct-2025
 7:30 PM</t>
  </si>
  <si>
    <t>Corr_ date_Ext-26-Sep
Corr__date_Ext-11-Sep</t>
  </si>
  <si>
    <t>Not Qualified in TQ</t>
  </si>
  <si>
    <t>08-Oct-2025
 05:30 PM</t>
  </si>
  <si>
    <t>15-Oct-2025
 03:30 PM</t>
  </si>
  <si>
    <t>01-Sep-2025
05:00 PM</t>
  </si>
  <si>
    <t xml:space="preserve">29-Sep-2025
 05:00 PM
 </t>
  </si>
  <si>
    <t>30-Sep-2025 
 05:15 PM</t>
  </si>
  <si>
    <t>Corr_Pre Bid Queries response &amp; Changes -24-Sep 
Corr. _Date_Ext-17-Sep</t>
  </si>
  <si>
    <t>Nisha Ma'am</t>
  </si>
  <si>
    <t>15-Oct-2025 
05:00 PM</t>
  </si>
  <si>
    <t>16-Oct-2025 
05:05 PM</t>
  </si>
  <si>
    <t>22-Oct-2025
 04:00 PM</t>
  </si>
  <si>
    <t>23-Oct-2025
 04:00 PM</t>
  </si>
  <si>
    <t>PQ-Qualify by Vai OEM</t>
  </si>
  <si>
    <t>18-Dec-2025
 5:00 PM</t>
  </si>
  <si>
    <t>Corr._Date _Ext-15-Dec
Corr._Date _Ext-08-Oct
Corr._Date _Ext-04-Nov</t>
  </si>
  <si>
    <t>Qualified by TISPL
NO-Go By HB Sir Due to - OEM Case Lock</t>
  </si>
  <si>
    <t>Singrauli NCL CCTV RA GEM</t>
  </si>
  <si>
    <t>26-Dec-2025  10:00 AM</t>
  </si>
  <si>
    <t>26-Dec-2025  
10:30 AM</t>
  </si>
  <si>
    <t>'PQ-Qualified by  TISPL, SISPL</t>
  </si>
  <si>
    <t>Singrauli NCL ATCS RA GEM</t>
  </si>
  <si>
    <t>24-02-26 11:30 AM</t>
  </si>
  <si>
    <t>GEM/2026/B/7161530</t>
  </si>
  <si>
    <t>24-02-26 11 AM</t>
  </si>
  <si>
    <t>Bhopal Vidhan Sabha CCTV AMC</t>
  </si>
  <si>
    <t>2026_MPP_480011_1</t>
  </si>
  <si>
    <t>16-02-26 05:00 PM</t>
  </si>
  <si>
    <t>10-02-26  04:00 PM</t>
  </si>
  <si>
    <t>BG/FD</t>
  </si>
  <si>
    <t xml:space="preserve">Qualified By TISPL,  SISPL </t>
  </si>
  <si>
    <t>Guwahati AMTRON CCTV</t>
  </si>
  <si>
    <t>13-02-26  07:00 PM</t>
  </si>
  <si>
    <t>13-02-26  07:30 PM</t>
  </si>
  <si>
    <t>Corr_Date_Ext-10,04-Feb
Corr_Response-10-Feb
'Corr. _For-Changes-04-Feb</t>
  </si>
  <si>
    <t>17-02-26 05:00 PM</t>
  </si>
  <si>
    <t>GEM/2026/B/7207410</t>
  </si>
  <si>
    <t>Tender Cancelled</t>
  </si>
  <si>
    <t>25-02-26 01:00 PM</t>
  </si>
  <si>
    <t>25-02-26 03:00 PM</t>
  </si>
  <si>
    <t>Corr_Dt_Ext-10-Feb
Corr_Changes-10-Feb</t>
  </si>
  <si>
    <t>27-12-25 11:00 AM</t>
  </si>
  <si>
    <t>GEM/2025/B/6999774</t>
  </si>
  <si>
    <t>Online/DD/BG</t>
  </si>
  <si>
    <t xml:space="preserve">Qualified by TISPL,  SISPL </t>
  </si>
  <si>
    <t>GEM/2026/B/7217361</t>
  </si>
  <si>
    <t>2026_IT_110173_1</t>
  </si>
  <si>
    <t xml:space="preserve"> 17-02-26 03:00 PM</t>
  </si>
  <si>
    <t>14-02-2026</t>
  </si>
  <si>
    <t>Tel No.- 0612-2281242, 0612-2281857 
Fax No. - 0612-2281857
email ID: alokpratapsuman@bihar.gov.in</t>
  </si>
  <si>
    <t>Mr. Alok Pratap Suman</t>
  </si>
  <si>
    <t>Phone: 0141-2744289 , Fax: 0141-2744289
Email: sp.cstore.pmw@rajpolice.gov.in</t>
  </si>
  <si>
    <t>Tamil Nadu NLCIL ICCC RA GEM</t>
  </si>
  <si>
    <t>Chhattisgarh RSDC CCTV 2nd Call</t>
  </si>
  <si>
    <t>Phone No: 04142-211783
Email: dgmtechm1.1a@nlcindia.in</t>
  </si>
  <si>
    <t>18-02-26  03:00 PM</t>
  </si>
  <si>
    <t>Phone : +91 - 011 - 20849041
E-mail : ssaurabh.mnre@gov.in</t>
  </si>
  <si>
    <t>27-02-2026  03:00 PM</t>
  </si>
  <si>
    <t>Gujarat KAMC ATCS</t>
  </si>
  <si>
    <t>27-02-2026  06:00 PM</t>
  </si>
  <si>
    <t>27-02-26  06:00 PM</t>
  </si>
  <si>
    <t>09-03-26 12:00 PM</t>
  </si>
  <si>
    <t>09-02-26</t>
  </si>
  <si>
    <t>19-02-2026  12:00 PM</t>
  </si>
  <si>
    <t>19-02-26  12:00 PM</t>
  </si>
  <si>
    <t>Corr_Dt_Ext-12,05-Feb
Corr_STF letter by Microsoft-2-Feb</t>
  </si>
  <si>
    <t>Manager Tech. Ankit Patel :- 9662499143
(AM) Akash Sathwara :- 9227723029 
Mr Ravi Executive Engineer :-9328198732</t>
  </si>
  <si>
    <t xml:space="preserve">No. (02692)243942 / 243944  
E-mail : ceanandmc@gmail.com   </t>
  </si>
  <si>
    <t>GEM/2026/B/7213086</t>
  </si>
  <si>
    <t>04-03-26  03:00 PM</t>
  </si>
  <si>
    <t>04-03-26  03:30 PM</t>
  </si>
  <si>
    <t>U.P-Aligarh ASCL ICCC</t>
  </si>
  <si>
    <t>2026_DOLBU_1115307_1</t>
  </si>
  <si>
    <t>18-02-26  04:00 PM</t>
  </si>
  <si>
    <t>17-02-2026</t>
  </si>
  <si>
    <t>05-03-26 06:00 PM</t>
  </si>
  <si>
    <t>06-03-26 12:00 PM</t>
  </si>
  <si>
    <t>NEFT/RTGS/BG</t>
  </si>
  <si>
    <t>Sr. No</t>
  </si>
  <si>
    <t>THIRUVANANTHAPURAM_INKEL_VSS</t>
  </si>
  <si>
    <t>18-02-26 11:00 AM</t>
  </si>
  <si>
    <t>'Before Pre -Bid</t>
  </si>
  <si>
    <t>2026_INKEL_835792_1</t>
  </si>
  <si>
    <t>04-03-26 03:00 PM</t>
  </si>
  <si>
    <t>06-03-26 03:00 PM</t>
  </si>
  <si>
    <t>Corr_Date_Ext-13-Feb
Corr_Response-13-Feb</t>
  </si>
  <si>
    <t>17-02-26 11:00 AM</t>
  </si>
  <si>
    <t>17-02-26 11:30 AM</t>
  </si>
  <si>
    <t xml:space="preserve"> 21-02-26 9:00 PM</t>
  </si>
  <si>
    <t>21-02-26  09:00 PM</t>
  </si>
  <si>
    <t>21-02-26  09:30 PM</t>
  </si>
  <si>
    <t>06-03-26 04:00 PM</t>
  </si>
  <si>
    <t>06-03-26 05:00 PM</t>
  </si>
  <si>
    <t>Corr_Dt_Ext-13-Feb
Corr_Pre-Bid_Response-13-Feb
Corr_Changes-13-Feb
Corr_Annexure A,B,C-13-Feb
Corr_Revised_Financial-13-Feb</t>
  </si>
  <si>
    <t>04-03-26 3:00 PM</t>
  </si>
  <si>
    <t>https://etenders.kerala.gov.in/nicgep/app</t>
  </si>
  <si>
    <t>Patna BSEDC CCTV Police Station</t>
  </si>
  <si>
    <t>Patna  BSEDC CCTV Police Station</t>
  </si>
  <si>
    <t>Jharkhand JAPIT CCTV Police Station</t>
  </si>
  <si>
    <t>Jharkhand JAPIT  CCTV Police Station</t>
  </si>
  <si>
    <t>N2D PQ &amp; TQ</t>
  </si>
  <si>
    <t>N2D PQ</t>
  </si>
  <si>
    <r>
      <rPr>
        <sz val="22"/>
        <color theme="1"/>
        <rFont val="Cambria"/>
        <family val="1"/>
      </rPr>
      <t>SECTION OFFICERS</t>
    </r>
    <r>
      <rPr>
        <b/>
        <sz val="22"/>
        <color theme="1"/>
        <rFont val="Cambria"/>
        <family val="1"/>
      </rPr>
      <t xml:space="preserve">
SUMAN SAURABH</t>
    </r>
  </si>
  <si>
    <t>Assam AAI SCCTV system (V3) GEM</t>
  </si>
  <si>
    <t>Corr_Changes-14-Feb
Corr_Pre-Bid Response-14-Feb</t>
  </si>
  <si>
    <t>Corr_For_Changes-16-Feb</t>
  </si>
  <si>
    <t>19-02-26 5:00 PM</t>
  </si>
  <si>
    <t>NO-GO by HB small amount</t>
  </si>
  <si>
    <t>NO-GO by HB civil work</t>
  </si>
  <si>
    <t>NO-GO by HB O&amp;M work</t>
  </si>
  <si>
    <t>NO-GO small amount</t>
  </si>
  <si>
    <t>NO-GO not our scope of work</t>
  </si>
  <si>
    <t>25-02-26  05:30 PM</t>
  </si>
  <si>
    <t>Enquiry  Sent
(Y/N)</t>
  </si>
  <si>
    <t>Y</t>
  </si>
  <si>
    <t>N</t>
  </si>
  <si>
    <t>*Jharkhand JMHIDPCL CCTV ICCC Health</t>
  </si>
  <si>
    <t>02-03-26 03:00 PM</t>
  </si>
  <si>
    <t>02-03-26 04:30 PM</t>
  </si>
  <si>
    <t>DD/BG/NEFT/RTGS</t>
  </si>
  <si>
    <t>2026_DSE_160335_1</t>
  </si>
  <si>
    <t>2026_DHA_160239_1</t>
  </si>
  <si>
    <t>20-02-26 05:00 PM</t>
  </si>
  <si>
    <t>Corr. _Dt_Ext-7-Feb, 22,21,06-Jan,23,08-Dec, 24,13-Nov, 31-Oct
Corr-Clarification-16-Feb
Corr. _For-Changes -22-Jan, 23-Dec
Corr. _Pre-Bid_Dt_Ext-17-Oct</t>
  </si>
  <si>
    <t>19-02-26 05:00 PM</t>
  </si>
  <si>
    <t>02-03-2026 03:00 PM</t>
  </si>
  <si>
    <t>NO-GO by NK (small Amt. , RA)</t>
  </si>
  <si>
    <t>Punjab PPHC CCTV Thane 2nd Call</t>
  </si>
  <si>
    <t>NO-GO by NK (S.Amt. , RA)</t>
  </si>
  <si>
    <t>GEM/2026/B/7166526</t>
  </si>
  <si>
    <t>Punjab Deptt of School Education ICCC</t>
  </si>
  <si>
    <t>23-02-26 02:30 PM</t>
  </si>
  <si>
    <t>Corr_Pre-Bid Date-18-Feb</t>
  </si>
  <si>
    <t>Punjab Deptt of School Education ICCC RA</t>
  </si>
  <si>
    <t>19-02</t>
  </si>
  <si>
    <t>NO_GO
Cancelled </t>
  </si>
  <si>
    <t>PH. 0172-0172-2804506, 
FAX: 0172-2271101
Email ID: ranjodh.singh@punjabpolice.gov.in</t>
  </si>
  <si>
    <t>Smt. Jaskirat Kaur (Dy. SPD, ICT)</t>
  </si>
  <si>
    <t>Ph. No. 0172-5212311
Email: icttech@punjabeducation.gov.in</t>
  </si>
  <si>
    <t>GEM/2026/B/7247479</t>
  </si>
  <si>
    <t>28-02-26 07:00 PM</t>
  </si>
  <si>
    <t>28-02-26 07:30 PM</t>
  </si>
  <si>
    <t>GEM/2026/B/7253518</t>
  </si>
  <si>
    <t>UP Lucknow Gramin Bank VC (Q2) RA GEM 2nd Call</t>
  </si>
  <si>
    <t>23-02-26 11:00 AM</t>
  </si>
  <si>
    <t>11-03-26 03:30 PM</t>
  </si>
  <si>
    <t>10-03-26 11:00 AM</t>
  </si>
  <si>
    <t>Corr_Responce-19-Feb
Corr_Changes &amp; Revised RFP-14Feb
Corr_Dt_Ext-13-Feb</t>
  </si>
  <si>
    <t>Odisha_NACL_CCTV (V3) GEM</t>
  </si>
  <si>
    <t>Guwahati AMTRON CCTV GEM</t>
  </si>
  <si>
    <t>Lucknow UPP 1,000 Body worn (V2) (Q2) RA GEM</t>
  </si>
  <si>
    <t>Chhattisgarh RSDC CCTV GEM 2nd Call</t>
  </si>
  <si>
    <t>EOI Ahmedabad ITI Limited E-Challan</t>
  </si>
  <si>
    <t>ITI/MSP/GUJ/SCADL/25-26/53</t>
  </si>
  <si>
    <t>https://itilimited.ewizard.in</t>
  </si>
  <si>
    <t>Corr_Dt_Ext-17-Feb</t>
  </si>
  <si>
    <t>PQ F - N2D</t>
  </si>
  <si>
    <t>Saturday, 21-Feb 2026</t>
  </si>
  <si>
    <t>Payment Mode</t>
  </si>
  <si>
    <t>NO-GO Building work</t>
  </si>
  <si>
    <t>NO-GO Turnover</t>
  </si>
  <si>
    <t>NO-GO Manpower</t>
  </si>
  <si>
    <t xml:space="preserve">Pratik Nag
Mob: +91-9864186392, 7002158878
Email: pratik.nag@amtron.in , pratikbabs@gmail.com
Email id of MD,Amtron:- md@amtron.in
</t>
  </si>
  <si>
    <t>Didn't Happen</t>
  </si>
  <si>
    <t>NO Pre-Bid</t>
  </si>
  <si>
    <t>Corr_Dt_Ext-21-Feb</t>
  </si>
  <si>
    <t>03-03-26  10:00 AM</t>
  </si>
  <si>
    <t>03-03-26  10:30 AM</t>
  </si>
  <si>
    <t>Gandhinagar Municipal Corporation_ATCS and TES</t>
  </si>
  <si>
    <t>DD/BC/BG</t>
  </si>
  <si>
    <t>18-02-2026</t>
  </si>
  <si>
    <t>18-02-26 12:00 PM</t>
  </si>
  <si>
    <t>Not Qualified PQ-A N2D</t>
  </si>
  <si>
    <t>Financial Bid Opening</t>
  </si>
  <si>
    <r>
      <t xml:space="preserve">ICT Officer - </t>
    </r>
    <r>
      <rPr>
        <sz val="22"/>
        <color theme="1"/>
        <rFont val="Cambria"/>
        <family val="1"/>
      </rPr>
      <t>9879204038</t>
    </r>
    <r>
      <rPr>
        <b/>
        <sz val="22"/>
        <color theme="1"/>
        <rFont val="Cambria"/>
        <family val="1"/>
      </rPr>
      <t xml:space="preserve"> , System analyst: </t>
    </r>
    <r>
      <rPr>
        <sz val="22"/>
        <color theme="1"/>
        <rFont val="Cambria"/>
        <family val="1"/>
      </rPr>
      <t>7874429047</t>
    </r>
    <r>
      <rPr>
        <b/>
        <sz val="22"/>
        <color theme="1"/>
        <rFont val="Cambria"/>
        <family val="1"/>
      </rPr>
      <t xml:space="preserve"> , EDP manager </t>
    </r>
    <r>
      <rPr>
        <sz val="22"/>
        <color theme="1"/>
        <rFont val="Cambria"/>
        <family val="1"/>
      </rPr>
      <t>9924493921</t>
    </r>
    <r>
      <rPr>
        <b/>
        <sz val="22"/>
        <color theme="1"/>
        <rFont val="Cambria"/>
        <family val="1"/>
      </rPr>
      <t xml:space="preserve">
Phone No. 079 232 84150, Fax: 232 21419
Email : ictoff-gmc-gnr@gujarat.gov.in</t>
    </r>
  </si>
  <si>
    <t>Not attended by me Vikash attendede Meta Fusiuon, Nexus , CP Plus attended and raised queries</t>
  </si>
  <si>
    <t xml:space="preserve">CONSULTANT Details Not Shared </t>
  </si>
  <si>
    <t>Consultant approval required for given Make list</t>
  </si>
  <si>
    <t>Retender so DELL and HPI Support required on Server specifications</t>
  </si>
  <si>
    <t xml:space="preserve">Delloite - Ahabhas </t>
  </si>
  <si>
    <t>Hjoint vDirector Finanace Kailash Gaour Telephone (Office) : 0771-2426022	
 mobile : 9039523661
E-Mail id: igreg@gov.in</t>
  </si>
  <si>
    <t>KPMG - BRAMBHA Chaate raj</t>
  </si>
  <si>
    <t xml:space="preserve">Depart ment SP Rural Nagpur Harsh Poddar / ASP Anil Ma sake is the concerned </t>
  </si>
  <si>
    <t xml:space="preserve">Pre Bid attended in Mumbai </t>
  </si>
  <si>
    <t>1. Mr. Manish Kumar , Senior Manager
2. Mr. Prantosh Kumar Singh Chauhan, Chief Manager
1. 8147785120
2. 7388899712</t>
  </si>
  <si>
    <t xml:space="preserve">Lock case by CP Plus </t>
  </si>
  <si>
    <t xml:space="preserve">KPMG - </t>
  </si>
  <si>
    <t>Chandan Sharma / SAARTHI MALLIK -2323837</t>
  </si>
  <si>
    <t>PRE BID ATTERNDED DETAILS SHARED</t>
  </si>
  <si>
    <t xml:space="preserve">Corriendum released but our queries not addressed it is a set tender so no proper vresponse shared .Met the CEO Too .Time line is biggest issue </t>
  </si>
  <si>
    <t>E &amp; Y Anubhav</t>
  </si>
  <si>
    <t xml:space="preserve">CEO - Sunil Kumar Singh and OSD Llan singh </t>
  </si>
  <si>
    <t xml:space="preserve">Pre bid attendede details on the sheet </t>
  </si>
  <si>
    <t>Corriendum awaited as still under process 36 Pareties including OEMS participated Technical queries are there Initially it is Lock case of Sparsh need to be generic fot Participation queries submitted</t>
  </si>
  <si>
    <t>10-03-26 03:30 PM</t>
  </si>
  <si>
    <t>NO-GO RA &amp; cost</t>
  </si>
  <si>
    <t>GEM/2026/B/7274304</t>
  </si>
  <si>
    <t>Uttarakhand_Police_AI System and DA Software (Q2) (V2) RA GEM</t>
  </si>
  <si>
    <t>Dadri NTPC CCTV</t>
  </si>
  <si>
    <t>2026_NTPC_105225_1</t>
  </si>
  <si>
    <t>https://eprocurentpc.nic.in</t>
  </si>
  <si>
    <t>BG/ Online</t>
  </si>
  <si>
    <t>N2D PQ-2</t>
  </si>
  <si>
    <t>17-03-26 06:00 PM</t>
  </si>
  <si>
    <t>BG/Online</t>
  </si>
  <si>
    <t>Bhopal RHQ CCTV surveillance system 50 PSOPs 4th call</t>
  </si>
  <si>
    <t>Online/FD/BG/DD</t>
  </si>
  <si>
    <t>Due to department rigidity on experience part</t>
  </si>
  <si>
    <t>NO-GO Costing issue Due to server</t>
  </si>
  <si>
    <t>Corr_Dt_Ext-26-Feb</t>
  </si>
  <si>
    <t>09-03-26 11:00 AM</t>
  </si>
  <si>
    <t>2026_MPP_485342_1</t>
  </si>
  <si>
    <t>Tel: 01828-222050
E-Mail ID: mcspl73@yahoo.in, dc.kpr@punjab.gov.in
Phone Number: 01822-297220.</t>
  </si>
  <si>
    <t>Bhopal DHE CCTV Turnkey Basis 247 Govt College 2nd Call</t>
  </si>
  <si>
    <t>2026_HED_485170_1</t>
  </si>
  <si>
    <t>24-03-26 12:00 PM</t>
  </si>
  <si>
    <t>04-03-26 06:00 PM</t>
  </si>
  <si>
    <t>Online/FD/BG</t>
  </si>
  <si>
    <t>25-03-26 03:00 PM</t>
  </si>
  <si>
    <t xml:space="preserve"> 17-03-26 06:00 PM</t>
  </si>
  <si>
    <t>27-03-26 12:30 PM</t>
  </si>
  <si>
    <t>Corr_Dt_Ext-27-Feb
Corr_Amendment &amp; Pre-Bid Response-27-Feb</t>
  </si>
  <si>
    <t>RAIPUR_NTPC_CCTV</t>
  </si>
  <si>
    <t>2026_NTPC_105058_1</t>
  </si>
  <si>
    <t>02-Mar-2026 03:00 PM</t>
  </si>
  <si>
    <t>04-Mar-2026 03:00 PM</t>
  </si>
  <si>
    <t>Ramagundam_NTPC_CCTV</t>
  </si>
  <si>
    <t>'NA</t>
  </si>
  <si>
    <t>Indore - Shifting of Existing CCTV Command control Room</t>
  </si>
  <si>
    <t>23-Feb-2026 03:00 PM</t>
  </si>
  <si>
    <t>25-Feb-2026 05:00 PM</t>
  </si>
  <si>
    <t>26-Feb-2026 05:00 PM</t>
  </si>
  <si>
    <t>2026_MPP_483102_1</t>
  </si>
  <si>
    <t>Varanasi CDT job at 21 ITMS junction</t>
  </si>
  <si>
    <t>2026_NNVAR_1118509_1</t>
  </si>
  <si>
    <t>13-Mar-2026 05:00 PM</t>
  </si>
  <si>
    <t>13-Mar-2026 05:30 PM</t>
  </si>
  <si>
    <t>Bhopal_SBPHQ_work station</t>
  </si>
  <si>
    <t>2026_MPP_483796_1</t>
  </si>
  <si>
    <t>04-Mar-2026 04:00 PM</t>
  </si>
  <si>
    <t>05-Mar-2026 04:00 PM</t>
  </si>
  <si>
    <t>24-20-26 12 PM</t>
  </si>
  <si>
    <t>ujjain SCL Ashram-NK</t>
  </si>
  <si>
    <t>2026_UAD_484565_1</t>
  </si>
  <si>
    <t>25-Mar-2026 05:00 PM</t>
  </si>
  <si>
    <t xml:space="preserve">09-Mar-2026 03:00 PM </t>
  </si>
  <si>
    <t xml:space="preserve">	26-Mar-2026 05:00 PM</t>
  </si>
  <si>
    <t>Visakhapatnam_GAIL_CCTV</t>
  </si>
  <si>
    <t>GEM/2026/B/7283118</t>
  </si>
  <si>
    <t>https://eprocurentpc.nic.in/</t>
  </si>
  <si>
    <t>20-03-2026 15:00</t>
  </si>
  <si>
    <t>20-03-2026 15:30</t>
  </si>
  <si>
    <t>Bhubaneswar OCAC VC</t>
  </si>
  <si>
    <t>20-03-26 02:00 PM</t>
  </si>
  <si>
    <t>20-03-26 04:00 PM</t>
  </si>
  <si>
    <t>PQ qualified by TISPL and N2D TQ 4 &amp; TQ 5</t>
  </si>
  <si>
    <t xml:space="preserve">NO-GO by HB </t>
  </si>
  <si>
    <t xml:space="preserve">NO-GO </t>
  </si>
  <si>
    <t>NO-GO by HB</t>
  </si>
  <si>
    <t>Corr_Date_Ext-02-Mar, 12-Feb
Corr_Changes-02-Mar
Corr_Pre-Bid Response-02-Mar</t>
  </si>
  <si>
    <t>23-03-26 8:00 PM</t>
  </si>
  <si>
    <t>23-03-26 8:30 PM</t>
  </si>
  <si>
    <t>Corr_for_Pre-Bid Date-02-Mar</t>
  </si>
  <si>
    <t>Corr_Dt_Ext-02-Mar, 26,20,12,04-Feb, 29,19,08-Jan, 29,18,08-Dec, 27-Nov 
Corr_Changes-02-Mar, 20,13-Frb
Corr._Response-04-Feb</t>
  </si>
  <si>
    <t>09-03-26 4:00 PM</t>
  </si>
  <si>
    <t>09-03-26 4:30 PM</t>
  </si>
  <si>
    <t>Bhubaneswar OMC CCTV</t>
  </si>
  <si>
    <t>2026_OMC_126400_1</t>
  </si>
  <si>
    <t>09-03-26 03:30 PM</t>
  </si>
  <si>
    <t>05-03-26 05:00 PM</t>
  </si>
  <si>
    <t>Varanasi BHU CCTV</t>
  </si>
  <si>
    <t>https://etender.cpwd.gov.in/</t>
  </si>
  <si>
    <t>09-03-26 11:00 A.M</t>
  </si>
  <si>
    <t>DD,FDR,BC,BG</t>
  </si>
  <si>
    <t>Qualified TISPL, PQ- Few points N2D</t>
  </si>
  <si>
    <t>11-01-2026 03:00 PM</t>
  </si>
  <si>
    <t>26-12-2025 03:00 PM</t>
  </si>
  <si>
    <t>PQ-Qualified by  TISPL, SISPL PQ-1 N2D</t>
  </si>
  <si>
    <t>16-01-2026 03:00 PM</t>
  </si>
  <si>
    <t>GEM/2026/B/7278229</t>
  </si>
  <si>
    <t>Singrauli NCL Camera for CCTV System (V3) RA GEM 3rd call</t>
  </si>
  <si>
    <t>*Singrauli NCL Camera for CCTV System (V3) RA GEM 2nd call</t>
  </si>
  <si>
    <t>24-03-26 1:00 PM</t>
  </si>
  <si>
    <t>24-03-26 01:00 PM</t>
  </si>
  <si>
    <t>24-03-26 01:30 PM</t>
  </si>
  <si>
    <t>Qualified TISPL, SISPL</t>
  </si>
  <si>
    <t>NO-GO civil</t>
  </si>
  <si>
    <t>RA</t>
  </si>
  <si>
    <t xml:space="preserve"> Financial Evaluation</t>
  </si>
  <si>
    <t>04-02-26 06:00 PM</t>
  </si>
  <si>
    <t>YES</t>
  </si>
  <si>
    <t>Qualified TISPL,  SISPL</t>
  </si>
  <si>
    <t>Qualified TISPL, PQ-4 N2D</t>
  </si>
  <si>
    <t>PQ-Qualified by TISPL, Lossing 10 Marks in TQ</t>
  </si>
  <si>
    <t>30-03-26 03:00 PM</t>
  </si>
  <si>
    <t xml:space="preserve">Corr. _Dt_Ext-05-Mar, 27-Feb, 21,12-Jan, 05-Dec, 26,18,11-Nov, 29-Oct, 29,19-Sep, 25 Aug
</t>
  </si>
  <si>
    <t>07-04-26 03:00 PM</t>
  </si>
  <si>
    <t>20-03-26 05:00 PM</t>
  </si>
  <si>
    <t>16-03-26 03:00 PM</t>
  </si>
  <si>
    <t>20-03-26 05:30 PM</t>
  </si>
  <si>
    <t>24-03-26 04:00 PM</t>
  </si>
  <si>
    <t>Corr_Date_Ext-06-Mar
Corr_Date_Ext-26,16,04-Feb, 28-Jan
'Updated DTCN with Prebid Meeting Link-12-Jan</t>
  </si>
  <si>
    <t>Corr_For_Changes-06-Mar
Corr_Dt_Ext-24,18,11,02-Feb
Corr_For_Changes-16-Feb</t>
  </si>
  <si>
    <t xml:space="preserve"> Qualified </t>
  </si>
  <si>
    <t>NO-GO Bad Payment Term</t>
  </si>
  <si>
    <t>20-03-26 5:30 PM</t>
  </si>
  <si>
    <t>Tamil Nadu, VOC Port Authority CCTV</t>
  </si>
  <si>
    <t>2026_VOCPT_267854_1</t>
  </si>
  <si>
    <t>DD/BC/BG/FDR</t>
  </si>
  <si>
    <t xml:space="preserve">PQ Qualified, TQ- Loosing marks </t>
  </si>
  <si>
    <t>opening</t>
  </si>
  <si>
    <t>1-30</t>
  </si>
  <si>
    <t>GEM/2026/B/7321500</t>
  </si>
  <si>
    <t>20-03-2026 05:00 PM</t>
  </si>
  <si>
    <t>Ranchi CTD VAT Applications and GST State Operations</t>
  </si>
  <si>
    <t>10-03-26 01:00 PM</t>
  </si>
  <si>
    <t>21-03-26 04:30 PM</t>
  </si>
  <si>
    <t>24-03-26 04:30 PM</t>
  </si>
  <si>
    <t>12-03-26 02:00 PM</t>
  </si>
  <si>
    <t>12-03-26 02:30 PM</t>
  </si>
  <si>
    <t>'Corr_Dt_Ext-10-Mar
Response-06-Mar</t>
  </si>
  <si>
    <t>21-03-26 03:00 PM</t>
  </si>
  <si>
    <t>23-03-26 03:10 PM</t>
  </si>
  <si>
    <t>Corr_Dt_Ext-10,09-Mar</t>
  </si>
  <si>
    <t>Central University of Punjab CCTV</t>
  </si>
  <si>
    <t>2026_CUP_897699_1</t>
  </si>
  <si>
    <t>'02-03-26 03:00 PM</t>
  </si>
  <si>
    <t>03-03-26 03:00 PM</t>
  </si>
  <si>
    <t>26-03-26 5:00 PM</t>
  </si>
  <si>
    <t>26-03-26 5:30 PM</t>
  </si>
  <si>
    <t>Corr_Dt_Ext-11,10,02-Mar
Corr_For_Changes-11-Mar</t>
  </si>
  <si>
    <t>DD/FRD/BG/BC</t>
  </si>
  <si>
    <t>Corr_Dt_ext-02-Mar
Corr_For_ queries Response-03-Mar</t>
  </si>
  <si>
    <t>Qualitied By TISPL &amp; SISPL</t>
  </si>
  <si>
    <t>Not Qualified By PQ 03 &amp; 07</t>
  </si>
  <si>
    <t>Delhi_PWD_Hybrid hearing/ streaming equipments</t>
  </si>
  <si>
    <t>28-03-25 11:00 AM</t>
  </si>
  <si>
    <t>02-04-26 03:00 PM</t>
  </si>
  <si>
    <t>02-04-26 03:30 PM</t>
  </si>
  <si>
    <t>Corr_Dt_Ext-25-Feb</t>
  </si>
  <si>
    <t>NO-GO by RS 
Small amount</t>
  </si>
  <si>
    <t>NO-GO BY RS 
Small Amount</t>
  </si>
  <si>
    <t>31-03-2026 3:00 PM</t>
  </si>
  <si>
    <t>31-03-2026 3:30 PM</t>
  </si>
  <si>
    <t>Corr_Dt_Ext-12-Mar
Corr_For_Response-12-Mar
Corr_For_Changes-06-Mar
Corr_Dt_Ext-28,13-Feb, 31,14,03-Jan</t>
  </si>
  <si>
    <t>Corr_Dt_Ext-12-Mar</t>
  </si>
  <si>
    <t>2025_PWD_269693_1</t>
  </si>
  <si>
    <t>https://govtprocurement.delhi.gov.in/nicgep/app</t>
  </si>
  <si>
    <t>06-04-26 03:00 PM</t>
  </si>
  <si>
    <t>06-04-26 05:00 PM</t>
  </si>
  <si>
    <t xml:space="preserve">TRIPURA Joint Transport Commissioner ITMS </t>
  </si>
  <si>
    <t>2026_TRAND_71213_1</t>
  </si>
  <si>
    <t>11-03-2026 05:00 PM</t>
  </si>
  <si>
    <t xml:space="preserve">Qualified By TISPL </t>
  </si>
  <si>
    <t>https://www.tripuratenders.gov.in/nicgep/app</t>
  </si>
  <si>
    <t>25-03-26 03:00 AM</t>
  </si>
  <si>
    <t>16-03-26 11:00 AM</t>
  </si>
  <si>
    <t>Mathura UPMVD C.C.T.V. CAMERA, P.A. SYSTEM EVAM I.T.M.S</t>
  </si>
  <si>
    <t>2026_UPMVD_1124313_1</t>
  </si>
  <si>
    <t>01-04-26 05:00 AM</t>
  </si>
  <si>
    <t>02-04-26 02:00 AM</t>
  </si>
  <si>
    <t>25-03-26 05:00 AM</t>
  </si>
  <si>
    <t>Qualified By TISPL &amp; SISPL</t>
  </si>
  <si>
    <t>PQ - N2D PQ 1.2 (A)</t>
  </si>
  <si>
    <t>NO-GO Outside Scope of work</t>
  </si>
  <si>
    <t>NO-GO 
outside scope of work</t>
  </si>
  <si>
    <t>31-03-26 3:00 PM</t>
  </si>
  <si>
    <t>Jagdalpur Nmdc CCTV System (V3) RA GEM</t>
  </si>
  <si>
    <t>27-03-26 06:00 PM</t>
  </si>
  <si>
    <t>27-03-26 06:30 PM</t>
  </si>
  <si>
    <t>GEM/2026/B/7326284</t>
  </si>
  <si>
    <t>2026_MHRD_902298_1</t>
  </si>
  <si>
    <t>06-04-26 02:00 PM</t>
  </si>
  <si>
    <t>17-03-26 05:30 PM</t>
  </si>
  <si>
    <t>21-03-26 03:00PM</t>
  </si>
  <si>
    <t>E-mail : cbsehqdelhi@gmail.com</t>
  </si>
  <si>
    <t>Delhi Dwarka CBSE Data Center</t>
  </si>
  <si>
    <t>06-04-26 11:00 AM</t>
  </si>
  <si>
    <t>06-04-26 11:30 AM</t>
  </si>
  <si>
    <t>20-03-26 11:00 AM</t>
  </si>
  <si>
    <t>Kolkata PGCIL PTZ Camera (STQC Model)</t>
  </si>
  <si>
    <t>GEM/2026/B/7321405</t>
  </si>
  <si>
    <t>DD/BG/BC/FRD/ Online</t>
  </si>
  <si>
    <t>Saturday, 14-Mar 2026</t>
  </si>
  <si>
    <t>Tiruvallur  AVNL ERP  IMPLEMENTATION GEM</t>
  </si>
  <si>
    <t>GEM/2025/B/6372767</t>
  </si>
  <si>
    <t>Maharashtra DFS Bank E-Surveillance  RA GEM</t>
  </si>
  <si>
    <t>GEM/2026/B/7289520</t>
  </si>
  <si>
    <t>New Delhi Dwarka PWD CCTV Surveillance System</t>
  </si>
  <si>
    <t>2026_PWD_287919_1</t>
  </si>
  <si>
    <t>NOT Qualified</t>
  </si>
  <si>
    <t>19-03-26 2:00 PM</t>
  </si>
  <si>
    <t>24-07-25 11:00 AM</t>
  </si>
  <si>
    <t>Online/DD/BG/BC/FDR</t>
  </si>
  <si>
    <t>19-03-26 2:30 PM</t>
  </si>
  <si>
    <t>Corr_Dt_Exr-14-Mar, 27,13-Feb,14,23,30-Jan, 
Corr_For Response-24-Nov-25</t>
  </si>
  <si>
    <t>06.03.26 12:00 PM</t>
  </si>
  <si>
    <t>Not Qualified By PQ -07 &amp; 08 N2D PQ -12</t>
  </si>
  <si>
    <t>Bhopal RHQ CCTV camera in three cities</t>
  </si>
  <si>
    <t>2026_MPP_490478_1</t>
  </si>
  <si>
    <t xml:space="preserve">18-03-26 12:00 PM </t>
  </si>
  <si>
    <t>17-03-26 06:30 PM</t>
  </si>
  <si>
    <t>2026_MPP_490480_1</t>
  </si>
  <si>
    <t>Bhopal RHQ Storage VMS and AI Based Video Analytics</t>
  </si>
  <si>
    <t>Online/FDR/BG</t>
  </si>
  <si>
    <t>'Online/FDR/BG</t>
  </si>
  <si>
    <t>2026_MPP_490481_1</t>
  </si>
  <si>
    <t>DD/BC/FDR</t>
  </si>
  <si>
    <t>Bhopal RHQ Speed Violation Detection System</t>
  </si>
  <si>
    <t>Bhopal RHQ Bhopal RHQ Speed Violation Detection System</t>
  </si>
  <si>
    <r>
      <t> </t>
    </r>
    <r>
      <rPr>
        <sz val="12"/>
        <rFont val="Cambria"/>
        <family val="1"/>
      </rPr>
      <t>Not Evaluated</t>
    </r>
  </si>
  <si>
    <t>02-04-26 04:00 PM</t>
  </si>
  <si>
    <t>02-04-26 06:00 PM</t>
  </si>
  <si>
    <t>31-03-26 04:00 PM</t>
  </si>
  <si>
    <t>01-04-26 04:00 PM</t>
  </si>
  <si>
    <t>Corr._Dt_Ext-16,06-Mar, 24,09-Feb, 30,23,15-Jan
Corr._Tech Changes-24-Jan</t>
  </si>
  <si>
    <t>Corr. _Dt_Ext-16-Mar, 25,13-Feb, 27,09-Jan, 27,13-Dec</t>
  </si>
  <si>
    <t>30-03-26 05:00 PM</t>
  </si>
  <si>
    <t>01-04-26 11:00 AM</t>
  </si>
  <si>
    <t>Corr_Dt_Ext-17,06-Mar, 19-Feb
Corr_Pre Bid details-04-Feb
Corr_Draft Contract Agreement-29-Jan</t>
  </si>
  <si>
    <t>23-03-26 03:00 PM</t>
  </si>
  <si>
    <t>24-03-26 03:30 PM</t>
  </si>
  <si>
    <t>Corr_Dt_Ext-16,09-Mar, 24-Feb
Corr_Revised BOQ-02-Mar
Corr_pre-bid response-02-Mar
Corr_Start date of bid submission_27-Feb</t>
  </si>
  <si>
    <t>30-03-26 04:30 PM</t>
  </si>
  <si>
    <t>01-04-26 10:00 AM</t>
  </si>
  <si>
    <t>Corr_Dt_Ext-16-Mar, 26,16-Feb, 30,14-Jan, 30,12-Dec</t>
  </si>
  <si>
    <t>Corr_For Response-16-Mar
Corr_Dt_Ext-13-Mar
Corr_For Changes-13-Mar</t>
  </si>
  <si>
    <t>Bhopal RHQ CCTV SYSTEM Mauganj</t>
  </si>
  <si>
    <t>Noida CDAC CCTV</t>
  </si>
  <si>
    <t>GEM/2026/B/7350438</t>
  </si>
  <si>
    <t>02-04-26 05:00 PM</t>
  </si>
  <si>
    <t>18-03-26 11:00 AM</t>
  </si>
  <si>
    <t>Noida CDAC CCTV (V3) GEM</t>
  </si>
  <si>
    <t>02-04-26 05:30 PM</t>
  </si>
  <si>
    <t>Qualified by TISPL, SISPL</t>
  </si>
  <si>
    <t>'Before Pre-Bid</t>
  </si>
  <si>
    <t>02-04-2026  05:00 PM</t>
  </si>
  <si>
    <t>Corr_Dt_Ext-17-Mar
Corr_For Changes-10-Mar</t>
  </si>
  <si>
    <t>24-03-26 03:00 PM</t>
  </si>
  <si>
    <t>25-03-26 04:00 PM</t>
  </si>
  <si>
    <t>ISSUE in the PQ chanllenge customer will not change up denied in updating on the same.</t>
  </si>
  <si>
    <t>Team Delhi is handling the same.</t>
  </si>
  <si>
    <t>Mr Azad - E&amp;T Department :- 9771166991</t>
  </si>
  <si>
    <t>No Pre bid</t>
  </si>
  <si>
    <t>Some changes done in Cameras one meeting scheduled for 19th March</t>
  </si>
  <si>
    <t xml:space="preserve">Two bids need to submit as qualified OEM Response awaited .Tender Prepration almost done </t>
  </si>
  <si>
    <t>No Pre bid attended</t>
  </si>
  <si>
    <t>Awaiting the corriendum duse to CRID Lan Project once Finalize  they will work on the same.</t>
  </si>
  <si>
    <t xml:space="preserve">Sandeep VERMA :- 7986956533 , Rajesh Pandey </t>
  </si>
  <si>
    <t>Consultant Not Shared</t>
  </si>
  <si>
    <t xml:space="preserve">Payment Term issue awaiting for the corriendum </t>
  </si>
  <si>
    <t>Date extended only Cost wise issue and new corriendum awaited with some changes in Quantity of Cameras</t>
  </si>
  <si>
    <t>Paymernt issue challendge in execution</t>
  </si>
  <si>
    <t>Telephone-0674- 2548428 Sanjeev Das 
FAX: 0674-2540811
E-mail Id: bbsr.bscl@gmail.com</t>
  </si>
  <si>
    <t>CUTE need to change then only we can proceed corriendum awaited  on the same</t>
  </si>
  <si>
    <t>Corriendum Awaited only Date extended done chanllenge with in Department to finallise the same</t>
  </si>
  <si>
    <t>Consultant - Nitin (GT)</t>
  </si>
  <si>
    <t>OEM Support not getting Lock casemajorly by Atishay Ltd. And Stonly follow up by Heavens Technology</t>
  </si>
  <si>
    <t>Vinjim Sir - -9666488708, Commissioner - Prabal Sepaha :- 9424419090</t>
  </si>
  <si>
    <t>Pre bid Attended by Vikas</t>
  </si>
  <si>
    <t>Shri Prashant Gautam</t>
  </si>
  <si>
    <t>Landline: 0565-2471090</t>
  </si>
  <si>
    <t>Shri Sanjay Kumar Verma</t>
  </si>
  <si>
    <t>e-mail : eeejed01@gmail.com	
Ph : 011-21400578</t>
  </si>
  <si>
    <t>21-03-26 3:00 PM</t>
  </si>
  <si>
    <t>21-03-26 3:30 PM</t>
  </si>
  <si>
    <t>Corr_Dt_Ext-18-Mar
Corr_Dt_Ext-11-Mar</t>
  </si>
  <si>
    <t>27-03-26  03:30 PM</t>
  </si>
  <si>
    <t>27-03-26  03:00 PM</t>
  </si>
  <si>
    <t>Corr_Dt_Ext-18-Mar</t>
  </si>
  <si>
    <t>Jagdalpur NMDC CCTV System (V3) RA GEM</t>
  </si>
  <si>
    <t>30-03-26  04:00 PM</t>
  </si>
  <si>
    <t>30-03-26  04:30 PM</t>
  </si>
  <si>
    <t xml:space="preserve">23-03-26 03:00 PM </t>
  </si>
  <si>
    <t xml:space="preserve">23-03-26 03:30 PM </t>
  </si>
  <si>
    <t>Corr_for Changes  date _EXt-18-Mar
Corr_Dt_Ext-13,10,03-Mar
Corr_for Changes-10-Mar</t>
  </si>
  <si>
    <t>'Corr_for Changes-18-Mar
Corr_Dt_Ext-10,06-Mar
Corr_for Changes-13,10,09,05-Mar</t>
  </si>
  <si>
    <t>03-04-26 03:10 PM</t>
  </si>
  <si>
    <t xml:space="preserve">NAVA RAIPUR ICCC AMC 2nd Call </t>
  </si>
  <si>
    <t>09-03-2026 15:00</t>
  </si>
  <si>
    <t>Not Qualified 
*PQ -07&amp; 09</t>
  </si>
  <si>
    <t>DD/BG/FRD</t>
  </si>
  <si>
    <t>https://eproc.cgstate.gov.in/CHEPS/security/getSignInAction.do</t>
  </si>
  <si>
    <t>Corr_Dt_Ext-03-Mar
Corr_For Changes-12-Mar</t>
  </si>
  <si>
    <t xml:space="preserve">24-03-26 4:00 PM </t>
  </si>
  <si>
    <t xml:space="preserve">23-03-26 3:00 PM </t>
  </si>
  <si>
    <t>2026_MHRD_902199_1</t>
  </si>
  <si>
    <t>Delhi Dwarka CBSE Data Centre</t>
  </si>
  <si>
    <t>Delhi  CBSE Data Centre</t>
  </si>
  <si>
    <t>?</t>
  </si>
  <si>
    <t>02-Apr-2026 03:00 PM</t>
  </si>
  <si>
    <t>24-Mar-2026 03:00 PM</t>
  </si>
  <si>
    <t>\</t>
  </si>
  <si>
    <t>Friday, 20-Mar-2026</t>
  </si>
  <si>
    <t>Corr_Start date of bid submission-19-Mar
Corr_Dt_Ext-18-Mar
Corr_BOQ-19-Mar
Corr_For Changes-19,17-Mar</t>
  </si>
  <si>
    <t>Corr_Start date of bid submission-19-Mar
Corr_Dt_Ext-18-Mar
Corr_For Changes-19,17-Mar</t>
  </si>
  <si>
    <t>1. Sh. Anil Kumar (PPS / I/C-Admin)
Ph: 0120-2210814, email: akumar@cdac.in
2. Sh. Ravi Shankar (Admin Execu􀆟ve)
Ph: 0120-2210815, email: ravishankar@cdac.in
3. Sh. B.K. Rai (Sr. Technical Assistant)
Mob: 9818533440, email: bkrai@cdac.in
4. Sh. Naveen Sharma (Technical Assistant)
Mob: 9599215328, email: naveensharma@cdac.in
5. Sh. Avinash Kumar (Electrical Consultant)
Mob: 9999483544, email: avinashgoel_gn@yahoo.com
GC (MMG)
Email: headmmg-noida@cdac.in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</si>
</sst>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_(* #,##0.00_);_(* \(#,##0.00\);_(* &quot;-&quot;??_);_(@_)"/>
    <numFmt numFmtId="165" formatCode="[$-F800]dddd\,\ mmmm\ dd\,\ yyyy"/>
    <numFmt numFmtId="166" formatCode="_ [$₹-439]* #,##0_ ;_ [$₹-439]* \-#,##0_ ;_ [$₹-439]* &quot;-&quot;_ ;_ @_ "/>
    <numFmt numFmtId="167" formatCode="[$-409]d/mmm/yyyy;@"/>
    <numFmt numFmtId="168" formatCode="_ &quot;₹&quot;\ * #,##0_ ;_ &quot;₹&quot;\ * \-#,##0_ ;_ &quot;₹&quot;\ * &quot;-&quot;??_ ;_ @_ "/>
  </numFmts>
  <fonts count="133">
    <font>
      <sz val="11"/>
      <color theme="1"/>
      <name val="Calibri"/>
      <charset val="134"/>
      <scheme val="minor"/>
    </font>
    <font>
      <sz val="20"/>
      <color theme="1"/>
      <name val="Cambria"/>
      <family val="1"/>
    </font>
    <font>
      <b/>
      <sz val="18"/>
      <name val="Cambria"/>
      <family val="1"/>
    </font>
    <font>
      <sz val="16"/>
      <color theme="1"/>
      <name val="Cambria"/>
      <family val="1"/>
    </font>
    <font>
      <b/>
      <sz val="20"/>
      <color theme="1"/>
      <name val="Cambria"/>
      <family val="1"/>
    </font>
    <font>
      <b/>
      <sz val="20"/>
      <name val="Cambria"/>
      <family val="1"/>
    </font>
    <font>
      <b/>
      <sz val="14"/>
      <name val="Cambria"/>
      <family val="1"/>
    </font>
    <font>
      <b/>
      <sz val="16"/>
      <color theme="1"/>
      <name val="Cambria"/>
      <family val="1"/>
    </font>
    <font>
      <sz val="18"/>
      <color theme="1"/>
      <name val="Cambria"/>
      <family val="1"/>
    </font>
    <font>
      <sz val="14"/>
      <color theme="1"/>
      <name val="Calibri"/>
      <family val="2"/>
      <scheme val="minor"/>
    </font>
    <font>
      <b/>
      <sz val="20"/>
      <color theme="0"/>
      <name val="Cambria"/>
      <family val="1"/>
    </font>
    <font>
      <b/>
      <u/>
      <sz val="20"/>
      <color theme="1"/>
      <name val="Cambria"/>
      <family val="1"/>
    </font>
    <font>
      <b/>
      <sz val="18"/>
      <color theme="1"/>
      <name val="Cambria"/>
      <family val="1"/>
    </font>
    <font>
      <b/>
      <u val="double"/>
      <sz val="18"/>
      <name val="Cambria"/>
      <family val="1"/>
    </font>
    <font>
      <b/>
      <u val="double"/>
      <sz val="20"/>
      <color theme="1"/>
      <name val="Cambria"/>
      <family val="1"/>
    </font>
    <font>
      <b/>
      <sz val="16"/>
      <name val="Cambria"/>
      <family val="1"/>
    </font>
    <font>
      <b/>
      <u val="double"/>
      <sz val="18"/>
      <color theme="1"/>
      <name val="Cambria"/>
      <family val="1"/>
    </font>
    <font>
      <b/>
      <sz val="14"/>
      <color theme="1"/>
      <name val="Calibri"/>
      <family val="2"/>
      <scheme val="minor"/>
    </font>
    <font>
      <sz val="16"/>
      <name val="Cambria"/>
      <family val="1"/>
    </font>
    <font>
      <sz val="24"/>
      <name val="Cambria"/>
      <family val="1"/>
    </font>
    <font>
      <b/>
      <sz val="36"/>
      <name val="Cambria"/>
      <family val="1"/>
    </font>
    <font>
      <b/>
      <sz val="30"/>
      <name val="Cambria"/>
      <family val="1"/>
    </font>
    <font>
      <sz val="30"/>
      <name val="Cambria"/>
      <family val="1"/>
    </font>
    <font>
      <sz val="20"/>
      <name val="Cambria"/>
      <family val="1"/>
    </font>
    <font>
      <b/>
      <sz val="28"/>
      <name val="Cambria"/>
      <family val="1"/>
    </font>
    <font>
      <sz val="28"/>
      <name val="Cambria"/>
      <family val="1"/>
    </font>
    <font>
      <sz val="28"/>
      <color theme="1"/>
      <name val="Cambria"/>
      <family val="1"/>
    </font>
    <font>
      <sz val="22"/>
      <name val="Cambria"/>
      <family val="1"/>
    </font>
    <font>
      <b/>
      <u/>
      <sz val="36"/>
      <name val="Cambria"/>
      <family val="1"/>
    </font>
    <font>
      <b/>
      <sz val="24"/>
      <color theme="0"/>
      <name val="Cambria"/>
      <family val="1"/>
    </font>
    <font>
      <b/>
      <sz val="36"/>
      <color theme="0"/>
      <name val="Cambria"/>
      <family val="1"/>
    </font>
    <font>
      <b/>
      <sz val="22"/>
      <color theme="0"/>
      <name val="Cambria"/>
      <family val="1"/>
    </font>
    <font>
      <b/>
      <sz val="36"/>
      <color theme="1"/>
      <name val="Cambria"/>
      <family val="1"/>
    </font>
    <font>
      <b/>
      <u val="double"/>
      <sz val="36"/>
      <color theme="1"/>
      <name val="Cambria"/>
      <family val="1"/>
    </font>
    <font>
      <b/>
      <sz val="30"/>
      <color theme="1"/>
      <name val="Cambria"/>
      <family val="1"/>
    </font>
    <font>
      <b/>
      <i/>
      <sz val="36"/>
      <name val="Cambria"/>
      <family val="1"/>
    </font>
    <font>
      <b/>
      <sz val="28"/>
      <color theme="1"/>
      <name val="Cambria"/>
      <family val="1"/>
    </font>
    <font>
      <b/>
      <i/>
      <u val="double"/>
      <sz val="36"/>
      <name val="Cambria"/>
      <family val="1"/>
    </font>
    <font>
      <b/>
      <sz val="26"/>
      <color theme="0"/>
      <name val="Cambria"/>
      <family val="1"/>
    </font>
    <font>
      <b/>
      <u val="double"/>
      <sz val="30"/>
      <name val="Cambria"/>
      <family val="1"/>
    </font>
    <font>
      <b/>
      <i/>
      <u val="double"/>
      <sz val="36"/>
      <color theme="1"/>
      <name val="Cambria"/>
      <family val="1"/>
    </font>
    <font>
      <b/>
      <sz val="24"/>
      <name val="Cambria"/>
      <family val="1"/>
    </font>
    <font>
      <b/>
      <sz val="24"/>
      <color theme="1"/>
      <name val="Cambria"/>
      <family val="1"/>
    </font>
    <font>
      <b/>
      <sz val="26"/>
      <name val="Cambria"/>
      <family val="1"/>
    </font>
    <font>
      <b/>
      <sz val="26"/>
      <color theme="1"/>
      <name val="Cambria"/>
      <family val="1"/>
    </font>
    <font>
      <b/>
      <sz val="22"/>
      <name val="Cambria"/>
      <family val="1"/>
    </font>
    <font>
      <b/>
      <sz val="24"/>
      <color rgb="FFFF0000"/>
      <name val="Cambria"/>
      <family val="1"/>
    </font>
    <font>
      <b/>
      <i/>
      <sz val="22"/>
      <color rgb="FFFF0000"/>
      <name val="Cambria"/>
      <family val="1"/>
    </font>
    <font>
      <b/>
      <sz val="22"/>
      <color theme="1"/>
      <name val="Cambria"/>
      <family val="1"/>
    </font>
    <font>
      <b/>
      <sz val="22"/>
      <color theme="4" tint="-0.249977111117893"/>
      <name val="Cambria"/>
      <family val="1"/>
    </font>
    <font>
      <b/>
      <sz val="22"/>
      <color rgb="FFFF0000"/>
      <name val="Cambria"/>
      <family val="1"/>
    </font>
    <font>
      <sz val="30"/>
      <color theme="1"/>
      <name val="Cambria"/>
      <family val="1"/>
    </font>
    <font>
      <sz val="14"/>
      <name val="Cambria"/>
      <family val="1"/>
    </font>
    <font>
      <sz val="14"/>
      <color rgb="FFFF0000"/>
      <name val="Cambria"/>
      <family val="1"/>
    </font>
    <font>
      <b/>
      <u/>
      <sz val="48"/>
      <name val="Cambria"/>
      <family val="1"/>
    </font>
    <font>
      <b/>
      <u val="double"/>
      <sz val="30"/>
      <color theme="1"/>
      <name val="Cambria"/>
      <family val="1"/>
    </font>
    <font>
      <b/>
      <i/>
      <u/>
      <sz val="36"/>
      <name val="Cambria"/>
      <family val="1"/>
    </font>
    <font>
      <b/>
      <i/>
      <sz val="36"/>
      <color theme="1"/>
      <name val="Cambria"/>
      <family val="1"/>
    </font>
    <font>
      <sz val="30"/>
      <color theme="1"/>
      <name val="Calibri"/>
      <family val="2"/>
      <scheme val="minor"/>
    </font>
    <font>
      <b/>
      <sz val="16"/>
      <color theme="4" tint="-0.249977111117893"/>
      <name val="Cambria"/>
      <family val="1"/>
    </font>
    <font>
      <b/>
      <sz val="14"/>
      <color theme="1"/>
      <name val="Cambria"/>
      <family val="1"/>
    </font>
    <font>
      <b/>
      <sz val="14"/>
      <color rgb="FFFF0000"/>
      <name val="Cambria"/>
      <family val="1"/>
    </font>
    <font>
      <b/>
      <i/>
      <sz val="14"/>
      <color rgb="FFFF0000"/>
      <name val="Cambria"/>
      <family val="1"/>
    </font>
    <font>
      <b/>
      <sz val="20"/>
      <color rgb="FFFF0000"/>
      <name val="Cambria"/>
      <family val="1"/>
    </font>
    <font>
      <b/>
      <sz val="16"/>
      <color rgb="FFFF0000"/>
      <name val="Cambria"/>
      <family val="1"/>
    </font>
    <font>
      <b/>
      <u/>
      <sz val="16"/>
      <name val="Cambria"/>
      <family val="1"/>
    </font>
    <font>
      <b/>
      <sz val="16"/>
      <color theme="0"/>
      <name val="Cambria"/>
      <family val="1"/>
    </font>
    <font>
      <b/>
      <u val="double"/>
      <sz val="16"/>
      <name val="Cambria"/>
      <family val="1"/>
    </font>
    <font>
      <sz val="26"/>
      <color theme="0"/>
      <name val="Cambria"/>
      <family val="1"/>
    </font>
    <font>
      <sz val="26"/>
      <name val="Cambria"/>
      <family val="1"/>
    </font>
    <font>
      <sz val="18"/>
      <name val="Cambria"/>
      <family val="1"/>
    </font>
    <font>
      <b/>
      <u/>
      <sz val="26"/>
      <name val="Cambria"/>
      <family val="1"/>
    </font>
    <font>
      <b/>
      <sz val="32"/>
      <color theme="0"/>
      <name val="Cambria"/>
      <family val="1"/>
    </font>
    <font>
      <b/>
      <u val="double"/>
      <sz val="28"/>
      <color theme="1"/>
      <name val="Cambria"/>
      <family val="1"/>
    </font>
    <font>
      <sz val="22"/>
      <color theme="1"/>
      <name val="Cambria"/>
      <family val="1"/>
    </font>
    <font>
      <b/>
      <u/>
      <sz val="22"/>
      <name val="Cambria"/>
      <family val="1"/>
    </font>
    <font>
      <b/>
      <sz val="18"/>
      <color theme="0"/>
      <name val="Cambria"/>
      <family val="1"/>
    </font>
    <font>
      <b/>
      <sz val="19"/>
      <color theme="1"/>
      <name val="Cambria"/>
      <family val="1"/>
    </font>
    <font>
      <b/>
      <u/>
      <sz val="18"/>
      <name val="Cambria"/>
      <family val="1"/>
    </font>
    <font>
      <sz val="26"/>
      <color theme="1"/>
      <name val="Cambria"/>
      <family val="1"/>
    </font>
    <font>
      <sz val="10"/>
      <color theme="1"/>
      <name val="Cambria"/>
      <family val="1"/>
    </font>
    <font>
      <b/>
      <sz val="10"/>
      <color theme="1"/>
      <name val="Cambria"/>
      <family val="1"/>
    </font>
    <font>
      <sz val="10"/>
      <color theme="1"/>
      <name val="Calibri"/>
      <family val="2"/>
      <scheme val="minor"/>
    </font>
    <font>
      <b/>
      <sz val="10"/>
      <color theme="1"/>
      <name val="Calibri"/>
      <family val="2"/>
      <scheme val="minor"/>
    </font>
    <font>
      <b/>
      <sz val="10"/>
      <name val="Cambria"/>
      <family val="1"/>
    </font>
    <font>
      <u/>
      <sz val="10"/>
      <color theme="10"/>
      <name val="Calibri"/>
      <family val="2"/>
      <scheme val="minor"/>
    </font>
    <font>
      <b/>
      <u/>
      <sz val="10"/>
      <color theme="10"/>
      <name val="Calibri"/>
      <family val="2"/>
      <scheme val="minor"/>
    </font>
    <font>
      <b/>
      <u/>
      <sz val="10"/>
      <color theme="10"/>
      <name val="Cambria"/>
      <family val="1"/>
    </font>
    <font>
      <sz val="10"/>
      <name val="Cambria"/>
      <family val="1"/>
    </font>
    <font>
      <b/>
      <u/>
      <sz val="10"/>
      <color theme="8"/>
      <name val="Cambria"/>
      <family val="1"/>
    </font>
    <font>
      <b/>
      <sz val="10"/>
      <color theme="4"/>
      <name val="Cambria"/>
      <family val="1"/>
    </font>
    <font>
      <b/>
      <sz val="10"/>
      <color rgb="FFFF0000"/>
      <name val="Cambria"/>
      <family val="1"/>
    </font>
    <font>
      <b/>
      <sz val="10"/>
      <color rgb="FF0070C0"/>
      <name val="Cambria"/>
      <family val="1"/>
    </font>
    <font>
      <sz val="10"/>
      <color rgb="FFFF0000"/>
      <name val="Cambria"/>
      <family val="1"/>
    </font>
    <font>
      <b/>
      <u/>
      <sz val="10"/>
      <color rgb="FFFF0000"/>
      <name val="Cambria"/>
      <family val="1"/>
    </font>
    <font>
      <b/>
      <sz val="10"/>
      <color rgb="FF000000"/>
      <name val="Cambria"/>
      <family val="1"/>
    </font>
    <font>
      <u/>
      <sz val="10"/>
      <color theme="10"/>
      <name val="Cambria"/>
      <family val="1"/>
    </font>
    <font>
      <b/>
      <u/>
      <sz val="10"/>
      <color theme="1"/>
      <name val="Cambria"/>
      <family val="1"/>
    </font>
    <font>
      <sz val="14"/>
      <color theme="1"/>
      <name val="Cambria"/>
      <family val="1"/>
    </font>
    <font>
      <sz val="20"/>
      <color theme="1"/>
      <name val="Calibri"/>
      <family val="2"/>
      <scheme val="minor"/>
    </font>
    <font>
      <b/>
      <sz val="24"/>
      <color theme="1"/>
      <name val="Calibri"/>
      <family val="2"/>
      <scheme val="minor"/>
    </font>
    <font>
      <b/>
      <u/>
      <sz val="24"/>
      <name val="Cambria"/>
      <family val="1"/>
    </font>
    <font>
      <b/>
      <i/>
      <u val="double"/>
      <sz val="20"/>
      <color theme="1"/>
      <name val="Cambria"/>
      <family val="1"/>
    </font>
    <font>
      <b/>
      <i/>
      <sz val="20"/>
      <color theme="1"/>
      <name val="Cambria"/>
      <family val="1"/>
    </font>
    <font>
      <b/>
      <u val="double"/>
      <sz val="20"/>
      <name val="Cambria"/>
      <family val="1"/>
    </font>
    <font>
      <b/>
      <u val="double"/>
      <sz val="16"/>
      <color theme="1"/>
      <name val="Cambria"/>
      <family val="1"/>
    </font>
    <font>
      <b/>
      <i/>
      <u val="double"/>
      <sz val="16"/>
      <name val="Cambria"/>
      <family val="1"/>
    </font>
    <font>
      <b/>
      <i/>
      <sz val="16"/>
      <name val="Cambria"/>
      <family val="1"/>
    </font>
    <font>
      <u/>
      <sz val="11"/>
      <color theme="10"/>
      <name val="Calibri"/>
      <family val="2"/>
      <scheme val="minor"/>
    </font>
    <font>
      <b/>
      <u/>
      <sz val="28"/>
      <color theme="1"/>
      <name val="Cambria"/>
      <family val="1"/>
    </font>
    <font>
      <b/>
      <u/>
      <sz val="16"/>
      <color rgb="FFFF0000"/>
      <name val="Cambria"/>
      <family val="1"/>
    </font>
    <font>
      <b/>
      <u/>
      <sz val="22"/>
      <color rgb="FFFF0000"/>
      <name val="Cambria"/>
      <family val="1"/>
    </font>
    <font>
      <b/>
      <u/>
      <sz val="24"/>
      <color theme="1"/>
      <name val="Cambria"/>
      <family val="1"/>
    </font>
    <font>
      <b/>
      <u/>
      <sz val="20"/>
      <color rgb="FFFF0000"/>
      <name val="Cambria"/>
      <family val="1"/>
    </font>
    <font>
      <b/>
      <u/>
      <sz val="14"/>
      <color rgb="FFFF0000"/>
      <name val="Cambria"/>
      <family val="1"/>
    </font>
    <font>
      <b/>
      <u/>
      <sz val="24"/>
      <color rgb="FFFF0000"/>
      <name val="Cambria"/>
      <family val="1"/>
    </font>
    <font>
      <b/>
      <strike/>
      <sz val="14"/>
      <color theme="1"/>
      <name val="Cambria"/>
      <family val="1"/>
    </font>
    <font>
      <sz val="11"/>
      <color theme="1"/>
      <name val="Calibri"/>
      <family val="2"/>
      <scheme val="minor"/>
    </font>
    <font>
      <b/>
      <sz val="20"/>
      <color theme="1"/>
      <name val="Cambria"/>
      <family val="1"/>
    </font>
    <font>
      <b/>
      <sz val="20"/>
      <name val="Cambria"/>
      <family val="1"/>
    </font>
    <font>
      <b/>
      <u val="double"/>
      <sz val="20"/>
      <color theme="1"/>
      <name val="Cambria"/>
      <family val="1"/>
    </font>
    <font>
      <b/>
      <u val="double"/>
      <sz val="22"/>
      <color theme="1"/>
      <name val="Cambria"/>
      <family val="1"/>
    </font>
    <font>
      <b/>
      <u val="double"/>
      <sz val="22"/>
      <name val="Cambria"/>
      <family val="1"/>
    </font>
    <font>
      <b/>
      <u/>
      <sz val="22"/>
      <color theme="1"/>
      <name val="Cambria"/>
      <family val="1"/>
    </font>
    <font>
      <b/>
      <sz val="12"/>
      <color theme="1"/>
      <name val="Cambria"/>
      <family val="1"/>
    </font>
    <font>
      <b/>
      <sz val="12"/>
      <color theme="0"/>
      <name val="Cambria"/>
      <family val="1"/>
    </font>
    <font>
      <b/>
      <u/>
      <sz val="12"/>
      <color theme="10"/>
      <name val="Cambria"/>
      <family val="1"/>
    </font>
    <font>
      <u/>
      <sz val="12"/>
      <color theme="10"/>
      <name val="Cambria"/>
      <family val="1"/>
    </font>
    <font>
      <b/>
      <sz val="12"/>
      <name val="Cambria"/>
      <family val="1"/>
    </font>
    <font>
      <sz val="12"/>
      <color theme="1"/>
      <name val="Cambria"/>
      <family val="1"/>
    </font>
    <font>
      <b/>
      <u/>
      <sz val="12"/>
      <color rgb="FF800080"/>
      <name val="Cambria"/>
      <family val="1"/>
    </font>
    <font>
      <u/>
      <sz val="12"/>
      <color rgb="FF800080"/>
      <name val="Cambria"/>
      <family val="1"/>
    </font>
    <font>
      <sz val="12"/>
      <name val="Cambria"/>
      <family val="1"/>
    </font>
  </fonts>
  <fills count="44">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1"/>
        <bgColor indexed="64"/>
      </patternFill>
    </fill>
    <fill>
      <patternFill patternType="solid">
        <fgColor theme="4" tint="0.79985961485641044"/>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39985351115451523"/>
        <bgColor indexed="64"/>
      </patternFill>
    </fill>
    <fill>
      <patternFill patternType="solid">
        <fgColor theme="2" tint="-0.499984740745262"/>
        <bgColor indexed="64"/>
      </patternFill>
    </fill>
    <fill>
      <patternFill patternType="solid">
        <fgColor rgb="FF99FFCC"/>
        <bgColor indexed="64"/>
      </patternFill>
    </fill>
    <fill>
      <patternFill patternType="solid">
        <fgColor rgb="FFCCFFCC"/>
        <bgColor indexed="64"/>
      </patternFill>
    </fill>
    <fill>
      <patternFill patternType="solid">
        <fgColor rgb="FFBCEEBC"/>
        <bgColor indexed="64"/>
      </patternFill>
    </fill>
    <fill>
      <patternFill patternType="solid">
        <fgColor rgb="FFFF9966"/>
        <bgColor indexed="64"/>
      </patternFill>
    </fill>
    <fill>
      <patternFill patternType="solid">
        <fgColor rgb="FFA1E7A1"/>
        <bgColor indexed="64"/>
      </patternFill>
    </fill>
    <fill>
      <patternFill patternType="solid">
        <fgColor rgb="FFFFFF99"/>
        <bgColor indexed="64"/>
      </patternFill>
    </fill>
    <fill>
      <patternFill patternType="solid">
        <fgColor rgb="FF92D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85961485641044"/>
        <bgColor indexed="64"/>
      </patternFill>
    </fill>
    <fill>
      <patternFill patternType="solid">
        <fgColor rgb="FFFFFF00"/>
        <bgColor indexed="64"/>
      </patternFill>
    </fill>
    <fill>
      <patternFill patternType="solid">
        <fgColor rgb="FFB499F9"/>
        <bgColor indexed="64"/>
      </patternFill>
    </fill>
    <fill>
      <patternFill patternType="solid">
        <fgColor theme="3" tint="0.79985961485641044"/>
        <bgColor indexed="64"/>
      </patternFill>
    </fill>
    <fill>
      <patternFill patternType="solid">
        <fgColor theme="5" tint="0.79985961485641044"/>
        <bgColor indexed="64"/>
      </patternFill>
    </fill>
    <fill>
      <patternFill patternType="solid">
        <fgColor theme="7"/>
        <bgColor indexed="64"/>
      </patternFill>
    </fill>
    <fill>
      <patternFill patternType="solid">
        <fgColor rgb="FFFFC000"/>
        <bgColor indexed="64"/>
      </patternFill>
    </fill>
    <fill>
      <patternFill patternType="solid">
        <fgColor rgb="FF95EFA0"/>
        <bgColor indexed="64"/>
      </patternFill>
    </fill>
    <fill>
      <patternFill patternType="solid">
        <fgColor theme="4" tint="0.39985351115451523"/>
        <bgColor indexed="64"/>
      </patternFill>
    </fill>
    <fill>
      <patternFill patternType="solid">
        <fgColor rgb="FFCCCCFF"/>
        <bgColor indexed="64"/>
      </patternFill>
    </fill>
    <fill>
      <patternFill patternType="solid">
        <fgColor theme="1" tint="0.249977111117893"/>
        <bgColor indexed="64"/>
      </patternFill>
    </fill>
    <fill>
      <patternFill patternType="solid">
        <fgColor rgb="FFFFCC66"/>
        <bgColor indexed="64"/>
      </patternFill>
    </fill>
    <fill>
      <patternFill patternType="solid">
        <fgColor theme="5" tint="0.39985351115451523"/>
        <bgColor indexed="64"/>
      </patternFill>
    </fill>
    <fill>
      <patternFill patternType="solid">
        <fgColor theme="9" tint="0.79985961485641044"/>
        <bgColor indexed="64"/>
      </patternFill>
    </fill>
    <fill>
      <patternFill patternType="solid">
        <fgColor theme="5"/>
        <bgColor indexed="64"/>
      </patternFill>
    </fill>
    <fill>
      <patternFill patternType="solid">
        <fgColor rgb="FFFF0000"/>
        <bgColor indexed="64"/>
      </patternFill>
    </fill>
    <fill>
      <patternFill patternType="solid">
        <fgColor theme="3" tint="0.39985351115451523"/>
        <bgColor indexed="64"/>
      </patternFill>
    </fill>
    <fill>
      <patternFill patternType="solid">
        <fgColor rgb="FF00B0F0"/>
        <bgColor indexed="64"/>
      </patternFill>
    </fill>
    <fill>
      <patternFill patternType="solid">
        <fgColor theme="7" tint="0.39985351115451523"/>
        <bgColor indexed="64"/>
      </patternFill>
    </fill>
    <fill>
      <patternFill patternType="solid">
        <fgColor theme="1" tint="0.499984740745262"/>
        <bgColor indexed="64"/>
      </patternFill>
    </fill>
    <fill>
      <patternFill patternType="solid">
        <fgColor rgb="FFC7E0B6"/>
        <bgColor indexed="64"/>
      </patternFill>
    </fill>
    <fill>
      <patternFill patternType="solid">
        <fgColor rgb="FFF7D3F2"/>
        <bgColor indexed="64"/>
      </patternFill>
    </fill>
    <fill>
      <patternFill patternType="solid">
        <fgColor theme="7" tint="-0.249977111117893"/>
        <bgColor indexed="64"/>
      </patternFill>
    </fill>
    <fill>
      <patternFill patternType="solid">
        <fgColor rgb="FFF5910B"/>
        <bgColor indexed="64"/>
      </patternFill>
    </fill>
  </fills>
  <borders count="7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thin">
        <color auto="1"/>
      </left>
      <right style="medium">
        <color auto="1"/>
      </right>
      <top/>
      <bottom/>
      <diagonal/>
    </border>
    <border>
      <left/>
      <right style="medium">
        <color auto="1"/>
      </right>
      <top style="thin">
        <color auto="1"/>
      </top>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style="thin">
        <color auto="1"/>
      </left>
      <right/>
      <top style="medium">
        <color auto="1"/>
      </top>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bottom/>
      <diagonal/>
    </border>
    <border>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thin">
        <color auto="1"/>
      </right>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auto="1"/>
      </left>
      <right/>
      <top/>
      <bottom/>
      <diagonal/>
    </border>
    <border>
      <left style="medium">
        <color auto="1"/>
      </left>
      <right/>
      <top style="thin">
        <color auto="1"/>
      </top>
      <bottom style="medium">
        <color auto="1"/>
      </bottom>
      <diagonal/>
    </border>
  </borders>
  <cellStyleXfs count="5">
    <xf numFmtId="0" fontId="0" fillId="0" borderId="0"/>
    <xf numFmtId="43" fontId="117" fillId="0" borderId="0" applyFont="0" applyFill="0" applyBorder="0" applyAlignment="0" applyProtection="0"/>
    <xf numFmtId="44" fontId="117" fillId="0" borderId="0" applyFont="0" applyFill="0" applyBorder="0" applyAlignment="0" applyProtection="0"/>
    <xf numFmtId="9" fontId="117" fillId="0" borderId="0" applyFont="0" applyFill="0" applyBorder="0" applyAlignment="0" applyProtection="0"/>
    <xf numFmtId="0" fontId="108" fillId="0" borderId="0" applyNumberFormat="0" applyFill="0" applyBorder="0" applyAlignment="0" applyProtection="0"/>
  </cellStyleXfs>
  <cellXfs count="3169">
    <xf numFmtId="0" fontId="0" fillId="0" borderId="0" xfId="0"/>
    <xf numFmtId="0" fontId="1" fillId="2" borderId="0" xfId="0" applyFont="1" applyFill="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wrapText="1"/>
    </xf>
    <xf numFmtId="0" fontId="4" fillId="2" borderId="0" xfId="0" applyFont="1" applyFill="1" applyAlignment="1">
      <alignment horizontal="center" vertical="center"/>
    </xf>
    <xf numFmtId="0" fontId="1" fillId="0" borderId="0" xfId="0" applyFont="1" applyAlignment="1">
      <alignment vertical="center" wrapText="1"/>
    </xf>
    <xf numFmtId="0" fontId="5" fillId="3" borderId="0" xfId="0" applyFont="1" applyFill="1" applyAlignment="1">
      <alignment horizontal="center" vertical="center"/>
    </xf>
    <xf numFmtId="0" fontId="6" fillId="0" borderId="0" xfId="0" applyFont="1" applyAlignment="1">
      <alignment vertical="center"/>
    </xf>
    <xf numFmtId="0" fontId="7" fillId="2" borderId="0" xfId="0" applyFont="1" applyFill="1" applyAlignment="1">
      <alignment horizontal="center" vertical="center"/>
    </xf>
    <xf numFmtId="0" fontId="8" fillId="0" borderId="0" xfId="0" applyFont="1"/>
    <xf numFmtId="0" fontId="9" fillId="0" borderId="0" xfId="0" applyFont="1"/>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4" xfId="0" applyFont="1" applyFill="1" applyBorder="1" applyAlignment="1">
      <alignment horizontal="left" vertical="center" wrapText="1"/>
    </xf>
    <xf numFmtId="0" fontId="12"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3" fillId="3" borderId="4"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2" fontId="7" fillId="3" borderId="4" xfId="0" applyNumberFormat="1" applyFont="1" applyFill="1" applyBorder="1" applyAlignment="1">
      <alignment horizontal="center" vertical="center" wrapText="1"/>
    </xf>
    <xf numFmtId="0" fontId="7" fillId="3" borderId="4"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4" xfId="0" applyFont="1" applyFill="1" applyBorder="1" applyAlignment="1">
      <alignment horizontal="left" vertical="center" wrapText="1"/>
    </xf>
    <xf numFmtId="14" fontId="4" fillId="3"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4" fillId="7" borderId="4" xfId="0" applyFont="1" applyFill="1" applyBorder="1" applyAlignment="1">
      <alignment horizontal="center" vertical="center" wrapText="1"/>
    </xf>
    <xf numFmtId="2" fontId="4" fillId="3" borderId="4"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2" fillId="8" borderId="4" xfId="0" applyFont="1" applyFill="1" applyBorder="1" applyAlignment="1">
      <alignment horizontal="left" vertical="center" wrapText="1"/>
    </xf>
    <xf numFmtId="0" fontId="16" fillId="3" borderId="4" xfId="0" applyFont="1" applyFill="1" applyBorder="1" applyAlignment="1">
      <alignment horizontal="center" vertical="center" wrapText="1"/>
    </xf>
    <xf numFmtId="15" fontId="2" fillId="3" borderId="4" xfId="0" applyNumberFormat="1" applyFont="1" applyFill="1" applyBorder="1" applyAlignment="1">
      <alignment horizontal="center" vertical="center" wrapText="1"/>
    </xf>
    <xf numFmtId="165" fontId="4" fillId="6" borderId="4" xfId="0" applyNumberFormat="1" applyFont="1" applyFill="1" applyBorder="1" applyAlignment="1">
      <alignment horizontal="center" vertical="center" wrapText="1"/>
    </xf>
    <xf numFmtId="14" fontId="4" fillId="6" borderId="4" xfId="0" applyNumberFormat="1" applyFont="1" applyFill="1" applyBorder="1" applyAlignment="1">
      <alignment horizontal="center" vertical="center" wrapText="1"/>
    </xf>
    <xf numFmtId="10" fontId="4" fillId="6" borderId="4" xfId="0" applyNumberFormat="1" applyFont="1" applyFill="1" applyBorder="1" applyAlignment="1">
      <alignment horizontal="center" vertical="center" wrapText="1"/>
    </xf>
    <xf numFmtId="4" fontId="4" fillId="6" borderId="4" xfId="0" applyNumberFormat="1" applyFont="1" applyFill="1" applyBorder="1" applyAlignment="1">
      <alignment horizontal="center" vertical="center" wrapText="1"/>
    </xf>
    <xf numFmtId="0" fontId="4" fillId="6" borderId="9" xfId="0" applyFont="1" applyFill="1" applyBorder="1" applyAlignment="1">
      <alignment horizontal="center" vertical="center" wrapText="1"/>
    </xf>
    <xf numFmtId="22" fontId="2" fillId="3" borderId="4" xfId="0" applyNumberFormat="1" applyFont="1" applyFill="1" applyBorder="1" applyAlignment="1">
      <alignment horizontal="center" vertical="center" wrapText="1"/>
    </xf>
    <xf numFmtId="166" fontId="12" fillId="3" borderId="4" xfId="2" applyNumberFormat="1" applyFont="1" applyFill="1" applyBorder="1" applyAlignment="1">
      <alignment horizontal="center" vertical="center" wrapText="1"/>
    </xf>
    <xf numFmtId="9" fontId="2" fillId="3" borderId="4" xfId="0" applyNumberFormat="1" applyFont="1" applyFill="1" applyBorder="1" applyAlignment="1">
      <alignment horizontal="center" vertical="center"/>
    </xf>
    <xf numFmtId="166" fontId="7" fillId="3" borderId="4" xfId="0" applyNumberFormat="1" applyFont="1" applyFill="1" applyBorder="1" applyAlignment="1">
      <alignment horizontal="center" vertical="center" wrapText="1"/>
    </xf>
    <xf numFmtId="9" fontId="7" fillId="3" borderId="4" xfId="1" applyNumberFormat="1" applyFont="1" applyFill="1" applyBorder="1" applyAlignment="1">
      <alignment horizontal="center" vertical="center" wrapText="1"/>
    </xf>
    <xf numFmtId="4" fontId="7" fillId="3" borderId="4" xfId="1" applyNumberFormat="1" applyFont="1" applyFill="1" applyBorder="1" applyAlignment="1">
      <alignment horizontal="center" vertical="center" wrapText="1"/>
    </xf>
    <xf numFmtId="166" fontId="4" fillId="7" borderId="4" xfId="2" applyNumberFormat="1" applyFont="1" applyFill="1" applyBorder="1" applyAlignment="1">
      <alignment horizontal="center" vertical="center" wrapText="1"/>
    </xf>
    <xf numFmtId="9" fontId="4" fillId="7" borderId="4" xfId="1" applyNumberFormat="1" applyFont="1" applyFill="1" applyBorder="1" applyAlignment="1">
      <alignment horizontal="center" vertical="center" wrapText="1"/>
    </xf>
    <xf numFmtId="4" fontId="4" fillId="7" borderId="4" xfId="1" applyNumberFormat="1" applyFont="1" applyFill="1" applyBorder="1" applyAlignment="1">
      <alignment horizontal="center" vertical="center" wrapText="1"/>
    </xf>
    <xf numFmtId="15" fontId="4" fillId="7" borderId="4" xfId="0" applyNumberFormat="1" applyFont="1" applyFill="1" applyBorder="1" applyAlignment="1">
      <alignment horizontal="left" vertical="center" wrapText="1"/>
    </xf>
    <xf numFmtId="15" fontId="4" fillId="7" borderId="9" xfId="0" applyNumberFormat="1" applyFont="1" applyFill="1" applyBorder="1" applyAlignment="1">
      <alignment horizontal="left" vertical="center" wrapText="1"/>
    </xf>
    <xf numFmtId="22" fontId="4" fillId="3" borderId="4" xfId="0" applyNumberFormat="1" applyFont="1" applyFill="1" applyBorder="1" applyAlignment="1">
      <alignment horizontal="center" vertical="center" wrapText="1"/>
    </xf>
    <xf numFmtId="166" fontId="4" fillId="3" borderId="4" xfId="0" applyNumberFormat="1" applyFont="1" applyFill="1" applyBorder="1" applyAlignment="1">
      <alignment horizontal="center" vertical="center" wrapText="1"/>
    </xf>
    <xf numFmtId="9" fontId="4" fillId="3" borderId="4" xfId="1" applyNumberFormat="1" applyFont="1" applyFill="1" applyBorder="1" applyAlignment="1">
      <alignment horizontal="center" vertical="center" wrapText="1"/>
    </xf>
    <xf numFmtId="0" fontId="4" fillId="3" borderId="4" xfId="1" applyNumberFormat="1" applyFont="1" applyFill="1" applyBorder="1" applyAlignment="1">
      <alignment horizontal="center" vertical="center" wrapText="1"/>
    </xf>
    <xf numFmtId="166" fontId="4" fillId="3" borderId="6" xfId="2" applyNumberFormat="1" applyFont="1" applyFill="1" applyBorder="1" applyAlignment="1">
      <alignment horizontal="center" vertical="center" wrapText="1"/>
    </xf>
    <xf numFmtId="9" fontId="4" fillId="3" borderId="6" xfId="1" applyNumberFormat="1" applyFont="1" applyFill="1" applyBorder="1" applyAlignment="1">
      <alignment horizontal="center" vertical="center" wrapText="1"/>
    </xf>
    <xf numFmtId="4" fontId="4" fillId="3" borderId="4" xfId="1" applyNumberFormat="1" applyFont="1" applyFill="1" applyBorder="1" applyAlignment="1">
      <alignment horizontal="center" vertical="center" wrapText="1"/>
    </xf>
    <xf numFmtId="166" fontId="7" fillId="8" borderId="4" xfId="2" applyNumberFormat="1" applyFont="1" applyFill="1" applyBorder="1" applyAlignment="1">
      <alignment horizontal="center" vertical="center" wrapText="1"/>
    </xf>
    <xf numFmtId="9" fontId="15" fillId="8" borderId="4" xfId="0" applyNumberFormat="1" applyFont="1" applyFill="1" applyBorder="1" applyAlignment="1">
      <alignment horizontal="center" vertical="center"/>
    </xf>
    <xf numFmtId="0" fontId="15" fillId="8" borderId="4" xfId="0" applyFont="1" applyFill="1" applyBorder="1" applyAlignment="1">
      <alignment horizontal="center" vertical="center"/>
    </xf>
    <xf numFmtId="4" fontId="4" fillId="3" borderId="6" xfId="1" applyNumberFormat="1" applyFont="1" applyFill="1" applyBorder="1" applyAlignment="1">
      <alignment horizontal="center" vertical="center" wrapText="1"/>
    </xf>
    <xf numFmtId="166" fontId="7" fillId="3" borderId="4" xfId="2" applyNumberFormat="1" applyFont="1" applyFill="1" applyBorder="1" applyAlignment="1">
      <alignment horizontal="center" vertical="center" wrapText="1"/>
    </xf>
    <xf numFmtId="0" fontId="4" fillId="9" borderId="13" xfId="0" applyFont="1" applyFill="1" applyBorder="1" applyAlignment="1">
      <alignment horizontal="center" vertical="center" wrapText="1"/>
    </xf>
    <xf numFmtId="0" fontId="12" fillId="2" borderId="14" xfId="0" applyFont="1" applyFill="1" applyBorder="1" applyAlignment="1">
      <alignment horizontal="center" vertical="center"/>
    </xf>
    <xf numFmtId="0" fontId="12" fillId="2" borderId="15"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3" fillId="0" borderId="0" xfId="0" applyFont="1" applyAlignment="1">
      <alignment vertical="center"/>
    </xf>
    <xf numFmtId="0" fontId="4" fillId="2" borderId="0" xfId="0" applyFont="1" applyFill="1" applyAlignment="1">
      <alignment horizontal="left" vertical="center" wrapText="1"/>
    </xf>
    <xf numFmtId="0" fontId="4" fillId="2" borderId="14"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7" fillId="0" borderId="0" xfId="0" applyFont="1"/>
    <xf numFmtId="166" fontId="6" fillId="0" borderId="0" xfId="0" applyNumberFormat="1" applyFont="1" applyAlignment="1">
      <alignment vertical="center"/>
    </xf>
    <xf numFmtId="0" fontId="12" fillId="2" borderId="16" xfId="0" applyFont="1" applyFill="1" applyBorder="1" applyAlignment="1">
      <alignment horizontal="center" vertical="center" wrapText="1"/>
    </xf>
    <xf numFmtId="0" fontId="18" fillId="0" borderId="0" xfId="0" applyFont="1"/>
    <xf numFmtId="0" fontId="19" fillId="0" borderId="0" xfId="0" applyFont="1" applyAlignment="1">
      <alignment horizontal="center" vertical="center"/>
    </xf>
    <xf numFmtId="0" fontId="20" fillId="2" borderId="0" xfId="0" applyFont="1" applyFill="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22" fillId="0" borderId="0" xfId="0" applyFont="1" applyAlignment="1">
      <alignment vertical="center"/>
    </xf>
    <xf numFmtId="0" fontId="23" fillId="0" borderId="0" xfId="0" applyFont="1"/>
    <xf numFmtId="0" fontId="24" fillId="2" borderId="0" xfId="0" applyFont="1" applyFill="1" applyAlignment="1">
      <alignment horizontal="center" vertical="center"/>
    </xf>
    <xf numFmtId="0" fontId="25" fillId="2" borderId="0" xfId="0" applyFont="1" applyFill="1" applyAlignment="1">
      <alignment horizontal="center" vertical="center"/>
    </xf>
    <xf numFmtId="0" fontId="26" fillId="0" borderId="0" xfId="0" applyFont="1" applyAlignment="1">
      <alignment horizontal="center" vertical="center"/>
    </xf>
    <xf numFmtId="0" fontId="25" fillId="0" borderId="0" xfId="0" applyFont="1" applyAlignment="1">
      <alignment vertical="center"/>
    </xf>
    <xf numFmtId="0" fontId="25" fillId="0" borderId="0" xfId="0" applyFont="1" applyAlignment="1">
      <alignment horizontal="center" vertical="center"/>
    </xf>
    <xf numFmtId="0" fontId="19"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vertical="center"/>
    </xf>
    <xf numFmtId="0" fontId="27" fillId="0" borderId="15" xfId="0" applyFont="1" applyBorder="1" applyAlignment="1">
      <alignment vertical="center"/>
    </xf>
    <xf numFmtId="0" fontId="23" fillId="0" borderId="0" xfId="0" applyFont="1" applyAlignment="1">
      <alignment vertical="center"/>
    </xf>
    <xf numFmtId="0" fontId="29" fillId="10" borderId="18" xfId="0" applyFont="1" applyFill="1" applyBorder="1" applyAlignment="1">
      <alignment horizontal="center" vertical="center" wrapText="1"/>
    </xf>
    <xf numFmtId="0" fontId="29" fillId="10" borderId="19" xfId="0" applyFont="1" applyFill="1" applyBorder="1" applyAlignment="1">
      <alignment horizontal="center" vertical="center" wrapText="1"/>
    </xf>
    <xf numFmtId="0" fontId="30" fillId="10" borderId="19" xfId="0" applyFont="1" applyFill="1" applyBorder="1" applyAlignment="1">
      <alignment horizontal="center" vertical="center" wrapText="1"/>
    </xf>
    <xf numFmtId="0" fontId="31" fillId="10" borderId="19" xfId="0" applyFont="1" applyFill="1" applyBorder="1" applyAlignment="1">
      <alignment horizontal="center" vertical="center" wrapText="1"/>
    </xf>
    <xf numFmtId="167" fontId="29" fillId="10" borderId="19" xfId="0" applyNumberFormat="1" applyFont="1" applyFill="1" applyBorder="1" applyAlignment="1">
      <alignment horizontal="center" vertical="center" wrapText="1"/>
    </xf>
    <xf numFmtId="0" fontId="32" fillId="2" borderId="1"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20" fillId="11" borderId="2" xfId="0" applyFont="1" applyFill="1" applyBorder="1" applyAlignment="1">
      <alignment horizontal="center" vertical="center" wrapText="1"/>
    </xf>
    <xf numFmtId="0" fontId="32" fillId="11" borderId="2" xfId="0" applyFont="1" applyFill="1" applyBorder="1" applyAlignment="1">
      <alignment horizontal="center" vertical="center" wrapText="1"/>
    </xf>
    <xf numFmtId="0" fontId="20" fillId="11" borderId="2" xfId="0" applyFont="1" applyFill="1" applyBorder="1" applyAlignment="1">
      <alignment horizontal="center" vertical="center"/>
    </xf>
    <xf numFmtId="0" fontId="32" fillId="2" borderId="3" xfId="0" applyFont="1" applyFill="1" applyBorder="1" applyAlignment="1">
      <alignment horizontal="center" vertical="center" wrapText="1"/>
    </xf>
    <xf numFmtId="0" fontId="32" fillId="3" borderId="4" xfId="0" applyFont="1" applyFill="1" applyBorder="1" applyAlignment="1">
      <alignment horizontal="center" vertical="center" wrapText="1"/>
    </xf>
    <xf numFmtId="0" fontId="20" fillId="11" borderId="4" xfId="0" applyFont="1" applyFill="1" applyBorder="1" applyAlignment="1">
      <alignment horizontal="center" vertical="center" wrapText="1"/>
    </xf>
    <xf numFmtId="0" fontId="32" fillId="11" borderId="4" xfId="0" applyFont="1" applyFill="1" applyBorder="1" applyAlignment="1">
      <alignment horizontal="center" vertical="center" wrapText="1"/>
    </xf>
    <xf numFmtId="0" fontId="20" fillId="11" borderId="4" xfId="0" applyFont="1" applyFill="1" applyBorder="1" applyAlignment="1">
      <alignment horizontal="center" vertical="center"/>
    </xf>
    <xf numFmtId="0" fontId="32" fillId="2" borderId="20" xfId="0" applyFont="1" applyFill="1" applyBorder="1" applyAlignment="1">
      <alignment horizontal="center" vertical="center" wrapText="1"/>
    </xf>
    <xf numFmtId="0" fontId="33" fillId="12" borderId="21" xfId="0" applyFont="1" applyFill="1" applyBorder="1" applyAlignment="1">
      <alignment horizontal="center" vertical="center" wrapText="1"/>
    </xf>
    <xf numFmtId="0" fontId="20" fillId="11" borderId="21" xfId="0" applyFont="1" applyFill="1" applyBorder="1" applyAlignment="1">
      <alignment horizontal="center" vertical="center" wrapText="1"/>
    </xf>
    <xf numFmtId="0" fontId="32" fillId="11" borderId="21" xfId="0" applyFont="1" applyFill="1" applyBorder="1" applyAlignment="1">
      <alignment horizontal="center" vertical="center" wrapText="1"/>
    </xf>
    <xf numFmtId="0" fontId="20" fillId="11" borderId="21" xfId="0" applyFont="1" applyFill="1" applyBorder="1" applyAlignment="1">
      <alignment horizontal="center" vertical="center"/>
    </xf>
    <xf numFmtId="0" fontId="34" fillId="2" borderId="22" xfId="0" applyFont="1" applyFill="1" applyBorder="1" applyAlignment="1">
      <alignment horizontal="center" vertical="center" wrapText="1"/>
    </xf>
    <xf numFmtId="0" fontId="33" fillId="12" borderId="23" xfId="0" applyFont="1" applyFill="1" applyBorder="1" applyAlignment="1">
      <alignment horizontal="center" vertical="center" wrapText="1"/>
    </xf>
    <xf numFmtId="0" fontId="21" fillId="12" borderId="24" xfId="0" applyFont="1" applyFill="1" applyBorder="1" applyAlignment="1">
      <alignment horizontal="center" vertical="center" wrapText="1"/>
    </xf>
    <xf numFmtId="0" fontId="34" fillId="12" borderId="24" xfId="0" applyFont="1" applyFill="1" applyBorder="1" applyAlignment="1">
      <alignment horizontal="center" vertical="center" wrapText="1"/>
    </xf>
    <xf numFmtId="167" fontId="34" fillId="12" borderId="24" xfId="0" applyNumberFormat="1" applyFont="1" applyFill="1" applyBorder="1" applyAlignment="1">
      <alignment horizontal="center" vertical="center" wrapText="1"/>
    </xf>
    <xf numFmtId="0" fontId="32" fillId="7" borderId="3"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34" fillId="7" borderId="24" xfId="0" applyFont="1" applyFill="1" applyBorder="1" applyAlignment="1">
      <alignment horizontal="center" vertical="center" wrapText="1"/>
    </xf>
    <xf numFmtId="0" fontId="34" fillId="7" borderId="4" xfId="0" applyFont="1" applyFill="1" applyBorder="1" applyAlignment="1">
      <alignment horizontal="center" vertical="center" wrapText="1"/>
    </xf>
    <xf numFmtId="167" fontId="34" fillId="7" borderId="4" xfId="0" applyNumberFormat="1" applyFont="1" applyFill="1" applyBorder="1" applyAlignment="1">
      <alignment horizontal="center" vertical="center" wrapText="1"/>
    </xf>
    <xf numFmtId="0" fontId="21" fillId="12" borderId="4" xfId="0" applyFont="1" applyFill="1" applyBorder="1" applyAlignment="1">
      <alignment horizontal="center" vertical="center" wrapText="1"/>
    </xf>
    <xf numFmtId="0" fontId="34" fillId="12" borderId="4" xfId="0" applyFont="1" applyFill="1" applyBorder="1" applyAlignment="1">
      <alignment horizontal="center" vertical="center" wrapText="1"/>
    </xf>
    <xf numFmtId="0" fontId="35" fillId="7" borderId="24" xfId="0" applyFont="1" applyFill="1" applyBorder="1" applyAlignment="1">
      <alignment horizontal="center" vertical="center" wrapText="1"/>
    </xf>
    <xf numFmtId="167" fontId="21" fillId="7" borderId="24" xfId="0" applyNumberFormat="1" applyFont="1" applyFill="1" applyBorder="1" applyAlignment="1">
      <alignment horizontal="center" vertical="center" wrapText="1"/>
    </xf>
    <xf numFmtId="0" fontId="33" fillId="12" borderId="7" xfId="0" applyFont="1" applyFill="1" applyBorder="1" applyAlignment="1">
      <alignment horizontal="center" vertical="center" wrapText="1"/>
    </xf>
    <xf numFmtId="0" fontId="32" fillId="12" borderId="3" xfId="0" applyFont="1" applyFill="1" applyBorder="1" applyAlignment="1">
      <alignment horizontal="center" vertical="center" wrapText="1"/>
    </xf>
    <xf numFmtId="167" fontId="34" fillId="12" borderId="4" xfId="0" applyNumberFormat="1" applyFont="1" applyFill="1" applyBorder="1" applyAlignment="1">
      <alignment horizontal="center" vertical="center" wrapText="1"/>
    </xf>
    <xf numFmtId="0" fontId="32" fillId="12" borderId="23" xfId="0" applyFont="1" applyFill="1" applyBorder="1" applyAlignment="1">
      <alignment horizontal="center" vertical="center" wrapText="1"/>
    </xf>
    <xf numFmtId="0" fontId="33" fillId="13" borderId="23" xfId="0" applyFont="1" applyFill="1" applyBorder="1" applyAlignment="1">
      <alignment horizontal="center" vertical="center" wrapText="1"/>
    </xf>
    <xf numFmtId="0" fontId="21" fillId="13" borderId="24" xfId="0" applyFont="1" applyFill="1" applyBorder="1" applyAlignment="1">
      <alignment horizontal="center" vertical="center" wrapText="1"/>
    </xf>
    <xf numFmtId="0" fontId="34" fillId="13" borderId="4" xfId="0" applyFont="1" applyFill="1" applyBorder="1" applyAlignment="1">
      <alignment horizontal="center" vertical="center" wrapText="1"/>
    </xf>
    <xf numFmtId="167" fontId="34" fillId="13" borderId="4" xfId="0" applyNumberFormat="1" applyFont="1" applyFill="1" applyBorder="1" applyAlignment="1">
      <alignment horizontal="center" vertical="center" wrapText="1"/>
    </xf>
    <xf numFmtId="0" fontId="32" fillId="13" borderId="5" xfId="0" applyFont="1" applyFill="1" applyBorder="1" applyAlignment="1">
      <alignment horizontal="center" vertical="center" wrapText="1"/>
    </xf>
    <xf numFmtId="0" fontId="21" fillId="13" borderId="4" xfId="0" applyFont="1" applyFill="1" applyBorder="1" applyAlignment="1">
      <alignment horizontal="center" vertical="center" wrapText="1"/>
    </xf>
    <xf numFmtId="0" fontId="32" fillId="7" borderId="25" xfId="0" applyFont="1" applyFill="1" applyBorder="1" applyAlignment="1">
      <alignment horizontal="center" vertical="center" wrapText="1"/>
    </xf>
    <xf numFmtId="0" fontId="34" fillId="7" borderId="25" xfId="0" applyFont="1" applyFill="1" applyBorder="1" applyAlignment="1">
      <alignment horizontal="center" vertical="center" wrapText="1"/>
    </xf>
    <xf numFmtId="167" fontId="34" fillId="7" borderId="25" xfId="0" applyNumberFormat="1" applyFont="1" applyFill="1" applyBorder="1" applyAlignment="1">
      <alignment horizontal="center" vertical="center" wrapText="1"/>
    </xf>
    <xf numFmtId="0" fontId="32" fillId="13" borderId="23" xfId="0" applyFont="1" applyFill="1" applyBorder="1" applyAlignment="1">
      <alignment horizontal="center" vertical="center" wrapText="1"/>
    </xf>
    <xf numFmtId="0" fontId="34" fillId="13" borderId="24" xfId="0" applyFont="1" applyFill="1" applyBorder="1" applyAlignment="1">
      <alignment horizontal="center" vertical="center" wrapText="1"/>
    </xf>
    <xf numFmtId="167" fontId="34" fillId="13" borderId="24" xfId="0" applyNumberFormat="1" applyFont="1" applyFill="1" applyBorder="1" applyAlignment="1">
      <alignment horizontal="center" vertical="center" wrapText="1"/>
    </xf>
    <xf numFmtId="0" fontId="33" fillId="7" borderId="7" xfId="0" applyFont="1" applyFill="1" applyBorder="1" applyAlignment="1">
      <alignment horizontal="center" vertical="center" wrapText="1"/>
    </xf>
    <xf numFmtId="167" fontId="34" fillId="7" borderId="24" xfId="0" applyNumberFormat="1" applyFont="1" applyFill="1" applyBorder="1" applyAlignment="1">
      <alignment horizontal="center" vertical="center" wrapText="1"/>
    </xf>
    <xf numFmtId="0" fontId="33" fillId="13" borderId="7" xfId="0" applyFont="1" applyFill="1" applyBorder="1" applyAlignment="1">
      <alignment horizontal="center" vertical="center" wrapText="1"/>
    </xf>
    <xf numFmtId="0" fontId="33" fillId="13" borderId="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21" fillId="14" borderId="24" xfId="0" applyFont="1" applyFill="1" applyBorder="1" applyAlignment="1">
      <alignment horizontal="center" vertical="center" wrapText="1"/>
    </xf>
    <xf numFmtId="0" fontId="34" fillId="14" borderId="24" xfId="0" applyFont="1" applyFill="1" applyBorder="1" applyAlignment="1">
      <alignment horizontal="center" vertical="center" wrapText="1"/>
    </xf>
    <xf numFmtId="0" fontId="21" fillId="14" borderId="4" xfId="0" applyFont="1" applyFill="1" applyBorder="1" applyAlignment="1">
      <alignment horizontal="center" vertical="center" wrapText="1"/>
    </xf>
    <xf numFmtId="167" fontId="21" fillId="14" borderId="4" xfId="0" applyNumberFormat="1" applyFont="1" applyFill="1" applyBorder="1" applyAlignment="1">
      <alignment horizontal="center" vertical="center" wrapText="1"/>
    </xf>
    <xf numFmtId="0" fontId="33" fillId="15" borderId="3" xfId="0" applyFont="1" applyFill="1" applyBorder="1" applyAlignment="1">
      <alignment horizontal="center" vertical="center" wrapText="1"/>
    </xf>
    <xf numFmtId="0" fontId="21" fillId="15" borderId="4" xfId="0" applyFont="1" applyFill="1" applyBorder="1" applyAlignment="1">
      <alignment horizontal="center" vertical="center" wrapText="1"/>
    </xf>
    <xf numFmtId="0" fontId="34" fillId="15" borderId="4" xfId="0" applyFont="1" applyFill="1" applyBorder="1" applyAlignment="1">
      <alignment horizontal="center" vertical="center" wrapText="1"/>
    </xf>
    <xf numFmtId="167" fontId="34" fillId="15" borderId="4" xfId="0" applyNumberFormat="1" applyFont="1" applyFill="1" applyBorder="1" applyAlignment="1">
      <alignment horizontal="center" vertical="center" wrapText="1"/>
    </xf>
    <xf numFmtId="0" fontId="32" fillId="15" borderId="3" xfId="0" applyFont="1" applyFill="1" applyBorder="1" applyAlignment="1">
      <alignment horizontal="center" vertical="center" wrapText="1"/>
    </xf>
    <xf numFmtId="0" fontId="35" fillId="14" borderId="24" xfId="0" applyFont="1" applyFill="1" applyBorder="1" applyAlignment="1">
      <alignment horizontal="center" vertical="center" wrapText="1"/>
    </xf>
    <xf numFmtId="167" fontId="21" fillId="14" borderId="24" xfId="0" applyNumberFormat="1" applyFont="1" applyFill="1" applyBorder="1" applyAlignment="1">
      <alignment horizontal="center" vertical="center" wrapText="1"/>
    </xf>
    <xf numFmtId="0" fontId="32" fillId="14" borderId="5" xfId="0" applyFont="1" applyFill="1" applyBorder="1" applyAlignment="1">
      <alignment horizontal="center" vertical="center" wrapText="1"/>
    </xf>
    <xf numFmtId="0" fontId="34" fillId="14" borderId="4" xfId="0" applyFont="1" applyFill="1" applyBorder="1" applyAlignment="1">
      <alignment horizontal="center" vertical="center" wrapText="1"/>
    </xf>
    <xf numFmtId="167" fontId="34" fillId="14" borderId="4" xfId="0" applyNumberFormat="1" applyFont="1" applyFill="1" applyBorder="1" applyAlignment="1">
      <alignment horizontal="center" vertical="center" wrapText="1"/>
    </xf>
    <xf numFmtId="0" fontId="33" fillId="15" borderId="5" xfId="0" applyFont="1" applyFill="1" applyBorder="1" applyAlignment="1">
      <alignment horizontal="center" vertical="center" wrapText="1"/>
    </xf>
    <xf numFmtId="0" fontId="35" fillId="14" borderId="5" xfId="0" applyFont="1" applyFill="1" applyBorder="1" applyAlignment="1">
      <alignment horizontal="center" vertical="center" wrapText="1"/>
    </xf>
    <xf numFmtId="0" fontId="36" fillId="2" borderId="22" xfId="0" applyFont="1" applyFill="1" applyBorder="1" applyAlignment="1">
      <alignment horizontal="center" vertical="center" wrapText="1"/>
    </xf>
    <xf numFmtId="0" fontId="24" fillId="15" borderId="4" xfId="0" applyFont="1" applyFill="1" applyBorder="1" applyAlignment="1">
      <alignment horizontal="center" vertical="center" wrapText="1"/>
    </xf>
    <xf numFmtId="0" fontId="36" fillId="15" borderId="4" xfId="0" applyFont="1" applyFill="1" applyBorder="1" applyAlignment="1">
      <alignment horizontal="center" vertical="center" wrapText="1"/>
    </xf>
    <xf numFmtId="167" fontId="36" fillId="15" borderId="4" xfId="0" applyNumberFormat="1" applyFont="1" applyFill="1" applyBorder="1" applyAlignment="1">
      <alignment horizontal="center" vertical="center" wrapText="1"/>
    </xf>
    <xf numFmtId="0" fontId="33" fillId="14" borderId="4"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36" fillId="14" borderId="24" xfId="0" applyFont="1" applyFill="1" applyBorder="1" applyAlignment="1">
      <alignment horizontal="center" vertical="center" wrapText="1"/>
    </xf>
    <xf numFmtId="0" fontId="36" fillId="14" borderId="4" xfId="0" applyFont="1" applyFill="1" applyBorder="1" applyAlignment="1">
      <alignment horizontal="center" vertical="center" wrapText="1"/>
    </xf>
    <xf numFmtId="167" fontId="36" fillId="14" borderId="4" xfId="0" applyNumberFormat="1" applyFont="1" applyFill="1" applyBorder="1" applyAlignment="1">
      <alignment horizontal="center" vertical="center" wrapText="1"/>
    </xf>
    <xf numFmtId="0" fontId="32" fillId="14" borderId="3" xfId="0" applyFont="1" applyFill="1" applyBorder="1" applyAlignment="1">
      <alignment horizontal="center" vertical="center" wrapText="1"/>
    </xf>
    <xf numFmtId="0" fontId="33" fillId="15" borderId="4" xfId="0" applyFont="1" applyFill="1" applyBorder="1" applyAlignment="1">
      <alignment horizontal="center" vertical="center" wrapText="1"/>
    </xf>
    <xf numFmtId="0" fontId="32" fillId="15" borderId="5" xfId="0" applyFont="1" applyFill="1" applyBorder="1" applyAlignment="1">
      <alignment horizontal="center" vertical="center" wrapText="1"/>
    </xf>
    <xf numFmtId="0" fontId="24" fillId="14" borderId="4" xfId="0" applyFont="1" applyFill="1" applyBorder="1" applyAlignment="1">
      <alignment horizontal="center" vertical="center" wrapText="1"/>
    </xf>
    <xf numFmtId="167" fontId="24" fillId="14" borderId="4" xfId="0" applyNumberFormat="1" applyFont="1" applyFill="1" applyBorder="1" applyAlignment="1">
      <alignment horizontal="center" vertical="center" wrapText="1"/>
    </xf>
    <xf numFmtId="0" fontId="33" fillId="15" borderId="25" xfId="0" applyFont="1" applyFill="1" applyBorder="1" applyAlignment="1">
      <alignment horizontal="center" vertical="center" wrapText="1"/>
    </xf>
    <xf numFmtId="0" fontId="36" fillId="15" borderId="25" xfId="0" applyFont="1" applyFill="1" applyBorder="1" applyAlignment="1">
      <alignment horizontal="left" vertical="center" wrapText="1"/>
    </xf>
    <xf numFmtId="0" fontId="36" fillId="15" borderId="24" xfId="0" applyFont="1" applyFill="1" applyBorder="1" applyAlignment="1">
      <alignment horizontal="center" vertical="center" wrapText="1"/>
    </xf>
    <xf numFmtId="0" fontId="36" fillId="15" borderId="25" xfId="0" applyFont="1" applyFill="1" applyBorder="1" applyAlignment="1">
      <alignment horizontal="center" vertical="center" wrapText="1"/>
    </xf>
    <xf numFmtId="167" fontId="36" fillId="15" borderId="25" xfId="0" applyNumberFormat="1" applyFont="1" applyFill="1" applyBorder="1" applyAlignment="1">
      <alignment horizontal="center" vertical="center" wrapText="1"/>
    </xf>
    <xf numFmtId="0" fontId="37" fillId="14" borderId="5" xfId="0" applyFont="1" applyFill="1" applyBorder="1" applyAlignment="1">
      <alignment horizontal="center" vertical="center" wrapText="1"/>
    </xf>
    <xf numFmtId="0" fontId="32" fillId="14" borderId="4" xfId="0" applyFont="1" applyFill="1" applyBorder="1" applyAlignment="1">
      <alignment horizontal="center" vertical="center" wrapText="1"/>
    </xf>
    <xf numFmtId="0" fontId="37" fillId="14" borderId="3" xfId="0" applyFont="1" applyFill="1" applyBorder="1" applyAlignment="1">
      <alignment horizontal="center" vertical="center" wrapText="1"/>
    </xf>
    <xf numFmtId="0" fontId="32" fillId="15" borderId="26" xfId="0" applyFont="1" applyFill="1" applyBorder="1" applyAlignment="1">
      <alignment horizontal="center" vertical="center" wrapText="1"/>
    </xf>
    <xf numFmtId="0" fontId="36" fillId="15" borderId="6" xfId="0" applyFont="1" applyFill="1" applyBorder="1" applyAlignment="1">
      <alignment horizontal="center" vertical="center" wrapText="1"/>
    </xf>
    <xf numFmtId="167" fontId="36" fillId="15" borderId="6" xfId="0" applyNumberFormat="1" applyFont="1" applyFill="1" applyBorder="1" applyAlignment="1">
      <alignment horizontal="center" vertical="center" wrapText="1"/>
    </xf>
    <xf numFmtId="0" fontId="33" fillId="15" borderId="26" xfId="0" applyFont="1" applyFill="1" applyBorder="1" applyAlignment="1">
      <alignment horizontal="center" vertical="center" wrapText="1"/>
    </xf>
    <xf numFmtId="165" fontId="29" fillId="10" borderId="19" xfId="0" applyNumberFormat="1" applyFont="1" applyFill="1" applyBorder="1" applyAlignment="1">
      <alignment horizontal="center" vertical="center" wrapText="1"/>
    </xf>
    <xf numFmtId="14" fontId="29" fillId="10" borderId="19" xfId="0" applyNumberFormat="1" applyFont="1" applyFill="1" applyBorder="1" applyAlignment="1">
      <alignment horizontal="center" vertical="center" wrapText="1"/>
    </xf>
    <xf numFmtId="0" fontId="38" fillId="10" borderId="19" xfId="0" applyFont="1" applyFill="1" applyBorder="1" applyAlignment="1">
      <alignment horizontal="center" vertical="center" wrapText="1"/>
    </xf>
    <xf numFmtId="10" fontId="38" fillId="10" borderId="19" xfId="0" applyNumberFormat="1" applyFont="1" applyFill="1" applyBorder="1" applyAlignment="1">
      <alignment horizontal="center" vertical="center" wrapText="1"/>
    </xf>
    <xf numFmtId="4" fontId="38" fillId="10" borderId="19" xfId="0" applyNumberFormat="1" applyFont="1" applyFill="1" applyBorder="1" applyAlignment="1">
      <alignment horizontal="center" vertical="center" wrapText="1"/>
    </xf>
    <xf numFmtId="9" fontId="32" fillId="11" borderId="2" xfId="0" applyNumberFormat="1" applyFont="1" applyFill="1" applyBorder="1" applyAlignment="1">
      <alignment horizontal="center" vertical="center" wrapText="1"/>
    </xf>
    <xf numFmtId="166" fontId="32" fillId="11" borderId="2" xfId="2" applyNumberFormat="1" applyFont="1" applyFill="1" applyBorder="1" applyAlignment="1">
      <alignment horizontal="right" vertical="center" wrapText="1"/>
    </xf>
    <xf numFmtId="4" fontId="20" fillId="11" borderId="2" xfId="1" applyNumberFormat="1" applyFont="1" applyFill="1" applyBorder="1" applyAlignment="1">
      <alignment horizontal="center" vertical="center" wrapText="1"/>
    </xf>
    <xf numFmtId="9" fontId="32" fillId="11" borderId="4" xfId="1" applyNumberFormat="1" applyFont="1" applyFill="1" applyBorder="1" applyAlignment="1">
      <alignment horizontal="center" vertical="center" wrapText="1"/>
    </xf>
    <xf numFmtId="166" fontId="32" fillId="11" borderId="4" xfId="2" applyNumberFormat="1" applyFont="1" applyFill="1" applyBorder="1" applyAlignment="1">
      <alignment horizontal="right" vertical="center" wrapText="1"/>
    </xf>
    <xf numFmtId="4" fontId="20" fillId="11" borderId="4" xfId="1" applyNumberFormat="1" applyFont="1" applyFill="1" applyBorder="1" applyAlignment="1">
      <alignment horizontal="center" vertical="center" wrapText="1"/>
    </xf>
    <xf numFmtId="9" fontId="32" fillId="11" borderId="21" xfId="0" applyNumberFormat="1" applyFont="1" applyFill="1" applyBorder="1" applyAlignment="1">
      <alignment horizontal="center" vertical="center" wrapText="1"/>
    </xf>
    <xf numFmtId="166" fontId="32" fillId="11" borderId="21" xfId="2" applyNumberFormat="1" applyFont="1" applyFill="1" applyBorder="1" applyAlignment="1">
      <alignment horizontal="right" vertical="center" wrapText="1"/>
    </xf>
    <xf numFmtId="4" fontId="20" fillId="11" borderId="21" xfId="1" applyNumberFormat="1" applyFont="1" applyFill="1" applyBorder="1" applyAlignment="1">
      <alignment horizontal="center" vertical="center" wrapText="1"/>
    </xf>
    <xf numFmtId="14" fontId="34" fillId="12" borderId="24" xfId="0" applyNumberFormat="1" applyFont="1" applyFill="1" applyBorder="1" applyAlignment="1">
      <alignment horizontal="center" vertical="center" wrapText="1"/>
    </xf>
    <xf numFmtId="166" fontId="34" fillId="12" borderId="24" xfId="2" applyNumberFormat="1" applyFont="1" applyFill="1" applyBorder="1" applyAlignment="1">
      <alignment horizontal="right" vertical="center" wrapText="1"/>
    </xf>
    <xf numFmtId="9" fontId="34" fillId="12" borderId="24" xfId="1" applyNumberFormat="1" applyFont="1" applyFill="1" applyBorder="1" applyAlignment="1">
      <alignment horizontal="center" vertical="center" wrapText="1"/>
    </xf>
    <xf numFmtId="4" fontId="21" fillId="12" borderId="24" xfId="1" applyNumberFormat="1" applyFont="1" applyFill="1" applyBorder="1" applyAlignment="1">
      <alignment horizontal="center" vertical="center" wrapText="1"/>
    </xf>
    <xf numFmtId="14" fontId="34" fillId="7" borderId="4" xfId="0" applyNumberFormat="1" applyFont="1" applyFill="1" applyBorder="1" applyAlignment="1">
      <alignment horizontal="center" vertical="center" wrapText="1"/>
    </xf>
    <xf numFmtId="166" fontId="34" fillId="7" borderId="4" xfId="2" applyNumberFormat="1" applyFont="1" applyFill="1" applyBorder="1" applyAlignment="1">
      <alignment horizontal="right" vertical="center" wrapText="1"/>
    </xf>
    <xf numFmtId="9" fontId="34" fillId="7" borderId="4" xfId="1" applyNumberFormat="1" applyFont="1" applyFill="1" applyBorder="1" applyAlignment="1">
      <alignment horizontal="center" vertical="center" wrapText="1"/>
    </xf>
    <xf numFmtId="4" fontId="21" fillId="7" borderId="4" xfId="1" applyNumberFormat="1" applyFont="1" applyFill="1" applyBorder="1" applyAlignment="1">
      <alignment horizontal="center" vertical="center" wrapText="1"/>
    </xf>
    <xf numFmtId="166" fontId="21" fillId="7" borderId="24" xfId="2" applyNumberFormat="1" applyFont="1" applyFill="1" applyBorder="1" applyAlignment="1">
      <alignment horizontal="right" vertical="center" wrapText="1"/>
    </xf>
    <xf numFmtId="9" fontId="21" fillId="7" borderId="24" xfId="0" applyNumberFormat="1" applyFont="1" applyFill="1" applyBorder="1" applyAlignment="1">
      <alignment horizontal="center" vertical="center" wrapText="1"/>
    </xf>
    <xf numFmtId="4" fontId="21" fillId="7" borderId="24" xfId="1" applyNumberFormat="1" applyFont="1" applyFill="1" applyBorder="1" applyAlignment="1">
      <alignment horizontal="center" vertical="center" wrapText="1"/>
    </xf>
    <xf numFmtId="166" fontId="34" fillId="12" borderId="4" xfId="2" applyNumberFormat="1" applyFont="1" applyFill="1" applyBorder="1" applyAlignment="1">
      <alignment horizontal="right" vertical="center" wrapText="1"/>
    </xf>
    <xf numFmtId="9" fontId="34" fillId="12" borderId="4" xfId="1" applyNumberFormat="1" applyFont="1" applyFill="1" applyBorder="1" applyAlignment="1">
      <alignment horizontal="center" vertical="center" wrapText="1"/>
    </xf>
    <xf numFmtId="4" fontId="21" fillId="12" borderId="4" xfId="1" applyNumberFormat="1" applyFont="1" applyFill="1" applyBorder="1" applyAlignment="1">
      <alignment horizontal="center" vertical="center" wrapText="1"/>
    </xf>
    <xf numFmtId="14" fontId="34" fillId="13" borderId="4" xfId="0" applyNumberFormat="1" applyFont="1" applyFill="1" applyBorder="1" applyAlignment="1">
      <alignment horizontal="center" vertical="center" wrapText="1"/>
    </xf>
    <xf numFmtId="14" fontId="34" fillId="13" borderId="24" xfId="0" applyNumberFormat="1" applyFont="1" applyFill="1" applyBorder="1" applyAlignment="1">
      <alignment horizontal="center" vertical="center" wrapText="1"/>
    </xf>
    <xf numFmtId="166" fontId="34" fillId="13" borderId="24" xfId="2" applyNumberFormat="1" applyFont="1" applyFill="1" applyBorder="1" applyAlignment="1">
      <alignment horizontal="right" vertical="center" wrapText="1"/>
    </xf>
    <xf numFmtId="9" fontId="34" fillId="13" borderId="4" xfId="1" applyNumberFormat="1" applyFont="1" applyFill="1" applyBorder="1" applyAlignment="1">
      <alignment horizontal="center" vertical="center" wrapText="1"/>
    </xf>
    <xf numFmtId="4" fontId="21" fillId="13" borderId="4" xfId="1" applyNumberFormat="1" applyFont="1" applyFill="1" applyBorder="1" applyAlignment="1">
      <alignment horizontal="center" vertical="center" wrapText="1"/>
    </xf>
    <xf numFmtId="166" fontId="34" fillId="13" borderId="4" xfId="2" applyNumberFormat="1" applyFont="1" applyFill="1" applyBorder="1" applyAlignment="1">
      <alignment horizontal="right" vertical="center" wrapText="1"/>
    </xf>
    <xf numFmtId="166" fontId="34" fillId="7" borderId="25" xfId="2" applyNumberFormat="1" applyFont="1" applyFill="1" applyBorder="1" applyAlignment="1">
      <alignment horizontal="right" vertical="center" wrapText="1"/>
    </xf>
    <xf numFmtId="9" fontId="34" fillId="7" borderId="25" xfId="0" applyNumberFormat="1" applyFont="1" applyFill="1" applyBorder="1" applyAlignment="1">
      <alignment horizontal="center" vertical="center" wrapText="1"/>
    </xf>
    <xf numFmtId="4" fontId="21" fillId="7" borderId="25" xfId="1" applyNumberFormat="1" applyFont="1" applyFill="1" applyBorder="1" applyAlignment="1">
      <alignment horizontal="center" vertical="center" wrapText="1"/>
    </xf>
    <xf numFmtId="166" fontId="34" fillId="7" borderId="24" xfId="2" applyNumberFormat="1" applyFont="1" applyFill="1" applyBorder="1" applyAlignment="1">
      <alignment horizontal="right" vertical="center" wrapText="1"/>
    </xf>
    <xf numFmtId="9" fontId="34" fillId="7" borderId="25" xfId="1" applyNumberFormat="1" applyFont="1" applyFill="1" applyBorder="1" applyAlignment="1">
      <alignment horizontal="center" vertical="center" wrapText="1"/>
    </xf>
    <xf numFmtId="9" fontId="34" fillId="13" borderId="25" xfId="1" applyNumberFormat="1" applyFont="1" applyFill="1" applyBorder="1" applyAlignment="1">
      <alignment horizontal="center" vertical="center" wrapText="1"/>
    </xf>
    <xf numFmtId="4" fontId="21" fillId="13" borderId="25" xfId="1" applyNumberFormat="1" applyFont="1" applyFill="1" applyBorder="1" applyAlignment="1">
      <alignment horizontal="center" vertical="center" wrapText="1"/>
    </xf>
    <xf numFmtId="166" fontId="21" fillId="14" borderId="4" xfId="2" applyNumberFormat="1" applyFont="1" applyFill="1" applyBorder="1" applyAlignment="1">
      <alignment horizontal="right" vertical="center" wrapText="1"/>
    </xf>
    <xf numFmtId="9" fontId="21" fillId="14" borderId="4" xfId="0" applyNumberFormat="1" applyFont="1" applyFill="1" applyBorder="1" applyAlignment="1">
      <alignment horizontal="center" vertical="center" wrapText="1"/>
    </xf>
    <xf numFmtId="4" fontId="21" fillId="14" borderId="4" xfId="1" applyNumberFormat="1" applyFont="1" applyFill="1" applyBorder="1" applyAlignment="1">
      <alignment horizontal="center" vertical="center" wrapText="1"/>
    </xf>
    <xf numFmtId="14" fontId="34" fillId="15" borderId="4" xfId="0" applyNumberFormat="1" applyFont="1" applyFill="1" applyBorder="1" applyAlignment="1">
      <alignment horizontal="center" vertical="center" wrapText="1"/>
    </xf>
    <xf numFmtId="166" fontId="34" fillId="15" borderId="4" xfId="2" applyNumberFormat="1" applyFont="1" applyFill="1" applyBorder="1" applyAlignment="1">
      <alignment horizontal="right" vertical="center" wrapText="1"/>
    </xf>
    <xf numFmtId="9" fontId="34" fillId="15" borderId="4" xfId="1" applyNumberFormat="1" applyFont="1" applyFill="1" applyBorder="1" applyAlignment="1">
      <alignment horizontal="center" vertical="center" wrapText="1"/>
    </xf>
    <xf numFmtId="4" fontId="21" fillId="15" borderId="24" xfId="1" applyNumberFormat="1" applyFont="1" applyFill="1" applyBorder="1" applyAlignment="1">
      <alignment horizontal="center" vertical="center" wrapText="1"/>
    </xf>
    <xf numFmtId="4" fontId="21" fillId="15" borderId="4" xfId="1" applyNumberFormat="1" applyFont="1" applyFill="1" applyBorder="1" applyAlignment="1">
      <alignment horizontal="center" vertical="center" wrapText="1"/>
    </xf>
    <xf numFmtId="166" fontId="21" fillId="14" borderId="24" xfId="2" applyNumberFormat="1" applyFont="1" applyFill="1" applyBorder="1" applyAlignment="1">
      <alignment horizontal="right" vertical="center" wrapText="1"/>
    </xf>
    <xf numFmtId="9" fontId="21" fillId="14" borderId="24" xfId="0" applyNumberFormat="1" applyFont="1" applyFill="1" applyBorder="1" applyAlignment="1">
      <alignment horizontal="center" vertical="center" wrapText="1"/>
    </xf>
    <xf numFmtId="4" fontId="21" fillId="14" borderId="24" xfId="1" applyNumberFormat="1" applyFont="1" applyFill="1" applyBorder="1" applyAlignment="1">
      <alignment horizontal="center" vertical="center" wrapText="1"/>
    </xf>
    <xf numFmtId="14" fontId="34" fillId="14" borderId="4" xfId="0" applyNumberFormat="1" applyFont="1" applyFill="1" applyBorder="1" applyAlignment="1">
      <alignment horizontal="center" vertical="center" wrapText="1"/>
    </xf>
    <xf numFmtId="166" fontId="34" fillId="14" borderId="4" xfId="2" applyNumberFormat="1" applyFont="1" applyFill="1" applyBorder="1" applyAlignment="1">
      <alignment horizontal="right" vertical="center" wrapText="1"/>
    </xf>
    <xf numFmtId="9" fontId="34" fillId="14" borderId="4" xfId="1" applyNumberFormat="1" applyFont="1" applyFill="1" applyBorder="1" applyAlignment="1">
      <alignment horizontal="center" vertical="center" wrapText="1"/>
    </xf>
    <xf numFmtId="4" fontId="39" fillId="15" borderId="4" xfId="1" applyNumberFormat="1" applyFont="1" applyFill="1" applyBorder="1" applyAlignment="1">
      <alignment horizontal="center" vertical="center" wrapText="1"/>
    </xf>
    <xf numFmtId="9" fontId="21" fillId="14" borderId="4" xfId="1" applyNumberFormat="1" applyFont="1" applyFill="1" applyBorder="1" applyAlignment="1">
      <alignment horizontal="center" vertical="center" wrapText="1"/>
    </xf>
    <xf numFmtId="14" fontId="36" fillId="15" borderId="4" xfId="0" applyNumberFormat="1" applyFont="1" applyFill="1" applyBorder="1" applyAlignment="1">
      <alignment horizontal="center" vertical="center" wrapText="1"/>
    </xf>
    <xf numFmtId="166" fontId="36" fillId="15" borderId="4" xfId="2" applyNumberFormat="1" applyFont="1" applyFill="1" applyBorder="1" applyAlignment="1">
      <alignment horizontal="right" vertical="center" wrapText="1"/>
    </xf>
    <xf numFmtId="9" fontId="36" fillId="15" borderId="4" xfId="1" applyNumberFormat="1" applyFont="1" applyFill="1" applyBorder="1" applyAlignment="1">
      <alignment horizontal="center" vertical="center" wrapText="1"/>
    </xf>
    <xf numFmtId="4" fontId="24" fillId="15" borderId="4" xfId="1" applyNumberFormat="1" applyFont="1" applyFill="1" applyBorder="1" applyAlignment="1">
      <alignment horizontal="center" vertical="center" wrapText="1"/>
    </xf>
    <xf numFmtId="9" fontId="36" fillId="15" borderId="24" xfId="1" applyNumberFormat="1" applyFont="1" applyFill="1" applyBorder="1" applyAlignment="1">
      <alignment horizontal="center" vertical="center" wrapText="1"/>
    </xf>
    <xf numFmtId="166" fontId="36" fillId="14" borderId="4" xfId="2" applyNumberFormat="1" applyFont="1" applyFill="1" applyBorder="1" applyAlignment="1">
      <alignment horizontal="right" vertical="center" wrapText="1"/>
    </xf>
    <xf numFmtId="9" fontId="36" fillId="14" borderId="4" xfId="1" applyNumberFormat="1" applyFont="1" applyFill="1" applyBorder="1" applyAlignment="1">
      <alignment horizontal="center" vertical="center" wrapText="1"/>
    </xf>
    <xf numFmtId="4" fontId="24" fillId="14" borderId="4" xfId="1" applyNumberFormat="1" applyFont="1" applyFill="1" applyBorder="1" applyAlignment="1">
      <alignment horizontal="center" vertical="center" wrapText="1"/>
    </xf>
    <xf numFmtId="14" fontId="24" fillId="14" borderId="4" xfId="0" applyNumberFormat="1" applyFont="1" applyFill="1" applyBorder="1" applyAlignment="1">
      <alignment horizontal="center" vertical="center" wrapText="1"/>
    </xf>
    <xf numFmtId="166" fontId="24" fillId="14" borderId="4" xfId="2" applyNumberFormat="1" applyFont="1" applyFill="1" applyBorder="1" applyAlignment="1">
      <alignment horizontal="right" vertical="center" wrapText="1"/>
    </xf>
    <xf numFmtId="9" fontId="24" fillId="14" borderId="4" xfId="0" applyNumberFormat="1" applyFont="1" applyFill="1" applyBorder="1" applyAlignment="1">
      <alignment horizontal="center" vertical="center" wrapText="1"/>
    </xf>
    <xf numFmtId="9" fontId="24" fillId="15" borderId="4" xfId="0" applyNumberFormat="1" applyFont="1" applyFill="1" applyBorder="1" applyAlignment="1">
      <alignment horizontal="center" vertical="center" wrapText="1"/>
    </xf>
    <xf numFmtId="166" fontId="36" fillId="15" borderId="25" xfId="2" applyNumberFormat="1" applyFont="1" applyFill="1" applyBorder="1" applyAlignment="1">
      <alignment horizontal="left" vertical="center" wrapText="1"/>
    </xf>
    <xf numFmtId="4" fontId="24" fillId="15" borderId="25" xfId="1" applyNumberFormat="1" applyFont="1" applyFill="1" applyBorder="1" applyAlignment="1">
      <alignment horizontal="center" vertical="center" wrapText="1"/>
    </xf>
    <xf numFmtId="166" fontId="36" fillId="14" borderId="4" xfId="2" applyNumberFormat="1" applyFont="1" applyFill="1" applyBorder="1" applyAlignment="1">
      <alignment horizontal="left" vertical="center" wrapText="1"/>
    </xf>
    <xf numFmtId="166" fontId="24" fillId="14" borderId="4" xfId="2" applyNumberFormat="1" applyFont="1" applyFill="1" applyBorder="1" applyAlignment="1">
      <alignment horizontal="left" vertical="center" wrapText="1"/>
    </xf>
    <xf numFmtId="166" fontId="36" fillId="15" borderId="6" xfId="2" applyNumberFormat="1" applyFont="1" applyFill="1" applyBorder="1" applyAlignment="1">
      <alignment horizontal="left" vertical="center" wrapText="1"/>
    </xf>
    <xf numFmtId="4" fontId="24" fillId="15" borderId="6" xfId="1" applyNumberFormat="1" applyFont="1" applyFill="1" applyBorder="1" applyAlignment="1">
      <alignment horizontal="center" vertical="center" wrapText="1"/>
    </xf>
    <xf numFmtId="166" fontId="36" fillId="15" borderId="4" xfId="2" applyNumberFormat="1" applyFont="1" applyFill="1" applyBorder="1" applyAlignment="1">
      <alignment horizontal="left" vertical="center" wrapText="1"/>
    </xf>
    <xf numFmtId="0" fontId="30" fillId="10" borderId="27" xfId="0" applyFont="1" applyFill="1" applyBorder="1" applyAlignment="1">
      <alignment horizontal="center" vertical="center" wrapText="1"/>
    </xf>
    <xf numFmtId="0" fontId="30" fillId="10" borderId="28" xfId="0" applyFont="1" applyFill="1" applyBorder="1" applyAlignment="1">
      <alignment horizontal="center" vertical="center" wrapText="1"/>
    </xf>
    <xf numFmtId="0" fontId="21" fillId="2" borderId="14" xfId="0" applyFont="1" applyFill="1" applyBorder="1" applyAlignment="1">
      <alignment horizontal="left" vertical="center" wrapText="1"/>
    </xf>
    <xf numFmtId="0" fontId="21" fillId="2" borderId="14" xfId="0" applyFont="1" applyFill="1" applyBorder="1" applyAlignment="1">
      <alignment horizontal="left" vertical="center"/>
    </xf>
    <xf numFmtId="0" fontId="21" fillId="2" borderId="31" xfId="0" applyFont="1" applyFill="1" applyBorder="1" applyAlignment="1">
      <alignment horizontal="left" vertical="center" wrapText="1"/>
    </xf>
    <xf numFmtId="0" fontId="21" fillId="2" borderId="0" xfId="0" applyFont="1" applyFill="1" applyAlignment="1">
      <alignment horizontal="left" vertical="center" wrapText="1"/>
    </xf>
    <xf numFmtId="0" fontId="21" fillId="2" borderId="33" xfId="0" applyFont="1" applyFill="1" applyBorder="1" applyAlignment="1">
      <alignment horizontal="left" vertical="center" wrapText="1"/>
    </xf>
    <xf numFmtId="0" fontId="21" fillId="2" borderId="16" xfId="0" applyFont="1" applyFill="1" applyBorder="1" applyAlignment="1">
      <alignment horizontal="left" vertical="center" wrapText="1"/>
    </xf>
    <xf numFmtId="0" fontId="24" fillId="2" borderId="16" xfId="0" applyFont="1" applyFill="1" applyBorder="1" applyAlignment="1">
      <alignment horizontal="left" vertical="center" wrapText="1"/>
    </xf>
    <xf numFmtId="15" fontId="36" fillId="14" borderId="4" xfId="0" applyNumberFormat="1" applyFont="1" applyFill="1" applyBorder="1" applyAlignment="1">
      <alignment horizontal="center" vertical="center" wrapText="1"/>
    </xf>
    <xf numFmtId="15" fontId="24" fillId="14" borderId="4" xfId="0" applyNumberFormat="1" applyFont="1" applyFill="1" applyBorder="1" applyAlignment="1">
      <alignment horizontal="center" vertical="center" wrapText="1"/>
    </xf>
    <xf numFmtId="0" fontId="23" fillId="0" borderId="0" xfId="0" applyFont="1" applyAlignment="1">
      <alignment horizontal="left" vertical="top"/>
    </xf>
    <xf numFmtId="15" fontId="36" fillId="14" borderId="24" xfId="0" applyNumberFormat="1" applyFont="1" applyFill="1" applyBorder="1" applyAlignment="1">
      <alignment horizontal="center" vertical="center" wrapText="1"/>
    </xf>
    <xf numFmtId="0" fontId="24" fillId="2" borderId="14" xfId="0" applyFont="1" applyFill="1" applyBorder="1" applyAlignment="1">
      <alignment horizontal="center" vertical="center"/>
    </xf>
    <xf numFmtId="15" fontId="24" fillId="15" borderId="4" xfId="0" applyNumberFormat="1" applyFont="1" applyFill="1" applyBorder="1" applyAlignment="1">
      <alignment horizontal="center" vertical="center" wrapText="1"/>
    </xf>
    <xf numFmtId="0" fontId="25" fillId="2" borderId="14" xfId="0" applyFont="1" applyFill="1" applyBorder="1" applyAlignment="1">
      <alignment horizontal="center" vertical="center"/>
    </xf>
    <xf numFmtId="15" fontId="24" fillId="15" borderId="24" xfId="0" applyNumberFormat="1" applyFont="1" applyFill="1" applyBorder="1" applyAlignment="1">
      <alignment horizontal="center" vertical="center" wrapText="1"/>
    </xf>
    <xf numFmtId="0" fontId="24" fillId="2" borderId="14" xfId="0" applyFont="1" applyFill="1" applyBorder="1" applyAlignment="1">
      <alignment horizontal="left" vertical="center" wrapText="1"/>
    </xf>
    <xf numFmtId="0" fontId="24" fillId="2" borderId="14" xfId="0" applyFont="1" applyFill="1" applyBorder="1" applyAlignment="1">
      <alignment horizontal="left" vertical="top" wrapText="1"/>
    </xf>
    <xf numFmtId="0" fontId="25" fillId="2" borderId="16" xfId="0" applyFont="1" applyFill="1" applyBorder="1" applyAlignment="1">
      <alignment horizontal="center" vertical="center"/>
    </xf>
    <xf numFmtId="0" fontId="24" fillId="2" borderId="16" xfId="0" applyFont="1" applyFill="1" applyBorder="1" applyAlignment="1">
      <alignment horizontal="left" vertical="top" wrapText="1"/>
    </xf>
    <xf numFmtId="0" fontId="33" fillId="15" borderId="24" xfId="0" applyFont="1" applyFill="1" applyBorder="1" applyAlignment="1">
      <alignment horizontal="center" vertical="center" wrapText="1"/>
    </xf>
    <xf numFmtId="167" fontId="36" fillId="15" borderId="24" xfId="0" applyNumberFormat="1" applyFont="1" applyFill="1" applyBorder="1" applyAlignment="1">
      <alignment horizontal="center" vertical="center" wrapText="1"/>
    </xf>
    <xf numFmtId="0" fontId="32" fillId="15" borderId="3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37" fillId="14" borderId="4" xfId="0" applyFont="1" applyFill="1" applyBorder="1" applyAlignment="1">
      <alignment horizontal="center" vertical="center" wrapText="1"/>
    </xf>
    <xf numFmtId="0" fontId="32" fillId="14" borderId="23" xfId="0" applyFont="1" applyFill="1" applyBorder="1" applyAlignment="1">
      <alignment horizontal="center" vertical="center" wrapText="1"/>
    </xf>
    <xf numFmtId="167" fontId="36" fillId="14" borderId="24" xfId="0" applyNumberFormat="1" applyFont="1" applyFill="1" applyBorder="1" applyAlignment="1">
      <alignment horizontal="center" vertical="center" wrapText="1"/>
    </xf>
    <xf numFmtId="0" fontId="33" fillId="14" borderId="3" xfId="0" applyFont="1" applyFill="1" applyBorder="1" applyAlignment="1">
      <alignment horizontal="center" vertical="center" wrapText="1"/>
    </xf>
    <xf numFmtId="0" fontId="36" fillId="14" borderId="6" xfId="0" applyFont="1" applyFill="1" applyBorder="1" applyAlignment="1">
      <alignment horizontal="center" vertical="center" wrapText="1"/>
    </xf>
    <xf numFmtId="0" fontId="24" fillId="14" borderId="6" xfId="0" applyFont="1" applyFill="1" applyBorder="1" applyAlignment="1">
      <alignment horizontal="center" vertical="center" wrapText="1"/>
    </xf>
    <xf numFmtId="167" fontId="24" fillId="14" borderId="6" xfId="0" applyNumberFormat="1" applyFont="1" applyFill="1" applyBorder="1" applyAlignment="1">
      <alignment horizontal="center" vertical="center" wrapText="1"/>
    </xf>
    <xf numFmtId="0" fontId="35" fillId="14" borderId="4" xfId="0" applyFont="1" applyFill="1" applyBorder="1" applyAlignment="1">
      <alignment horizontal="center" vertical="center" wrapText="1"/>
    </xf>
    <xf numFmtId="0" fontId="40" fillId="16" borderId="5" xfId="0" applyFont="1" applyFill="1" applyBorder="1" applyAlignment="1">
      <alignment horizontal="center" vertical="center" wrapText="1"/>
    </xf>
    <xf numFmtId="0" fontId="24" fillId="1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167" fontId="36" fillId="16" borderId="4" xfId="0" applyNumberFormat="1" applyFont="1" applyFill="1" applyBorder="1" applyAlignment="1">
      <alignment horizontal="center" vertical="center" wrapText="1"/>
    </xf>
    <xf numFmtId="0" fontId="40" fillId="16" borderId="4" xfId="0" applyFont="1" applyFill="1" applyBorder="1" applyAlignment="1">
      <alignment horizontal="center" vertical="center" wrapText="1"/>
    </xf>
    <xf numFmtId="0" fontId="35" fillId="15" borderId="4" xfId="0" applyFont="1" applyFill="1" applyBorder="1" applyAlignment="1">
      <alignment horizontal="center" vertical="center" wrapText="1"/>
    </xf>
    <xf numFmtId="167" fontId="24" fillId="15" borderId="4" xfId="0" applyNumberFormat="1" applyFont="1" applyFill="1" applyBorder="1" applyAlignment="1">
      <alignment horizontal="center" vertical="center" wrapText="1"/>
    </xf>
    <xf numFmtId="0" fontId="35" fillId="15" borderId="26" xfId="0" applyFont="1" applyFill="1" applyBorder="1" applyAlignment="1">
      <alignment horizontal="center" vertical="center" wrapText="1"/>
    </xf>
    <xf numFmtId="0" fontId="24" fillId="15" borderId="6" xfId="0" applyFont="1" applyFill="1" applyBorder="1" applyAlignment="1">
      <alignment horizontal="center" vertical="center" wrapText="1"/>
    </xf>
    <xf numFmtId="167" fontId="24" fillId="15" borderId="6" xfId="0" applyNumberFormat="1" applyFont="1" applyFill="1" applyBorder="1" applyAlignment="1">
      <alignment horizontal="center" vertical="center" wrapText="1"/>
    </xf>
    <xf numFmtId="3" fontId="35" fillId="14" borderId="26" xfId="0" applyNumberFormat="1" applyFont="1" applyFill="1" applyBorder="1" applyAlignment="1">
      <alignment horizontal="center" vertical="center" wrapText="1"/>
    </xf>
    <xf numFmtId="0" fontId="37" fillId="14" borderId="26" xfId="0" applyFont="1" applyFill="1" applyBorder="1" applyAlignment="1">
      <alignment horizontal="center" vertical="center" wrapText="1"/>
    </xf>
    <xf numFmtId="0" fontId="35" fillId="16" borderId="5" xfId="0" applyFont="1" applyFill="1" applyBorder="1" applyAlignment="1">
      <alignment horizontal="center" vertical="center" wrapText="1"/>
    </xf>
    <xf numFmtId="0" fontId="24" fillId="16" borderId="6" xfId="0" applyFont="1" applyFill="1" applyBorder="1" applyAlignment="1">
      <alignment horizontal="center" vertical="center" wrapText="1"/>
    </xf>
    <xf numFmtId="167" fontId="24" fillId="16" borderId="4" xfId="0" applyNumberFormat="1" applyFont="1" applyFill="1" applyBorder="1" applyAlignment="1">
      <alignment horizontal="center" vertical="center" wrapText="1"/>
    </xf>
    <xf numFmtId="0" fontId="24" fillId="2" borderId="7" xfId="0" applyFont="1" applyFill="1" applyBorder="1" applyAlignment="1">
      <alignment horizontal="center" vertical="center" wrapText="1"/>
    </xf>
    <xf numFmtId="0" fontId="35"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167" fontId="24" fillId="16" borderId="6" xfId="0" applyNumberFormat="1" applyFont="1" applyFill="1" applyBorder="1" applyAlignment="1">
      <alignment horizontal="center" vertical="center" wrapText="1"/>
    </xf>
    <xf numFmtId="0" fontId="40" fillId="14" borderId="24" xfId="0" applyFont="1" applyFill="1" applyBorder="1" applyAlignment="1">
      <alignment horizontal="center" vertical="center" wrapText="1"/>
    </xf>
    <xf numFmtId="3" fontId="35" fillId="15" borderId="4" xfId="0" applyNumberFormat="1" applyFont="1" applyFill="1" applyBorder="1" applyAlignment="1">
      <alignment horizontal="center" vertical="center" wrapText="1"/>
    </xf>
    <xf numFmtId="3" fontId="35" fillId="16" borderId="4" xfId="0" applyNumberFormat="1" applyFont="1" applyFill="1" applyBorder="1" applyAlignment="1">
      <alignment horizontal="center" vertical="center" wrapText="1"/>
    </xf>
    <xf numFmtId="0" fontId="37" fillId="15" borderId="24" xfId="0" applyFont="1" applyFill="1" applyBorder="1" applyAlignment="1">
      <alignment horizontal="center" vertical="center" wrapText="1"/>
    </xf>
    <xf numFmtId="0" fontId="24" fillId="15" borderId="24" xfId="0" applyFont="1" applyFill="1" applyBorder="1" applyAlignment="1">
      <alignment horizontal="center" vertical="center" wrapText="1"/>
    </xf>
    <xf numFmtId="167" fontId="24" fillId="15" borderId="24" xfId="0" applyNumberFormat="1" applyFont="1" applyFill="1" applyBorder="1" applyAlignment="1">
      <alignment horizontal="center" vertical="center" wrapText="1"/>
    </xf>
    <xf numFmtId="0" fontId="24" fillId="15" borderId="4" xfId="0" applyFont="1" applyFill="1" applyBorder="1" applyAlignment="1">
      <alignment horizontal="center" vertical="center"/>
    </xf>
    <xf numFmtId="3" fontId="37" fillId="16" borderId="24" xfId="0" applyNumberFormat="1" applyFont="1" applyFill="1" applyBorder="1" applyAlignment="1">
      <alignment horizontal="center" vertical="center" wrapText="1"/>
    </xf>
    <xf numFmtId="0" fontId="36" fillId="16" borderId="24" xfId="0" applyFont="1" applyFill="1" applyBorder="1" applyAlignment="1">
      <alignment horizontal="center" vertical="center" wrapText="1"/>
    </xf>
    <xf numFmtId="0" fontId="24" fillId="16" borderId="24" xfId="0" applyFont="1" applyFill="1" applyBorder="1" applyAlignment="1">
      <alignment horizontal="center" vertical="center" wrapText="1"/>
    </xf>
    <xf numFmtId="167" fontId="24" fillId="16" borderId="24" xfId="0" applyNumberFormat="1" applyFont="1" applyFill="1" applyBorder="1" applyAlignment="1">
      <alignment horizontal="center" vertical="center" wrapText="1"/>
    </xf>
    <xf numFmtId="0" fontId="35" fillId="16" borderId="24" xfId="0" applyFont="1" applyFill="1" applyBorder="1" applyAlignment="1">
      <alignment horizontal="center" vertical="center" wrapText="1"/>
    </xf>
    <xf numFmtId="0" fontId="24" fillId="14" borderId="2" xfId="0" applyFont="1" applyFill="1" applyBorder="1" applyAlignment="1">
      <alignment horizontal="center" vertical="center" wrapText="1"/>
    </xf>
    <xf numFmtId="15" fontId="24" fillId="16" borderId="24" xfId="0" applyNumberFormat="1" applyFont="1" applyFill="1" applyBorder="1" applyAlignment="1">
      <alignment horizontal="center" vertical="center" wrapText="1"/>
    </xf>
    <xf numFmtId="0" fontId="37" fillId="15" borderId="2" xfId="0" applyFont="1" applyFill="1" applyBorder="1" applyAlignment="1">
      <alignment horizontal="center" vertical="center" wrapText="1"/>
    </xf>
    <xf numFmtId="0" fontId="24" fillId="15" borderId="2" xfId="0" applyFont="1" applyFill="1" applyBorder="1" applyAlignment="1">
      <alignment horizontal="center" vertical="top" wrapText="1"/>
    </xf>
    <xf numFmtId="15" fontId="24" fillId="15" borderId="2" xfId="0" applyNumberFormat="1" applyFont="1" applyFill="1" applyBorder="1" applyAlignment="1">
      <alignment horizontal="center" vertical="top" wrapText="1"/>
    </xf>
    <xf numFmtId="167" fontId="24" fillId="15" borderId="2" xfId="0" applyNumberFormat="1" applyFont="1" applyFill="1" applyBorder="1" applyAlignment="1">
      <alignment horizontal="center" vertical="top" wrapText="1"/>
    </xf>
    <xf numFmtId="0" fontId="37" fillId="16" borderId="24"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37" fillId="16" borderId="4" xfId="0" applyFont="1" applyFill="1" applyBorder="1" applyAlignment="1">
      <alignment horizontal="center" vertical="center" wrapText="1"/>
    </xf>
    <xf numFmtId="0" fontId="24" fillId="16" borderId="2" xfId="0" applyFont="1" applyFill="1" applyBorder="1" applyAlignment="1">
      <alignment horizontal="center" vertical="center" wrapText="1"/>
    </xf>
    <xf numFmtId="15" fontId="24" fillId="16" borderId="4" xfId="0" applyNumberFormat="1" applyFont="1" applyFill="1" applyBorder="1" applyAlignment="1">
      <alignment horizontal="center" vertical="center" wrapText="1"/>
    </xf>
    <xf numFmtId="3" fontId="37" fillId="16" borderId="4" xfId="0" applyNumberFormat="1" applyFont="1" applyFill="1" applyBorder="1" applyAlignment="1">
      <alignment horizontal="center" vertical="center" wrapText="1"/>
    </xf>
    <xf numFmtId="3" fontId="24" fillId="15" borderId="25" xfId="0" applyNumberFormat="1" applyFont="1" applyFill="1" applyBorder="1" applyAlignment="1">
      <alignment horizontal="center" vertical="center" wrapText="1"/>
    </xf>
    <xf numFmtId="0" fontId="24" fillId="15" borderId="24" xfId="0" applyFont="1" applyFill="1" applyBorder="1" applyAlignment="1">
      <alignment horizontal="center" vertical="center"/>
    </xf>
    <xf numFmtId="0" fontId="24" fillId="15" borderId="25" xfId="0" applyFont="1" applyFill="1" applyBorder="1" applyAlignment="1">
      <alignment horizontal="center" vertical="center" wrapText="1"/>
    </xf>
    <xf numFmtId="167" fontId="24" fillId="15" borderId="25" xfId="0" applyNumberFormat="1" applyFont="1" applyFill="1" applyBorder="1" applyAlignment="1">
      <alignment horizontal="center" vertical="center" wrapText="1"/>
    </xf>
    <xf numFmtId="0" fontId="24" fillId="16" borderId="21" xfId="0" applyFont="1" applyFill="1" applyBorder="1" applyAlignment="1">
      <alignment horizontal="center" vertical="center" wrapText="1"/>
    </xf>
    <xf numFmtId="0" fontId="36" fillId="16" borderId="21" xfId="0" applyFont="1" applyFill="1" applyBorder="1" applyAlignment="1">
      <alignment horizontal="center" vertical="center" wrapText="1"/>
    </xf>
    <xf numFmtId="15" fontId="24" fillId="16" borderId="21" xfId="0" applyNumberFormat="1" applyFont="1" applyFill="1" applyBorder="1" applyAlignment="1">
      <alignment horizontal="center" vertical="center" wrapText="1"/>
    </xf>
    <xf numFmtId="167" fontId="24" fillId="16" borderId="21" xfId="0" applyNumberFormat="1" applyFont="1" applyFill="1" applyBorder="1" applyAlignment="1">
      <alignment horizontal="center" vertical="center" wrapText="1"/>
    </xf>
    <xf numFmtId="0" fontId="41" fillId="16" borderId="3" xfId="0" applyFont="1" applyFill="1" applyBorder="1" applyAlignment="1">
      <alignment horizontal="center" vertical="center" wrapText="1"/>
    </xf>
    <xf numFmtId="0" fontId="41" fillId="16" borderId="4" xfId="0" applyFont="1" applyFill="1" applyBorder="1" applyAlignment="1">
      <alignment horizontal="center" vertical="center" wrapText="1"/>
    </xf>
    <xf numFmtId="15" fontId="41" fillId="16" borderId="4" xfId="0" applyNumberFormat="1" applyFont="1" applyFill="1" applyBorder="1" applyAlignment="1">
      <alignment horizontal="center" vertical="center" wrapText="1"/>
    </xf>
    <xf numFmtId="167" fontId="41" fillId="16" borderId="4" xfId="0" applyNumberFormat="1" applyFont="1" applyFill="1" applyBorder="1" applyAlignment="1">
      <alignment horizontal="center" vertical="center" wrapText="1"/>
    </xf>
    <xf numFmtId="0" fontId="43" fillId="2" borderId="3"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43" fillId="17" borderId="4" xfId="0" applyFont="1" applyFill="1" applyBorder="1" applyAlignment="1">
      <alignment horizontal="center" vertical="center" wrapText="1"/>
    </xf>
    <xf numFmtId="0" fontId="43" fillId="9" borderId="4" xfId="0" applyFont="1" applyFill="1" applyBorder="1" applyAlignment="1">
      <alignment horizontal="center" vertical="center" wrapText="1"/>
    </xf>
    <xf numFmtId="0" fontId="45" fillId="2" borderId="3" xfId="0" applyFont="1" applyFill="1" applyBorder="1" applyAlignment="1">
      <alignment horizontal="center" vertical="center" wrapText="1"/>
    </xf>
    <xf numFmtId="0" fontId="45" fillId="2" borderId="4" xfId="0" applyFont="1" applyFill="1" applyBorder="1" applyAlignment="1">
      <alignment horizontal="center" vertical="center" wrapText="1"/>
    </xf>
    <xf numFmtId="0" fontId="45" fillId="17" borderId="4" xfId="0" applyFont="1" applyFill="1" applyBorder="1" applyAlignment="1">
      <alignment horizontal="center" vertical="center" wrapText="1"/>
    </xf>
    <xf numFmtId="0" fontId="45" fillId="9" borderId="4" xfId="0" applyFont="1" applyFill="1" applyBorder="1" applyAlignment="1">
      <alignment horizontal="center" vertical="center" wrapText="1"/>
    </xf>
    <xf numFmtId="15" fontId="45" fillId="2" borderId="4" xfId="0" applyNumberFormat="1" applyFont="1" applyFill="1" applyBorder="1" applyAlignment="1">
      <alignment horizontal="center" vertical="center" wrapText="1"/>
    </xf>
    <xf numFmtId="167" fontId="45" fillId="2" borderId="4" xfId="0" applyNumberFormat="1" applyFont="1" applyFill="1" applyBorder="1" applyAlignment="1">
      <alignment horizontal="center" vertical="center" wrapText="1"/>
    </xf>
    <xf numFmtId="3" fontId="45" fillId="2" borderId="4" xfId="0" applyNumberFormat="1" applyFont="1" applyFill="1" applyBorder="1" applyAlignment="1">
      <alignment horizontal="center" vertical="center" wrapText="1"/>
    </xf>
    <xf numFmtId="0" fontId="45" fillId="19" borderId="4" xfId="0" applyFont="1" applyFill="1" applyBorder="1" applyAlignment="1">
      <alignment vertical="center" wrapText="1"/>
    </xf>
    <xf numFmtId="0" fontId="45" fillId="2" borderId="7" xfId="0" applyFont="1" applyFill="1" applyBorder="1" applyAlignment="1">
      <alignment horizontal="center" vertical="center" wrapText="1"/>
    </xf>
    <xf numFmtId="0" fontId="45" fillId="2" borderId="24" xfId="0" applyFont="1" applyFill="1" applyBorder="1" applyAlignment="1">
      <alignment horizontal="center" vertical="center" wrapText="1"/>
    </xf>
    <xf numFmtId="0" fontId="45" fillId="17" borderId="24" xfId="0" applyFont="1" applyFill="1" applyBorder="1" applyAlignment="1">
      <alignment horizontal="center" vertical="center" wrapText="1"/>
    </xf>
    <xf numFmtId="0" fontId="45" fillId="9" borderId="24" xfId="0" applyFont="1" applyFill="1" applyBorder="1" applyAlignment="1">
      <alignment horizontal="center" vertical="center" wrapText="1"/>
    </xf>
    <xf numFmtId="15" fontId="45" fillId="2" borderId="24" xfId="0" applyNumberFormat="1" applyFont="1" applyFill="1" applyBorder="1" applyAlignment="1">
      <alignment horizontal="center" vertical="center" wrapText="1"/>
    </xf>
    <xf numFmtId="167" fontId="45" fillId="2" borderId="24" xfId="0" applyNumberFormat="1" applyFont="1" applyFill="1" applyBorder="1" applyAlignment="1">
      <alignment horizontal="center" vertical="center" wrapText="1"/>
    </xf>
    <xf numFmtId="0" fontId="45" fillId="2" borderId="21" xfId="0" applyFont="1" applyFill="1" applyBorder="1" applyAlignment="1">
      <alignment horizontal="center" vertical="center" wrapText="1"/>
    </xf>
    <xf numFmtId="0" fontId="45" fillId="17" borderId="21" xfId="0" applyFont="1" applyFill="1" applyBorder="1" applyAlignment="1">
      <alignment horizontal="center" vertical="center" wrapText="1"/>
    </xf>
    <xf numFmtId="0" fontId="45" fillId="9" borderId="21" xfId="0" applyFont="1" applyFill="1" applyBorder="1" applyAlignment="1">
      <alignment horizontal="center" vertical="center" wrapText="1"/>
    </xf>
    <xf numFmtId="15" fontId="45" fillId="2" borderId="21"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166" fontId="36" fillId="15" borderId="24" xfId="2" applyNumberFormat="1" applyFont="1" applyFill="1" applyBorder="1" applyAlignment="1">
      <alignment horizontal="left" vertical="center" wrapText="1"/>
    </xf>
    <xf numFmtId="4" fontId="24" fillId="15" borderId="24" xfId="1" applyNumberFormat="1" applyFont="1" applyFill="1" applyBorder="1" applyAlignment="1">
      <alignment horizontal="center" vertical="center" wrapText="1"/>
    </xf>
    <xf numFmtId="165" fontId="36" fillId="15" borderId="25" xfId="0" applyNumberFormat="1" applyFont="1" applyFill="1" applyBorder="1" applyAlignment="1">
      <alignment horizontal="center" vertical="center" wrapText="1"/>
    </xf>
    <xf numFmtId="164" fontId="36" fillId="15" borderId="25" xfId="0" applyNumberFormat="1" applyFont="1" applyFill="1" applyBorder="1" applyAlignment="1">
      <alignment horizontal="center" vertical="center" wrapText="1"/>
    </xf>
    <xf numFmtId="10" fontId="36" fillId="15" borderId="4" xfId="1" applyNumberFormat="1" applyFont="1" applyFill="1" applyBorder="1" applyAlignment="1">
      <alignment horizontal="center" vertical="center" wrapText="1"/>
    </xf>
    <xf numFmtId="4" fontId="36" fillId="15" borderId="25" xfId="0" applyNumberFormat="1" applyFont="1" applyFill="1" applyBorder="1" applyAlignment="1">
      <alignment horizontal="center" vertical="center" wrapText="1"/>
    </xf>
    <xf numFmtId="4" fontId="36" fillId="14" borderId="4" xfId="1" applyNumberFormat="1" applyFont="1" applyFill="1" applyBorder="1" applyAlignment="1">
      <alignment horizontal="center" vertical="center" wrapText="1"/>
    </xf>
    <xf numFmtId="10" fontId="36" fillId="14" borderId="4" xfId="1" applyNumberFormat="1" applyFont="1" applyFill="1" applyBorder="1" applyAlignment="1">
      <alignment horizontal="center" vertical="center" wrapText="1"/>
    </xf>
    <xf numFmtId="43" fontId="24" fillId="14" borderId="4" xfId="1" applyFont="1" applyFill="1" applyBorder="1" applyAlignment="1">
      <alignment horizontal="center" vertical="center" wrapText="1"/>
    </xf>
    <xf numFmtId="10" fontId="24" fillId="14" borderId="4" xfId="0" applyNumberFormat="1" applyFont="1" applyFill="1" applyBorder="1" applyAlignment="1">
      <alignment horizontal="center" vertical="center" wrapText="1"/>
    </xf>
    <xf numFmtId="43" fontId="24" fillId="14" borderId="4" xfId="1" applyFont="1" applyFill="1" applyBorder="1" applyAlignment="1">
      <alignment vertical="center" wrapText="1"/>
    </xf>
    <xf numFmtId="15" fontId="36" fillId="16" borderId="4" xfId="0" applyNumberFormat="1" applyFont="1" applyFill="1" applyBorder="1" applyAlignment="1">
      <alignment horizontal="center" vertical="center" wrapText="1"/>
    </xf>
    <xf numFmtId="15" fontId="24" fillId="16" borderId="6" xfId="0" applyNumberFormat="1" applyFont="1" applyFill="1" applyBorder="1" applyAlignment="1">
      <alignment horizontal="center" vertical="center" wrapText="1"/>
    </xf>
    <xf numFmtId="3" fontId="24" fillId="16" borderId="24" xfId="0" applyNumberFormat="1" applyFont="1" applyFill="1" applyBorder="1" applyAlignment="1">
      <alignment horizontal="center" vertical="center" wrapText="1"/>
    </xf>
    <xf numFmtId="15" fontId="24" fillId="16" borderId="21" xfId="0" applyNumberFormat="1" applyFont="1" applyFill="1" applyBorder="1" applyAlignment="1">
      <alignment horizontal="center" vertical="top" wrapText="1"/>
    </xf>
    <xf numFmtId="15" fontId="41" fillId="16" borderId="4" xfId="0" applyNumberFormat="1" applyFont="1" applyFill="1" applyBorder="1" applyAlignment="1">
      <alignment horizontal="center" vertical="top" wrapText="1"/>
    </xf>
    <xf numFmtId="3" fontId="43" fillId="20" borderId="4" xfId="0" applyNumberFormat="1" applyFont="1" applyFill="1" applyBorder="1" applyAlignment="1">
      <alignment horizontal="center" vertical="center" wrapText="1"/>
    </xf>
    <xf numFmtId="167" fontId="45" fillId="8" borderId="4" xfId="0" applyNumberFormat="1" applyFont="1" applyFill="1" applyBorder="1" applyAlignment="1">
      <alignment horizontal="center" vertical="center" wrapText="1"/>
    </xf>
    <xf numFmtId="0" fontId="45" fillId="20" borderId="4" xfId="0" applyFont="1" applyFill="1" applyBorder="1" applyAlignment="1">
      <alignment horizontal="center" vertical="center" wrapText="1"/>
    </xf>
    <xf numFmtId="15" fontId="45" fillId="2" borderId="4" xfId="0" applyNumberFormat="1" applyFont="1" applyFill="1" applyBorder="1" applyAlignment="1">
      <alignment horizontal="left" vertical="top" wrapText="1"/>
    </xf>
    <xf numFmtId="3" fontId="45" fillId="20" borderId="4" xfId="0" applyNumberFormat="1" applyFont="1" applyFill="1" applyBorder="1" applyAlignment="1">
      <alignment horizontal="center" vertical="center" wrapText="1"/>
    </xf>
    <xf numFmtId="0" fontId="45" fillId="20" borderId="21" xfId="0" applyFont="1" applyFill="1" applyBorder="1" applyAlignment="1">
      <alignment horizontal="center" vertical="center" wrapText="1"/>
    </xf>
    <xf numFmtId="0" fontId="5" fillId="20" borderId="4" xfId="0" applyFont="1" applyFill="1" applyBorder="1" applyAlignment="1">
      <alignment horizontal="center" vertical="center" wrapText="1"/>
    </xf>
    <xf numFmtId="0" fontId="24" fillId="2" borderId="16" xfId="0" applyFont="1" applyFill="1" applyBorder="1" applyAlignment="1">
      <alignment horizontal="center" vertical="center"/>
    </xf>
    <xf numFmtId="0" fontId="36" fillId="15" borderId="32" xfId="0" applyFont="1" applyFill="1" applyBorder="1" applyAlignment="1">
      <alignment horizontal="left" vertical="center" wrapText="1"/>
    </xf>
    <xf numFmtId="0" fontId="51" fillId="0" borderId="4" xfId="0" applyFont="1" applyBorder="1" applyAlignment="1">
      <alignment vertical="center" wrapText="1"/>
    </xf>
    <xf numFmtId="0" fontId="21" fillId="2" borderId="4" xfId="0" applyFont="1" applyFill="1" applyBorder="1" applyAlignment="1">
      <alignment horizontal="center" vertical="center"/>
    </xf>
    <xf numFmtId="0" fontId="22" fillId="0" borderId="4" xfId="0" applyFont="1" applyBorder="1" applyAlignment="1">
      <alignment vertical="center"/>
    </xf>
    <xf numFmtId="0" fontId="0" fillId="0" borderId="4" xfId="0" applyBorder="1"/>
    <xf numFmtId="0" fontId="22" fillId="2" borderId="4" xfId="0" applyFont="1" applyFill="1" applyBorder="1" applyAlignment="1">
      <alignment horizontal="center" vertical="center"/>
    </xf>
    <xf numFmtId="0" fontId="23" fillId="0" borderId="4" xfId="0" applyFont="1" applyBorder="1" applyAlignment="1">
      <alignment vertical="center"/>
    </xf>
    <xf numFmtId="0" fontId="23" fillId="0" borderId="4" xfId="0" applyFont="1" applyBorder="1"/>
    <xf numFmtId="0" fontId="25" fillId="2" borderId="4" xfId="0" applyFont="1" applyFill="1" applyBorder="1" applyAlignment="1">
      <alignment horizontal="center" vertical="center"/>
    </xf>
    <xf numFmtId="0" fontId="24" fillId="2" borderId="4" xfId="0" applyFont="1" applyFill="1" applyBorder="1" applyAlignment="1">
      <alignment horizontal="center" vertical="center"/>
    </xf>
    <xf numFmtId="0" fontId="25" fillId="0" borderId="4" xfId="0" applyFont="1" applyBorder="1" applyAlignment="1">
      <alignment vertical="center"/>
    </xf>
    <xf numFmtId="0" fontId="25" fillId="0" borderId="4" xfId="0" applyFont="1" applyBorder="1" applyAlignment="1">
      <alignment horizontal="center" vertical="center"/>
    </xf>
    <xf numFmtId="0" fontId="25" fillId="0" borderId="4" xfId="0" applyFont="1" applyBorder="1" applyAlignment="1">
      <alignment vertical="top"/>
    </xf>
    <xf numFmtId="0" fontId="19" fillId="2" borderId="4" xfId="0" applyFont="1" applyFill="1" applyBorder="1" applyAlignment="1">
      <alignment horizontal="center" vertical="center"/>
    </xf>
    <xf numFmtId="0" fontId="23" fillId="0" borderId="4" xfId="0" applyFont="1" applyBorder="1" applyAlignment="1">
      <alignment horizontal="center" vertical="center"/>
    </xf>
    <xf numFmtId="0" fontId="19" fillId="0" borderId="4" xfId="0" applyFont="1" applyBorder="1" applyAlignment="1">
      <alignment horizontal="center" vertical="center"/>
    </xf>
    <xf numFmtId="0" fontId="19" fillId="0" borderId="4" xfId="0" applyFont="1" applyBorder="1" applyAlignment="1">
      <alignment vertical="center"/>
    </xf>
    <xf numFmtId="0" fontId="27" fillId="0" borderId="4" xfId="0" applyFont="1" applyBorder="1" applyAlignment="1">
      <alignment horizontal="center" vertical="center"/>
    </xf>
    <xf numFmtId="0" fontId="27" fillId="0" borderId="4" xfId="0" applyFont="1" applyBorder="1" applyAlignment="1">
      <alignment vertical="center"/>
    </xf>
    <xf numFmtId="0" fontId="18" fillId="0" borderId="4" xfId="0" applyFont="1" applyBorder="1" applyAlignment="1">
      <alignment horizontal="center" vertical="center"/>
    </xf>
    <xf numFmtId="0" fontId="52" fillId="0" borderId="4" xfId="0" applyFont="1" applyBorder="1" applyAlignment="1">
      <alignment horizontal="center" vertical="center"/>
    </xf>
    <xf numFmtId="0" fontId="18" fillId="0" borderId="4" xfId="0" applyFont="1" applyBorder="1" applyAlignment="1">
      <alignment vertical="center"/>
    </xf>
    <xf numFmtId="0" fontId="53" fillId="0" borderId="4" xfId="0" applyFont="1" applyBorder="1" applyAlignment="1">
      <alignment horizontal="center" vertical="center"/>
    </xf>
    <xf numFmtId="0" fontId="0" fillId="0" borderId="0" xfId="0" applyAlignment="1">
      <alignment vertical="top"/>
    </xf>
    <xf numFmtId="0" fontId="29" fillId="10" borderId="39" xfId="0" applyFont="1" applyFill="1" applyBorder="1" applyAlignment="1">
      <alignment horizontal="center" vertical="center" wrapText="1"/>
    </xf>
    <xf numFmtId="0" fontId="29" fillId="10" borderId="40"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55" fillId="12" borderId="4" xfId="0" applyFont="1" applyFill="1" applyBorder="1" applyAlignment="1">
      <alignment horizontal="center" vertical="center" wrapText="1"/>
    </xf>
    <xf numFmtId="0" fontId="33" fillId="13" borderId="4" xfId="0" applyFont="1" applyFill="1" applyBorder="1" applyAlignment="1">
      <alignment horizontal="center" vertical="center" wrapText="1"/>
    </xf>
    <xf numFmtId="0" fontId="32" fillId="13" borderId="4" xfId="0" applyFont="1" applyFill="1" applyBorder="1" applyAlignment="1">
      <alignment horizontal="center" vertical="center" wrapText="1"/>
    </xf>
    <xf numFmtId="0" fontId="0" fillId="0" borderId="4" xfId="0" applyBorder="1" applyAlignment="1">
      <alignment vertical="top"/>
    </xf>
    <xf numFmtId="0" fontId="32" fillId="15" borderId="4" xfId="0" applyFont="1" applyFill="1" applyBorder="1" applyAlignment="1">
      <alignment horizontal="center" vertical="center" wrapText="1"/>
    </xf>
    <xf numFmtId="0" fontId="36" fillId="2" borderId="4" xfId="0" applyFont="1" applyFill="1" applyBorder="1" applyAlignment="1">
      <alignment horizontal="center" vertical="center" wrapText="1"/>
    </xf>
    <xf numFmtId="0" fontId="37" fillId="15" borderId="4" xfId="0" applyFont="1" applyFill="1" applyBorder="1" applyAlignment="1">
      <alignment horizontal="center" vertical="center" wrapText="1"/>
    </xf>
    <xf numFmtId="0" fontId="33" fillId="16" borderId="4"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40" fillId="15" borderId="4" xfId="0" applyFont="1" applyFill="1" applyBorder="1" applyAlignment="1">
      <alignment horizontal="center" vertical="center" wrapText="1"/>
    </xf>
    <xf numFmtId="0" fontId="56" fillId="14" borderId="4" xfId="0" applyFont="1" applyFill="1" applyBorder="1" applyAlignment="1">
      <alignment horizontal="center" vertical="center" wrapText="1"/>
    </xf>
    <xf numFmtId="0" fontId="32" fillId="16" borderId="4" xfId="0" applyFont="1" applyFill="1" applyBorder="1" applyAlignment="1">
      <alignment horizontal="center" vertical="center" wrapText="1"/>
    </xf>
    <xf numFmtId="0" fontId="57" fillId="16" borderId="4" xfId="0" applyFont="1" applyFill="1" applyBorder="1" applyAlignment="1">
      <alignment horizontal="center" vertical="center" wrapText="1"/>
    </xf>
    <xf numFmtId="0" fontId="35" fillId="16" borderId="4" xfId="0" applyFont="1" applyFill="1" applyBorder="1" applyAlignment="1">
      <alignment horizontal="center" vertical="center" wrapText="1"/>
    </xf>
    <xf numFmtId="166" fontId="34" fillId="12" borderId="4" xfId="0" applyNumberFormat="1" applyFont="1" applyFill="1" applyBorder="1" applyAlignment="1">
      <alignment horizontal="center" vertical="center" wrapText="1"/>
    </xf>
    <xf numFmtId="0" fontId="51" fillId="12" borderId="4" xfId="0" applyFont="1" applyFill="1" applyBorder="1" applyAlignment="1">
      <alignment vertical="center" wrapText="1"/>
    </xf>
    <xf numFmtId="4" fontId="34" fillId="12" borderId="4" xfId="1" applyNumberFormat="1" applyFont="1" applyFill="1" applyBorder="1" applyAlignment="1">
      <alignment horizontal="center" vertical="center" wrapText="1"/>
    </xf>
    <xf numFmtId="0" fontId="34" fillId="12" borderId="4" xfId="1" applyNumberFormat="1" applyFont="1" applyFill="1" applyBorder="1" applyAlignment="1">
      <alignment horizontal="center" vertical="center" wrapText="1"/>
    </xf>
    <xf numFmtId="166" fontId="34" fillId="12" borderId="4" xfId="2" applyNumberFormat="1" applyFont="1" applyFill="1" applyBorder="1" applyAlignment="1">
      <alignment horizontal="center" vertical="center" wrapText="1"/>
    </xf>
    <xf numFmtId="166" fontId="34" fillId="15" borderId="4" xfId="2" applyNumberFormat="1" applyFont="1" applyFill="1" applyBorder="1" applyAlignment="1">
      <alignment horizontal="center" vertical="center" wrapText="1"/>
    </xf>
    <xf numFmtId="9" fontId="34" fillId="14" borderId="4" xfId="0" applyNumberFormat="1" applyFont="1" applyFill="1" applyBorder="1" applyAlignment="1">
      <alignment horizontal="center" vertical="center" wrapText="1"/>
    </xf>
    <xf numFmtId="166" fontId="24" fillId="15" borderId="4" xfId="2" applyNumberFormat="1" applyFont="1" applyFill="1" applyBorder="1" applyAlignment="1">
      <alignment horizontal="right" vertical="center" wrapText="1"/>
    </xf>
    <xf numFmtId="166" fontId="36" fillId="16" borderId="4" xfId="2" applyNumberFormat="1" applyFont="1" applyFill="1" applyBorder="1" applyAlignment="1">
      <alignment horizontal="left" vertical="center" wrapText="1"/>
    </xf>
    <xf numFmtId="9" fontId="36" fillId="16" borderId="4" xfId="1" applyNumberFormat="1" applyFont="1" applyFill="1" applyBorder="1" applyAlignment="1">
      <alignment horizontal="center" vertical="center" wrapText="1"/>
    </xf>
    <xf numFmtId="4" fontId="24" fillId="16" borderId="4" xfId="1" applyNumberFormat="1" applyFont="1" applyFill="1" applyBorder="1" applyAlignment="1">
      <alignment horizontal="center" vertical="center" wrapText="1"/>
    </xf>
    <xf numFmtId="4" fontId="36" fillId="15" borderId="4" xfId="1" applyNumberFormat="1" applyFont="1" applyFill="1" applyBorder="1" applyAlignment="1">
      <alignment horizontal="center" vertical="center" wrapText="1"/>
    </xf>
    <xf numFmtId="10" fontId="24" fillId="15" borderId="4" xfId="1" applyNumberFormat="1" applyFont="1" applyFill="1" applyBorder="1" applyAlignment="1">
      <alignment horizontal="center" vertical="center" wrapText="1"/>
    </xf>
    <xf numFmtId="43" fontId="36" fillId="14" borderId="4" xfId="1" applyFont="1" applyFill="1" applyBorder="1" applyAlignment="1">
      <alignment vertical="center" wrapText="1"/>
    </xf>
    <xf numFmtId="10" fontId="36" fillId="14" borderId="4" xfId="0" applyNumberFormat="1" applyFont="1" applyFill="1" applyBorder="1" applyAlignment="1">
      <alignment horizontal="center" vertical="center" wrapText="1"/>
    </xf>
    <xf numFmtId="3" fontId="24" fillId="14" borderId="4" xfId="0" applyNumberFormat="1" applyFont="1" applyFill="1" applyBorder="1" applyAlignment="1">
      <alignment horizontal="center" vertical="center" wrapText="1"/>
    </xf>
    <xf numFmtId="0" fontId="34" fillId="2" borderId="4" xfId="0" applyFont="1" applyFill="1" applyBorder="1" applyAlignment="1">
      <alignment horizontal="left" vertical="center" wrapText="1"/>
    </xf>
    <xf numFmtId="0" fontId="58" fillId="0" borderId="4" xfId="0" applyFont="1" applyBorder="1"/>
    <xf numFmtId="0" fontId="51" fillId="0" borderId="4" xfId="0" applyFont="1" applyBorder="1" applyAlignment="1">
      <alignment horizontal="left" vertical="center" wrapText="1"/>
    </xf>
    <xf numFmtId="0" fontId="21" fillId="2" borderId="4" xfId="0" applyFont="1" applyFill="1" applyBorder="1" applyAlignment="1">
      <alignment horizontal="left" vertical="center" wrapText="1"/>
    </xf>
    <xf numFmtId="0" fontId="21" fillId="2" borderId="4" xfId="0" applyFont="1" applyFill="1" applyBorder="1" applyAlignment="1">
      <alignment horizontal="left" vertical="top" wrapText="1"/>
    </xf>
    <xf numFmtId="0" fontId="21" fillId="2" borderId="4" xfId="0" applyFont="1" applyFill="1" applyBorder="1" applyAlignment="1">
      <alignment horizontal="left" vertical="center"/>
    </xf>
    <xf numFmtId="0" fontId="24" fillId="2" borderId="4" xfId="0" applyFont="1" applyFill="1" applyBorder="1" applyAlignment="1">
      <alignment horizontal="left" vertical="center" wrapText="1"/>
    </xf>
    <xf numFmtId="0" fontId="23" fillId="0" borderId="4" xfId="0" applyFont="1" applyBorder="1" applyAlignment="1">
      <alignment horizontal="left" vertical="top"/>
    </xf>
    <xf numFmtId="3" fontId="40" fillId="14" borderId="4" xfId="0" applyNumberFormat="1" applyFont="1" applyFill="1" applyBorder="1" applyAlignment="1">
      <alignment horizontal="center" vertical="center" wrapText="1"/>
    </xf>
    <xf numFmtId="0" fontId="57" fillId="14" borderId="4" xfId="0" applyFont="1" applyFill="1" applyBorder="1" applyAlignment="1">
      <alignment horizontal="center" vertical="center" wrapText="1"/>
    </xf>
    <xf numFmtId="0" fontId="24" fillId="2" borderId="4" xfId="0" applyFont="1" applyFill="1" applyBorder="1" applyAlignment="1">
      <alignment horizontal="center" vertical="top" wrapText="1"/>
    </xf>
    <xf numFmtId="0" fontId="57" fillId="14" borderId="4" xfId="0" applyFont="1" applyFill="1" applyBorder="1" applyAlignment="1">
      <alignment horizontal="center" vertical="top" wrapText="1"/>
    </xf>
    <xf numFmtId="0" fontId="36" fillId="14" borderId="4" xfId="0" applyFont="1" applyFill="1" applyBorder="1" applyAlignment="1">
      <alignment horizontal="center" vertical="top" wrapText="1"/>
    </xf>
    <xf numFmtId="15" fontId="36" fillId="14" borderId="4" xfId="0" applyNumberFormat="1" applyFont="1" applyFill="1" applyBorder="1" applyAlignment="1">
      <alignment horizontal="center" vertical="top" wrapText="1"/>
    </xf>
    <xf numFmtId="167" fontId="36" fillId="14" borderId="4" xfId="0" applyNumberFormat="1" applyFont="1" applyFill="1" applyBorder="1" applyAlignment="1">
      <alignment horizontal="center" vertical="top" wrapText="1"/>
    </xf>
    <xf numFmtId="3" fontId="35" fillId="14" borderId="4" xfId="0" applyNumberFormat="1" applyFont="1" applyFill="1" applyBorder="1" applyAlignment="1">
      <alignment horizontal="center" vertical="center" wrapText="1"/>
    </xf>
    <xf numFmtId="3" fontId="37" fillId="14" borderId="4" xfId="0" applyNumberFormat="1" applyFont="1" applyFill="1" applyBorder="1" applyAlignment="1">
      <alignment horizontal="center" vertical="center" wrapText="1"/>
    </xf>
    <xf numFmtId="0" fontId="42" fillId="16"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3" fontId="5" fillId="16" borderId="4" xfId="0" applyNumberFormat="1" applyFont="1" applyFill="1" applyBorder="1" applyAlignment="1">
      <alignment horizontal="center" vertical="center" wrapText="1"/>
    </xf>
    <xf numFmtId="0" fontId="4" fillId="16" borderId="4" xfId="0" applyFont="1" applyFill="1" applyBorder="1" applyAlignment="1">
      <alignment horizontal="center" vertical="center" wrapText="1"/>
    </xf>
    <xf numFmtId="167" fontId="5" fillId="16" borderId="4" xfId="0" applyNumberFormat="1" applyFont="1" applyFill="1" applyBorder="1" applyAlignment="1">
      <alignment horizontal="center" vertical="center" wrapText="1"/>
    </xf>
    <xf numFmtId="0" fontId="41" fillId="15" borderId="4" xfId="0" applyFont="1" applyFill="1" applyBorder="1" applyAlignment="1">
      <alignment horizontal="center" vertical="center" wrapText="1"/>
    </xf>
    <xf numFmtId="3" fontId="41" fillId="15" borderId="4" xfId="0" applyNumberFormat="1" applyFont="1" applyFill="1" applyBorder="1" applyAlignment="1">
      <alignment horizontal="center" vertical="center" wrapText="1"/>
    </xf>
    <xf numFmtId="0" fontId="42" fillId="15" borderId="4" xfId="0" applyFont="1" applyFill="1" applyBorder="1" applyAlignment="1">
      <alignment horizontal="center" vertical="center" wrapText="1"/>
    </xf>
    <xf numFmtId="167" fontId="41" fillId="15" borderId="4" xfId="0" applyNumberFormat="1" applyFont="1" applyFill="1" applyBorder="1" applyAlignment="1">
      <alignment horizontal="center" vertical="center" wrapText="1"/>
    </xf>
    <xf numFmtId="0" fontId="41" fillId="14" borderId="4" xfId="0" applyFont="1" applyFill="1" applyBorder="1" applyAlignment="1">
      <alignment horizontal="center" vertical="center" wrapText="1"/>
    </xf>
    <xf numFmtId="0" fontId="42" fillId="14" borderId="4" xfId="0" applyFont="1" applyFill="1" applyBorder="1" applyAlignment="1">
      <alignment horizontal="center" vertical="center" wrapText="1"/>
    </xf>
    <xf numFmtId="15" fontId="41" fillId="14" borderId="4" xfId="0" applyNumberFormat="1" applyFont="1" applyFill="1" applyBorder="1" applyAlignment="1">
      <alignment horizontal="center" vertical="center" wrapText="1"/>
    </xf>
    <xf numFmtId="167" fontId="41" fillId="14" borderId="4" xfId="0" applyNumberFormat="1" applyFont="1" applyFill="1" applyBorder="1" applyAlignment="1">
      <alignment horizontal="center" vertical="center" wrapText="1"/>
    </xf>
    <xf numFmtId="0" fontId="45" fillId="14" borderId="4" xfId="0" applyFont="1" applyFill="1" applyBorder="1" applyAlignment="1">
      <alignment horizontal="center" vertical="center" wrapText="1"/>
    </xf>
    <xf numFmtId="0" fontId="48" fillId="14" borderId="4" xfId="0" applyFont="1" applyFill="1" applyBorder="1" applyAlignment="1">
      <alignment horizontal="center" vertical="center" wrapText="1"/>
    </xf>
    <xf numFmtId="167" fontId="45" fillId="14" borderId="4" xfId="0" applyNumberFormat="1" applyFont="1" applyFill="1" applyBorder="1" applyAlignment="1">
      <alignment horizontal="center" vertical="center" wrapText="1"/>
    </xf>
    <xf numFmtId="0" fontId="45" fillId="19"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3" fontId="15" fillId="2" borderId="4" xfId="0" applyNumberFormat="1" applyFont="1" applyFill="1" applyBorder="1" applyAlignment="1">
      <alignment horizontal="center" vertical="center" wrapText="1"/>
    </xf>
    <xf numFmtId="0" fontId="15" fillId="22" borderId="4" xfId="0" applyFont="1" applyFill="1" applyBorder="1" applyAlignment="1">
      <alignment horizontal="center" vertical="center" wrapText="1"/>
    </xf>
    <xf numFmtId="0" fontId="15" fillId="9" borderId="4" xfId="0" applyFont="1" applyFill="1" applyBorder="1" applyAlignment="1">
      <alignment horizontal="center" vertical="center" wrapText="1"/>
    </xf>
    <xf numFmtId="15" fontId="15" fillId="2" borderId="4" xfId="0" applyNumberFormat="1" applyFont="1" applyFill="1" applyBorder="1" applyAlignment="1">
      <alignment horizontal="center" vertical="center" wrapText="1"/>
    </xf>
    <xf numFmtId="167" fontId="15"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3" fontId="60" fillId="2" borderId="4" xfId="0" applyNumberFormat="1" applyFont="1" applyFill="1" applyBorder="1" applyAlignment="1">
      <alignment horizontal="center" vertical="center" wrapText="1"/>
    </xf>
    <xf numFmtId="0" fontId="60" fillId="17" borderId="4" xfId="0" applyFont="1" applyFill="1" applyBorder="1" applyAlignment="1">
      <alignment horizontal="center" vertical="center" wrapText="1"/>
    </xf>
    <xf numFmtId="0" fontId="60" fillId="9" borderId="4"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15" fillId="17" borderId="4" xfId="0" applyFont="1" applyFill="1" applyBorder="1" applyAlignment="1">
      <alignment horizontal="center" vertical="center" wrapText="1"/>
    </xf>
    <xf numFmtId="0" fontId="61" fillId="2" borderId="4" xfId="0" applyFont="1" applyFill="1" applyBorder="1" applyAlignment="1">
      <alignment horizontal="center" vertical="center" wrapText="1"/>
    </xf>
    <xf numFmtId="22" fontId="61" fillId="2" borderId="4" xfId="0" applyNumberFormat="1" applyFont="1" applyFill="1" applyBorder="1" applyAlignment="1">
      <alignment horizontal="center" vertical="center" wrapText="1"/>
    </xf>
    <xf numFmtId="167" fontId="61" fillId="2" borderId="4" xfId="0" applyNumberFormat="1" applyFont="1" applyFill="1" applyBorder="1" applyAlignment="1">
      <alignment horizontal="center" vertical="center" wrapText="1"/>
    </xf>
    <xf numFmtId="3" fontId="36" fillId="14" borderId="4" xfId="0" applyNumberFormat="1" applyFont="1" applyFill="1" applyBorder="1" applyAlignment="1">
      <alignment horizontal="center" vertical="center" wrapText="1"/>
    </xf>
    <xf numFmtId="167" fontId="15" fillId="8" borderId="4" xfId="0" applyNumberFormat="1" applyFont="1" applyFill="1" applyBorder="1" applyAlignment="1">
      <alignment horizontal="center" vertical="center" wrapText="1"/>
    </xf>
    <xf numFmtId="3" fontId="15" fillId="20" borderId="4" xfId="0" applyNumberFormat="1" applyFont="1" applyFill="1" applyBorder="1" applyAlignment="1">
      <alignment horizontal="center" vertical="center" wrapText="1"/>
    </xf>
    <xf numFmtId="167" fontId="60" fillId="8" borderId="4" xfId="0" applyNumberFormat="1" applyFont="1" applyFill="1" applyBorder="1" applyAlignment="1">
      <alignment horizontal="center" vertical="center" wrapText="1"/>
    </xf>
    <xf numFmtId="0" fontId="15" fillId="20" borderId="4" xfId="0" applyFont="1" applyFill="1" applyBorder="1" applyAlignment="1">
      <alignment horizontal="center" vertical="center" wrapText="1"/>
    </xf>
    <xf numFmtId="22" fontId="61" fillId="21" borderId="4" xfId="0" applyNumberFormat="1" applyFont="1" applyFill="1" applyBorder="1" applyAlignment="1">
      <alignment horizontal="center" vertical="center" wrapText="1"/>
    </xf>
    <xf numFmtId="167" fontId="61" fillId="8" borderId="4" xfId="0" applyNumberFormat="1" applyFont="1" applyFill="1" applyBorder="1" applyAlignment="1">
      <alignment horizontal="center" vertical="center" wrapText="1"/>
    </xf>
    <xf numFmtId="0" fontId="61" fillId="20" borderId="4" xfId="0" applyFont="1" applyFill="1" applyBorder="1" applyAlignment="1">
      <alignment horizontal="center" vertical="center" wrapText="1"/>
    </xf>
    <xf numFmtId="15" fontId="41" fillId="14" borderId="4" xfId="0" applyNumberFormat="1" applyFont="1" applyFill="1" applyBorder="1" applyAlignment="1">
      <alignment horizontal="center" vertical="top" wrapText="1"/>
    </xf>
    <xf numFmtId="15" fontId="45" fillId="14" borderId="4" xfId="0" applyNumberFormat="1" applyFont="1" applyFill="1" applyBorder="1" applyAlignment="1">
      <alignment horizontal="center" vertical="top" wrapText="1"/>
    </xf>
    <xf numFmtId="0" fontId="18" fillId="0" borderId="0" xfId="0" applyFont="1" applyAlignment="1">
      <alignment vertical="center"/>
    </xf>
    <xf numFmtId="0" fontId="18" fillId="0" borderId="0" xfId="0" applyFont="1" applyAlignment="1">
      <alignment horizontal="center" vertical="center"/>
    </xf>
    <xf numFmtId="0" fontId="66" fillId="10" borderId="37" xfId="0" applyFont="1" applyFill="1" applyBorder="1" applyAlignment="1">
      <alignment horizontal="center" vertical="center" wrapText="1"/>
    </xf>
    <xf numFmtId="0" fontId="66" fillId="10" borderId="38" xfId="0" applyFont="1" applyFill="1" applyBorder="1" applyAlignment="1">
      <alignment horizontal="center" vertical="top" wrapText="1"/>
    </xf>
    <xf numFmtId="0" fontId="66" fillId="10" borderId="38" xfId="0" applyFont="1" applyFill="1" applyBorder="1" applyAlignment="1">
      <alignment horizontal="center" vertical="center" wrapText="1"/>
    </xf>
    <xf numFmtId="167" fontId="66" fillId="10" borderId="38" xfId="0" applyNumberFormat="1"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13" borderId="3" xfId="0" applyFont="1" applyFill="1" applyBorder="1" applyAlignment="1">
      <alignment horizontal="center" vertical="center" wrapText="1"/>
    </xf>
    <xf numFmtId="0" fontId="15" fillId="13" borderId="4" xfId="0" applyFont="1" applyFill="1" applyBorder="1" applyAlignment="1">
      <alignment horizontal="center" vertical="center" wrapText="1"/>
    </xf>
    <xf numFmtId="0" fontId="7" fillId="13" borderId="4" xfId="0" applyFont="1" applyFill="1" applyBorder="1" applyAlignment="1">
      <alignment horizontal="center" vertical="center" wrapText="1"/>
    </xf>
    <xf numFmtId="167" fontId="7" fillId="13" borderId="4" xfId="0" applyNumberFormat="1" applyFont="1" applyFill="1" applyBorder="1" applyAlignment="1">
      <alignment horizontal="center" vertical="center" wrapText="1"/>
    </xf>
    <xf numFmtId="165" fontId="66" fillId="10" borderId="38" xfId="0" applyNumberFormat="1" applyFont="1" applyFill="1" applyBorder="1" applyAlignment="1">
      <alignment horizontal="center" vertical="center" wrapText="1"/>
    </xf>
    <xf numFmtId="14" fontId="66" fillId="10" borderId="38" xfId="0" applyNumberFormat="1" applyFont="1" applyFill="1" applyBorder="1" applyAlignment="1">
      <alignment horizontal="center" vertical="center" wrapText="1"/>
    </xf>
    <xf numFmtId="10" fontId="66" fillId="10" borderId="38" xfId="0" applyNumberFormat="1" applyFont="1" applyFill="1" applyBorder="1" applyAlignment="1">
      <alignment horizontal="center" vertical="center" wrapText="1"/>
    </xf>
    <xf numFmtId="4" fontId="66" fillId="10" borderId="38" xfId="0" applyNumberFormat="1" applyFont="1" applyFill="1" applyBorder="1" applyAlignment="1">
      <alignment horizontal="center" vertical="center" wrapText="1"/>
    </xf>
    <xf numFmtId="167" fontId="7" fillId="13" borderId="4" xfId="0" applyNumberFormat="1" applyFont="1" applyFill="1" applyBorder="1" applyAlignment="1">
      <alignment horizontal="center" vertical="top" wrapText="1"/>
    </xf>
    <xf numFmtId="166" fontId="7" fillId="13" borderId="4" xfId="2" applyNumberFormat="1" applyFont="1" applyFill="1" applyBorder="1" applyAlignment="1">
      <alignment horizontal="right" vertical="center" wrapText="1"/>
    </xf>
    <xf numFmtId="9" fontId="7" fillId="13" borderId="4" xfId="1" applyNumberFormat="1" applyFont="1" applyFill="1" applyBorder="1" applyAlignment="1">
      <alignment horizontal="center" vertical="center" wrapText="1"/>
    </xf>
    <xf numFmtId="4" fontId="67" fillId="13" borderId="4" xfId="1" applyNumberFormat="1" applyFont="1" applyFill="1" applyBorder="1" applyAlignment="1">
      <alignment horizontal="center" vertical="center" wrapText="1"/>
    </xf>
    <xf numFmtId="0" fontId="66" fillId="10" borderId="41" xfId="0" applyFont="1" applyFill="1" applyBorder="1" applyAlignment="1">
      <alignment horizontal="center" vertical="center" wrapText="1"/>
    </xf>
    <xf numFmtId="0" fontId="66" fillId="10" borderId="13" xfId="0" applyFont="1" applyFill="1" applyBorder="1" applyAlignment="1">
      <alignment horizontal="center" vertical="center" wrapText="1"/>
    </xf>
    <xf numFmtId="0" fontId="15" fillId="2" borderId="14" xfId="0" applyFont="1" applyFill="1" applyBorder="1" applyAlignment="1">
      <alignment horizontal="left" vertical="center" wrapText="1"/>
    </xf>
    <xf numFmtId="0" fontId="68" fillId="2" borderId="0" xfId="0" applyFont="1" applyFill="1" applyAlignment="1">
      <alignment vertical="center"/>
    </xf>
    <xf numFmtId="0" fontId="69" fillId="0" borderId="0" xfId="0" applyFont="1" applyAlignment="1">
      <alignment vertical="center"/>
    </xf>
    <xf numFmtId="0" fontId="6" fillId="3" borderId="0" xfId="0" applyFont="1" applyFill="1" applyAlignment="1">
      <alignment horizontal="center" vertical="center"/>
    </xf>
    <xf numFmtId="0" fontId="23" fillId="0" borderId="0" xfId="0" applyFont="1" applyAlignment="1">
      <alignment horizontal="center" vertical="center"/>
    </xf>
    <xf numFmtId="0" fontId="70" fillId="0" borderId="0" xfId="0" applyFont="1" applyAlignment="1">
      <alignment horizontal="center" vertical="center"/>
    </xf>
    <xf numFmtId="0" fontId="23" fillId="0" borderId="0" xfId="0" applyFont="1" applyAlignment="1">
      <alignment horizontal="center" vertical="center" wrapText="1"/>
    </xf>
    <xf numFmtId="167" fontId="18" fillId="0" borderId="0" xfId="0" applyNumberFormat="1" applyFont="1" applyAlignment="1">
      <alignment horizontal="center" vertical="center"/>
    </xf>
    <xf numFmtId="167" fontId="23" fillId="0" borderId="0" xfId="0" applyNumberFormat="1" applyFont="1" applyAlignment="1">
      <alignment horizontal="center" vertical="center"/>
    </xf>
    <xf numFmtId="165" fontId="19" fillId="0" borderId="0" xfId="0" applyNumberFormat="1" applyFont="1" applyAlignment="1">
      <alignment horizontal="center" vertical="center"/>
    </xf>
    <xf numFmtId="0" fontId="19" fillId="0" borderId="0" xfId="0" applyFont="1" applyAlignment="1">
      <alignment horizontal="center" vertical="center" wrapText="1"/>
    </xf>
    <xf numFmtId="0" fontId="70" fillId="0" borderId="0" xfId="0" applyFont="1" applyAlignment="1">
      <alignment horizontal="right" vertical="center" wrapText="1"/>
    </xf>
    <xf numFmtId="10" fontId="70" fillId="0" borderId="0" xfId="0" applyNumberFormat="1" applyFont="1" applyAlignment="1">
      <alignment horizontal="center" vertical="center" wrapText="1"/>
    </xf>
    <xf numFmtId="4" fontId="70" fillId="0" borderId="0" xfId="0" applyNumberFormat="1" applyFont="1" applyAlignment="1">
      <alignment horizontal="center" vertical="center" wrapText="1"/>
    </xf>
    <xf numFmtId="0" fontId="27" fillId="0" borderId="0" xfId="0" applyFont="1" applyAlignment="1">
      <alignment horizontal="center" vertical="center" wrapText="1"/>
    </xf>
    <xf numFmtId="0" fontId="18" fillId="0" borderId="0" xfId="0" applyFont="1" applyAlignment="1">
      <alignment horizontal="center" vertical="center" wrapText="1"/>
    </xf>
    <xf numFmtId="0" fontId="27" fillId="0" borderId="0" xfId="0" applyFont="1" applyAlignment="1">
      <alignment horizontal="left" vertical="center" wrapText="1"/>
    </xf>
    <xf numFmtId="0" fontId="23" fillId="0" borderId="0" xfId="0" applyFont="1" applyAlignment="1">
      <alignment horizontal="left" vertical="center"/>
    </xf>
    <xf numFmtId="0" fontId="72" fillId="10" borderId="37" xfId="0" applyFont="1" applyFill="1" applyBorder="1" applyAlignment="1">
      <alignment horizontal="center" vertical="center" wrapText="1"/>
    </xf>
    <xf numFmtId="0" fontId="72" fillId="10" borderId="38" xfId="0" applyFont="1" applyFill="1" applyBorder="1" applyAlignment="1">
      <alignment horizontal="center" vertical="top" wrapText="1"/>
    </xf>
    <xf numFmtId="0" fontId="72" fillId="10" borderId="38" xfId="0" applyFont="1" applyFill="1" applyBorder="1" applyAlignment="1">
      <alignment horizontal="center" vertical="center" wrapText="1"/>
    </xf>
    <xf numFmtId="167" fontId="72" fillId="10" borderId="38" xfId="0" applyNumberFormat="1" applyFont="1" applyFill="1" applyBorder="1" applyAlignment="1">
      <alignment horizontal="center" vertical="center" wrapText="1"/>
    </xf>
    <xf numFmtId="0" fontId="32" fillId="12" borderId="5" xfId="0" applyFont="1" applyFill="1" applyBorder="1" applyAlignment="1">
      <alignment horizontal="center" vertical="center" wrapText="1"/>
    </xf>
    <xf numFmtId="0" fontId="33" fillId="12" borderId="5"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57" fillId="24" borderId="19" xfId="0" applyFont="1" applyFill="1" applyBorder="1" applyAlignment="1">
      <alignment horizontal="center" vertical="center" wrapText="1"/>
    </xf>
    <xf numFmtId="0" fontId="34" fillId="24" borderId="19" xfId="0" applyFont="1" applyFill="1" applyBorder="1" applyAlignment="1">
      <alignment horizontal="left" vertical="center" wrapText="1"/>
    </xf>
    <xf numFmtId="0" fontId="34" fillId="24" borderId="19" xfId="0" applyFont="1" applyFill="1" applyBorder="1" applyAlignment="1">
      <alignment horizontal="center" vertical="center" wrapText="1"/>
    </xf>
    <xf numFmtId="167" fontId="34" fillId="24" borderId="19" xfId="0" applyNumberFormat="1" applyFont="1" applyFill="1" applyBorder="1" applyAlignment="1">
      <alignment horizontal="center" vertical="center" wrapText="1"/>
    </xf>
    <xf numFmtId="0" fontId="36" fillId="2" borderId="3" xfId="0" applyFont="1" applyFill="1" applyBorder="1" applyAlignment="1">
      <alignment horizontal="center" vertical="center" wrapText="1"/>
    </xf>
    <xf numFmtId="0" fontId="73" fillId="3" borderId="4"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36" fillId="3" borderId="4" xfId="0" applyFont="1" applyFill="1" applyBorder="1" applyAlignment="1">
      <alignment horizontal="center" vertical="center" wrapText="1"/>
    </xf>
    <xf numFmtId="0" fontId="36" fillId="3" borderId="4" xfId="0" applyFont="1" applyFill="1" applyBorder="1" applyAlignment="1">
      <alignment horizontal="left" vertical="center" wrapText="1"/>
    </xf>
    <xf numFmtId="0" fontId="21" fillId="2" borderId="4" xfId="0" applyFont="1" applyFill="1" applyBorder="1" applyAlignment="1">
      <alignment horizontal="center" vertical="center" wrapText="1"/>
    </xf>
    <xf numFmtId="0" fontId="57" fillId="2" borderId="4" xfId="0" applyFont="1" applyFill="1" applyBorder="1" applyAlignment="1">
      <alignment horizontal="center" vertical="center" wrapText="1"/>
    </xf>
    <xf numFmtId="167" fontId="34" fillId="2" borderId="4" xfId="0" applyNumberFormat="1" applyFont="1" applyFill="1" applyBorder="1" applyAlignment="1">
      <alignment horizontal="center" vertical="center" wrapText="1"/>
    </xf>
    <xf numFmtId="0" fontId="12" fillId="2" borderId="4" xfId="0" applyFont="1" applyFill="1" applyBorder="1" applyAlignment="1">
      <alignment horizontal="center" vertical="center" wrapText="1"/>
    </xf>
    <xf numFmtId="0" fontId="14" fillId="3" borderId="4" xfId="0" applyFont="1" applyFill="1" applyBorder="1" applyAlignment="1">
      <alignment horizontal="center" vertical="center" wrapText="1"/>
    </xf>
    <xf numFmtId="14" fontId="12" fillId="3" borderId="4" xfId="0" applyNumberFormat="1" applyFont="1" applyFill="1" applyBorder="1" applyAlignment="1">
      <alignment horizontal="center" vertical="center" wrapText="1"/>
    </xf>
    <xf numFmtId="165" fontId="72" fillId="10" borderId="38" xfId="0" applyNumberFormat="1" applyFont="1" applyFill="1" applyBorder="1" applyAlignment="1">
      <alignment horizontal="center" vertical="center" wrapText="1"/>
    </xf>
    <xf numFmtId="14" fontId="72" fillId="10" borderId="38" xfId="0" applyNumberFormat="1" applyFont="1" applyFill="1" applyBorder="1" applyAlignment="1">
      <alignment horizontal="center" vertical="center" wrapText="1"/>
    </xf>
    <xf numFmtId="10" fontId="72" fillId="10" borderId="19" xfId="0" applyNumberFormat="1" applyFont="1" applyFill="1" applyBorder="1" applyAlignment="1">
      <alignment horizontal="center" vertical="center" wrapText="1"/>
    </xf>
    <xf numFmtId="4" fontId="72" fillId="10" borderId="38" xfId="0" applyNumberFormat="1" applyFont="1" applyFill="1" applyBorder="1" applyAlignment="1">
      <alignment horizontal="center" vertical="center" wrapText="1"/>
    </xf>
    <xf numFmtId="9" fontId="34" fillId="12" borderId="4" xfId="0" applyNumberFormat="1" applyFont="1" applyFill="1" applyBorder="1" applyAlignment="1">
      <alignment horizontal="center" vertical="center" wrapText="1"/>
    </xf>
    <xf numFmtId="14" fontId="34" fillId="24" borderId="19" xfId="0" applyNumberFormat="1" applyFont="1" applyFill="1" applyBorder="1" applyAlignment="1">
      <alignment horizontal="center" vertical="center" wrapText="1"/>
    </xf>
    <xf numFmtId="166" fontId="34" fillId="24" borderId="19" xfId="2" applyNumberFormat="1" applyFont="1" applyFill="1" applyBorder="1" applyAlignment="1">
      <alignment horizontal="right" vertical="center" wrapText="1"/>
    </xf>
    <xf numFmtId="10" fontId="34" fillId="24" borderId="19" xfId="0" applyNumberFormat="1" applyFont="1" applyFill="1" applyBorder="1" applyAlignment="1">
      <alignment horizontal="center" vertical="center" wrapText="1"/>
    </xf>
    <xf numFmtId="4" fontId="21" fillId="24" borderId="19" xfId="1" applyNumberFormat="1" applyFont="1" applyFill="1" applyBorder="1" applyAlignment="1">
      <alignment horizontal="center" vertical="center" wrapText="1"/>
    </xf>
    <xf numFmtId="166" fontId="36" fillId="3" borderId="4" xfId="2" applyNumberFormat="1" applyFont="1" applyFill="1" applyBorder="1" applyAlignment="1">
      <alignment horizontal="center" vertical="center" wrapText="1"/>
    </xf>
    <xf numFmtId="9" fontId="36" fillId="3" borderId="4" xfId="0" applyNumberFormat="1" applyFont="1" applyFill="1" applyBorder="1" applyAlignment="1">
      <alignment horizontal="center" vertical="center" wrapText="1"/>
    </xf>
    <xf numFmtId="9" fontId="36" fillId="3" borderId="4" xfId="1" applyNumberFormat="1" applyFont="1" applyFill="1" applyBorder="1" applyAlignment="1">
      <alignment horizontal="center" vertical="center" wrapText="1"/>
    </xf>
    <xf numFmtId="4" fontId="24" fillId="3" borderId="4" xfId="1" applyNumberFormat="1" applyFont="1" applyFill="1" applyBorder="1" applyAlignment="1">
      <alignment horizontal="center" vertical="center" wrapText="1"/>
    </xf>
    <xf numFmtId="14" fontId="34" fillId="2" borderId="4" xfId="0" applyNumberFormat="1" applyFont="1" applyFill="1" applyBorder="1" applyAlignment="1">
      <alignment horizontal="center" vertical="center" wrapText="1"/>
    </xf>
    <xf numFmtId="166" fontId="34" fillId="2" borderId="4" xfId="2" applyNumberFormat="1" applyFont="1" applyFill="1" applyBorder="1" applyAlignment="1">
      <alignment horizontal="right" vertical="center" wrapText="1"/>
    </xf>
    <xf numFmtId="10" fontId="34" fillId="2" borderId="4" xfId="0" applyNumberFormat="1" applyFont="1" applyFill="1" applyBorder="1" applyAlignment="1">
      <alignment horizontal="center" vertical="center" wrapText="1"/>
    </xf>
    <xf numFmtId="4" fontId="21" fillId="2" borderId="4" xfId="1" applyNumberFormat="1" applyFont="1" applyFill="1" applyBorder="1" applyAlignment="1">
      <alignment horizontal="center" vertical="center" wrapText="1"/>
    </xf>
    <xf numFmtId="9" fontId="12" fillId="3" borderId="4" xfId="1" applyNumberFormat="1" applyFont="1" applyFill="1" applyBorder="1" applyAlignment="1">
      <alignment horizontal="center" vertical="center" wrapText="1"/>
    </xf>
    <xf numFmtId="15" fontId="12" fillId="3" borderId="4" xfId="0" applyNumberFormat="1" applyFont="1" applyFill="1" applyBorder="1" applyAlignment="1">
      <alignment horizontal="center" vertical="center" wrapText="1"/>
    </xf>
    <xf numFmtId="0" fontId="12" fillId="3" borderId="4" xfId="0" applyFont="1" applyFill="1" applyBorder="1" applyAlignment="1">
      <alignment horizontal="left" vertical="top" wrapText="1"/>
    </xf>
    <xf numFmtId="0" fontId="32" fillId="0" borderId="0" xfId="0" applyFont="1" applyAlignment="1">
      <alignment horizontal="center" vertical="center" wrapText="1"/>
    </xf>
    <xf numFmtId="0" fontId="72" fillId="10" borderId="41" xfId="0" applyFont="1" applyFill="1" applyBorder="1" applyAlignment="1">
      <alignment horizontal="center" vertical="center" wrapText="1"/>
    </xf>
    <xf numFmtId="0" fontId="72" fillId="10" borderId="13" xfId="0" applyFont="1" applyFill="1" applyBorder="1" applyAlignment="1">
      <alignment horizontal="center" vertical="center" wrapText="1"/>
    </xf>
    <xf numFmtId="15" fontId="34" fillId="24" borderId="19" xfId="0" applyNumberFormat="1" applyFont="1" applyFill="1" applyBorder="1" applyAlignment="1">
      <alignment horizontal="center" vertical="center" wrapText="1"/>
    </xf>
    <xf numFmtId="15" fontId="21" fillId="24" borderId="19" xfId="0" applyNumberFormat="1" applyFont="1" applyFill="1" applyBorder="1" applyAlignment="1">
      <alignment horizontal="left" vertical="center" wrapText="1"/>
    </xf>
    <xf numFmtId="15" fontId="34" fillId="24" borderId="27" xfId="0" applyNumberFormat="1" applyFont="1" applyFill="1" applyBorder="1" applyAlignment="1">
      <alignment horizontal="left" vertical="center" wrapText="1"/>
    </xf>
    <xf numFmtId="0" fontId="21" fillId="2" borderId="33" xfId="0" applyFont="1" applyFill="1" applyBorder="1" applyAlignment="1">
      <alignment horizontal="center" vertical="center"/>
    </xf>
    <xf numFmtId="0" fontId="25" fillId="0" borderId="0" xfId="0" applyFont="1" applyAlignment="1">
      <alignment horizontal="center" vertical="center" wrapText="1"/>
    </xf>
    <xf numFmtId="15" fontId="34" fillId="2" borderId="4" xfId="0" applyNumberFormat="1" applyFont="1" applyFill="1" applyBorder="1" applyAlignment="1">
      <alignment horizontal="center" vertical="center" wrapText="1"/>
    </xf>
    <xf numFmtId="15" fontId="21" fillId="2" borderId="4" xfId="0" applyNumberFormat="1" applyFont="1" applyFill="1" applyBorder="1" applyAlignment="1">
      <alignment horizontal="left" vertical="center" wrapText="1"/>
    </xf>
    <xf numFmtId="15" fontId="34" fillId="2" borderId="4" xfId="0" applyNumberFormat="1" applyFont="1" applyFill="1" applyBorder="1" applyAlignment="1">
      <alignment horizontal="left" vertical="center" wrapText="1"/>
    </xf>
    <xf numFmtId="15" fontId="34" fillId="2" borderId="15" xfId="0" applyNumberFormat="1" applyFont="1" applyFill="1" applyBorder="1" applyAlignment="1">
      <alignment horizontal="center" vertical="center" wrapText="1"/>
    </xf>
    <xf numFmtId="15" fontId="21" fillId="2" borderId="0" xfId="0" applyNumberFormat="1" applyFont="1" applyFill="1" applyAlignment="1">
      <alignment horizontal="left" vertical="center" wrapText="1"/>
    </xf>
    <xf numFmtId="15" fontId="34" fillId="2" borderId="0" xfId="0" applyNumberFormat="1" applyFont="1" applyFill="1" applyAlignment="1">
      <alignment horizontal="left" vertical="center" wrapText="1"/>
    </xf>
    <xf numFmtId="0" fontId="2" fillId="2" borderId="14" xfId="0" applyFont="1" applyFill="1" applyBorder="1" applyAlignment="1">
      <alignment horizontal="left" vertical="center" wrapText="1"/>
    </xf>
    <xf numFmtId="0" fontId="74" fillId="0" borderId="0" xfId="0" applyFont="1" applyAlignment="1">
      <alignment horizontal="center" vertical="center"/>
    </xf>
    <xf numFmtId="0" fontId="4" fillId="2" borderId="0" xfId="0" applyFont="1" applyFill="1" applyAlignment="1">
      <alignment vertical="center"/>
    </xf>
    <xf numFmtId="0" fontId="4" fillId="2" borderId="0" xfId="0" applyFont="1" applyFill="1" applyAlignment="1">
      <alignment horizontal="left" vertical="center"/>
    </xf>
    <xf numFmtId="0" fontId="4" fillId="0" borderId="0" xfId="0" applyFont="1" applyAlignment="1">
      <alignment vertical="center"/>
    </xf>
    <xf numFmtId="0" fontId="52" fillId="0" borderId="0" xfId="0" applyFont="1" applyAlignment="1">
      <alignment horizontal="center" vertical="center"/>
    </xf>
    <xf numFmtId="0" fontId="70" fillId="0" borderId="0" xfId="0" applyFont="1" applyAlignment="1">
      <alignment vertical="center"/>
    </xf>
    <xf numFmtId="0" fontId="70" fillId="0" borderId="0" xfId="0" applyFont="1" applyAlignment="1">
      <alignment horizontal="center" vertical="center" wrapText="1"/>
    </xf>
    <xf numFmtId="0" fontId="52" fillId="0" borderId="0" xfId="0" applyFont="1" applyAlignment="1">
      <alignment vertical="center"/>
    </xf>
    <xf numFmtId="167" fontId="52" fillId="0" borderId="0" xfId="0" applyNumberFormat="1" applyFont="1" applyAlignment="1">
      <alignment horizontal="center" vertical="center"/>
    </xf>
    <xf numFmtId="165" fontId="52" fillId="0" borderId="0" xfId="0" applyNumberFormat="1" applyFont="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right" vertical="center" wrapText="1"/>
    </xf>
    <xf numFmtId="10" fontId="52" fillId="0" borderId="0" xfId="0" applyNumberFormat="1" applyFont="1" applyAlignment="1">
      <alignment horizontal="center" vertical="center" wrapText="1"/>
    </xf>
    <xf numFmtId="4" fontId="52" fillId="0" borderId="0" xfId="0" applyNumberFormat="1" applyFont="1" applyAlignment="1">
      <alignment horizontal="center" vertical="center" wrapText="1"/>
    </xf>
    <xf numFmtId="0" fontId="52" fillId="0" borderId="0" xfId="0" applyFont="1" applyAlignment="1">
      <alignment horizontal="left" vertical="center" wrapText="1"/>
    </xf>
    <xf numFmtId="0" fontId="52" fillId="0" borderId="0" xfId="0" applyFont="1" applyAlignment="1">
      <alignment horizontal="left" vertical="center"/>
    </xf>
    <xf numFmtId="0" fontId="2" fillId="26" borderId="19" xfId="0" applyFont="1" applyFill="1" applyBorder="1" applyAlignment="1">
      <alignment horizontal="center" vertical="center" wrapText="1"/>
    </xf>
    <xf numFmtId="0" fontId="48" fillId="2" borderId="20" xfId="0" applyFont="1" applyFill="1" applyBorder="1" applyAlignment="1">
      <alignment horizontal="center" vertical="center" wrapText="1"/>
    </xf>
    <xf numFmtId="0" fontId="45" fillId="8" borderId="21" xfId="0" applyFont="1" applyFill="1" applyBorder="1" applyAlignment="1">
      <alignment horizontal="center" vertical="center" wrapText="1"/>
    </xf>
    <xf numFmtId="0" fontId="4" fillId="8" borderId="4" xfId="0" applyFont="1" applyFill="1" applyBorder="1" applyAlignment="1">
      <alignment horizontal="center" vertical="center"/>
    </xf>
    <xf numFmtId="0" fontId="5" fillId="8"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14" fontId="5" fillId="8"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wrapText="1"/>
    </xf>
    <xf numFmtId="0" fontId="4" fillId="3" borderId="21" xfId="0" applyFont="1" applyFill="1" applyBorder="1" applyAlignment="1">
      <alignment horizontal="center" vertical="center"/>
    </xf>
    <xf numFmtId="0" fontId="5" fillId="3" borderId="21"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7" borderId="4" xfId="0" applyFont="1" applyFill="1" applyBorder="1" applyAlignment="1">
      <alignment horizontal="center" vertical="center"/>
    </xf>
    <xf numFmtId="0" fontId="4" fillId="2" borderId="4" xfId="0" applyFont="1" applyFill="1" applyBorder="1" applyAlignment="1">
      <alignment horizontal="center" vertical="center"/>
    </xf>
    <xf numFmtId="0" fontId="4" fillId="27" borderId="4" xfId="0" applyFont="1" applyFill="1" applyBorder="1" applyAlignment="1">
      <alignment horizontal="center" vertical="center"/>
    </xf>
    <xf numFmtId="0" fontId="5" fillId="7" borderId="2"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left" vertical="center" wrapText="1"/>
    </xf>
    <xf numFmtId="0" fontId="5" fillId="3" borderId="6" xfId="0" applyFont="1" applyFill="1" applyBorder="1" applyAlignment="1">
      <alignment horizontal="center" vertical="center" wrapText="1"/>
    </xf>
    <xf numFmtId="0" fontId="5" fillId="27" borderId="21" xfId="0" applyFont="1" applyFill="1" applyBorder="1" applyAlignment="1">
      <alignment horizontal="center" vertical="center" wrapText="1"/>
    </xf>
    <xf numFmtId="0" fontId="5" fillId="2" borderId="3" xfId="0" applyFont="1" applyFill="1" applyBorder="1" applyAlignment="1">
      <alignment horizontal="center" vertical="center"/>
    </xf>
    <xf numFmtId="0" fontId="4" fillId="2" borderId="24" xfId="0" applyFont="1" applyFill="1" applyBorder="1" applyAlignment="1">
      <alignment horizontal="center" vertical="center"/>
    </xf>
    <xf numFmtId="0" fontId="4" fillId="7" borderId="24" xfId="0" applyFont="1" applyFill="1" applyBorder="1" applyAlignment="1">
      <alignment horizontal="center" vertical="center"/>
    </xf>
    <xf numFmtId="0" fontId="4" fillId="28" borderId="4" xfId="0" applyFont="1" applyFill="1" applyBorder="1" applyAlignment="1">
      <alignment horizontal="center" vertical="center"/>
    </xf>
    <xf numFmtId="0" fontId="4" fillId="28" borderId="4" xfId="0" applyFont="1" applyFill="1" applyBorder="1" applyAlignment="1">
      <alignment horizontal="center" vertical="center" wrapText="1"/>
    </xf>
    <xf numFmtId="22" fontId="4" fillId="28" borderId="4" xfId="0" applyNumberFormat="1" applyFont="1" applyFill="1" applyBorder="1" applyAlignment="1">
      <alignment horizontal="center" vertical="center" wrapText="1"/>
    </xf>
    <xf numFmtId="0" fontId="4" fillId="2" borderId="21" xfId="0" applyFont="1" applyFill="1" applyBorder="1" applyAlignment="1">
      <alignment horizontal="center" vertical="center"/>
    </xf>
    <xf numFmtId="0" fontId="4" fillId="0" borderId="20" xfId="0" applyFont="1" applyBorder="1" applyAlignment="1">
      <alignment horizontal="center" vertical="center"/>
    </xf>
    <xf numFmtId="0" fontId="4" fillId="7" borderId="21" xfId="0" applyFont="1" applyFill="1" applyBorder="1" applyAlignment="1">
      <alignment horizontal="center" vertical="center"/>
    </xf>
    <xf numFmtId="0" fontId="4" fillId="7" borderId="21"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3" borderId="38"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4" fillId="28" borderId="4" xfId="0" applyFont="1" applyFill="1" applyBorder="1" applyAlignment="1">
      <alignment vertical="center" wrapText="1"/>
    </xf>
    <xf numFmtId="0" fontId="4" fillId="27" borderId="4" xfId="0" applyFont="1" applyFill="1" applyBorder="1" applyAlignment="1">
      <alignment horizontal="center" vertical="center" wrapText="1"/>
    </xf>
    <xf numFmtId="0" fontId="4" fillId="0" borderId="7" xfId="0" applyFont="1" applyBorder="1" applyAlignment="1">
      <alignment horizontal="center" vertical="center"/>
    </xf>
    <xf numFmtId="0" fontId="4" fillId="0" borderId="51" xfId="0" applyFont="1" applyBorder="1" applyAlignment="1">
      <alignment horizontal="center" vertical="center" wrapText="1"/>
    </xf>
    <xf numFmtId="0" fontId="4" fillId="28" borderId="51" xfId="0" applyFont="1" applyFill="1" applyBorder="1" applyAlignment="1">
      <alignment horizontal="center" vertical="center"/>
    </xf>
    <xf numFmtId="0" fontId="4" fillId="28" borderId="51" xfId="0" applyFont="1" applyFill="1" applyBorder="1" applyAlignment="1">
      <alignment horizontal="center" vertical="center" wrapText="1"/>
    </xf>
    <xf numFmtId="0" fontId="4" fillId="8" borderId="21" xfId="0" applyFont="1" applyFill="1" applyBorder="1" applyAlignment="1">
      <alignment horizontal="center" vertical="center"/>
    </xf>
    <xf numFmtId="0" fontId="4" fillId="19" borderId="4" xfId="0" applyFont="1" applyFill="1" applyBorder="1" applyAlignment="1">
      <alignment horizontal="center" vertical="center" wrapText="1"/>
    </xf>
    <xf numFmtId="0" fontId="5" fillId="19" borderId="4" xfId="0" applyFont="1" applyFill="1" applyBorder="1" applyAlignment="1">
      <alignment horizontal="center" vertical="center" wrapText="1"/>
    </xf>
    <xf numFmtId="0" fontId="4" fillId="19" borderId="4" xfId="0" applyFont="1" applyFill="1" applyBorder="1" applyAlignment="1">
      <alignment horizontal="center" vertical="center"/>
    </xf>
    <xf numFmtId="0" fontId="2" fillId="26" borderId="27" xfId="0" applyFont="1" applyFill="1" applyBorder="1" applyAlignment="1">
      <alignment horizontal="center" vertical="center" wrapText="1"/>
    </xf>
    <xf numFmtId="0" fontId="45" fillId="8" borderId="29" xfId="0" applyFont="1" applyFill="1" applyBorder="1" applyAlignment="1">
      <alignment horizontal="center" vertical="center" wrapText="1"/>
    </xf>
    <xf numFmtId="0" fontId="74" fillId="0" borderId="0" xfId="0" applyFont="1"/>
    <xf numFmtId="167" fontId="4" fillId="8" borderId="4" xfId="0" applyNumberFormat="1" applyFont="1" applyFill="1" applyBorder="1" applyAlignment="1">
      <alignment horizontal="center" vertical="center"/>
    </xf>
    <xf numFmtId="167" fontId="4" fillId="8" borderId="9" xfId="0" applyNumberFormat="1" applyFont="1" applyFill="1" applyBorder="1" applyAlignment="1">
      <alignment horizontal="center" vertical="center"/>
    </xf>
    <xf numFmtId="167" fontId="4" fillId="3" borderId="4" xfId="0" applyNumberFormat="1" applyFont="1" applyFill="1" applyBorder="1" applyAlignment="1">
      <alignment horizontal="center" vertical="center"/>
    </xf>
    <xf numFmtId="10" fontId="4" fillId="3" borderId="9" xfId="0" applyNumberFormat="1" applyFont="1" applyFill="1" applyBorder="1" applyAlignment="1">
      <alignment horizontal="center" vertical="center" wrapText="1"/>
    </xf>
    <xf numFmtId="10" fontId="4" fillId="3" borderId="29" xfId="0" applyNumberFormat="1" applyFont="1" applyFill="1" applyBorder="1" applyAlignment="1">
      <alignment horizontal="center" vertical="center" wrapText="1"/>
    </xf>
    <xf numFmtId="167" fontId="4" fillId="7" borderId="4" xfId="0" applyNumberFormat="1" applyFont="1" applyFill="1" applyBorder="1" applyAlignment="1">
      <alignment horizontal="center" vertical="center"/>
    </xf>
    <xf numFmtId="10" fontId="4" fillId="7" borderId="9" xfId="0" applyNumberFormat="1" applyFont="1" applyFill="1" applyBorder="1" applyAlignment="1">
      <alignment horizontal="center" vertical="center" wrapText="1"/>
    </xf>
    <xf numFmtId="10" fontId="4" fillId="8" borderId="9" xfId="0" applyNumberFormat="1" applyFont="1" applyFill="1" applyBorder="1" applyAlignment="1">
      <alignment horizontal="center" vertical="center" wrapText="1"/>
    </xf>
    <xf numFmtId="10" fontId="4" fillId="8" borderId="4" xfId="0" applyNumberFormat="1" applyFont="1" applyFill="1" applyBorder="1" applyAlignment="1">
      <alignment horizontal="center" vertical="center" wrapText="1"/>
    </xf>
    <xf numFmtId="167" fontId="4" fillId="27" borderId="4" xfId="0" applyNumberFormat="1" applyFont="1" applyFill="1" applyBorder="1" applyAlignment="1">
      <alignment horizontal="center" vertical="center"/>
    </xf>
    <xf numFmtId="167" fontId="4" fillId="27" borderId="9" xfId="0" applyNumberFormat="1" applyFont="1" applyFill="1" applyBorder="1" applyAlignment="1">
      <alignment horizontal="center" vertical="center"/>
    </xf>
    <xf numFmtId="49" fontId="4" fillId="7" borderId="2" xfId="0" applyNumberFormat="1" applyFont="1" applyFill="1" applyBorder="1" applyAlignment="1">
      <alignment horizontal="center" vertical="center"/>
    </xf>
    <xf numFmtId="49" fontId="4" fillId="7" borderId="2" xfId="0" applyNumberFormat="1" applyFont="1" applyFill="1" applyBorder="1" applyAlignment="1">
      <alignment horizontal="center" vertical="center" wrapText="1"/>
    </xf>
    <xf numFmtId="49" fontId="4" fillId="7" borderId="8" xfId="0" applyNumberFormat="1" applyFont="1" applyFill="1" applyBorder="1" applyAlignment="1">
      <alignment horizontal="center" vertical="center" wrapText="1"/>
    </xf>
    <xf numFmtId="49" fontId="4" fillId="7" borderId="25" xfId="0" applyNumberFormat="1" applyFont="1" applyFill="1" applyBorder="1" applyAlignment="1">
      <alignment horizontal="center" vertical="center"/>
    </xf>
    <xf numFmtId="49" fontId="4" fillId="7" borderId="6" xfId="0" applyNumberFormat="1" applyFont="1" applyFill="1" applyBorder="1" applyAlignment="1">
      <alignment horizontal="center" vertical="center" wrapText="1"/>
    </xf>
    <xf numFmtId="49" fontId="4" fillId="7" borderId="10"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wrapText="1"/>
    </xf>
    <xf numFmtId="49" fontId="4" fillId="3" borderId="8" xfId="0" applyNumberFormat="1" applyFont="1" applyFill="1" applyBorder="1" applyAlignment="1">
      <alignment horizontal="center" vertical="center" wrapText="1"/>
    </xf>
    <xf numFmtId="49" fontId="4" fillId="3" borderId="6" xfId="0" applyNumberFormat="1" applyFont="1" applyFill="1" applyBorder="1" applyAlignment="1">
      <alignment horizontal="center" vertical="center"/>
    </xf>
    <xf numFmtId="49" fontId="4" fillId="3" borderId="6" xfId="0" applyNumberFormat="1" applyFont="1" applyFill="1" applyBorder="1" applyAlignment="1">
      <alignment horizontal="center" vertical="center" wrapText="1"/>
    </xf>
    <xf numFmtId="49" fontId="4" fillId="3" borderId="10" xfId="0" applyNumberFormat="1" applyFont="1" applyFill="1" applyBorder="1" applyAlignment="1">
      <alignment horizontal="center" vertical="center" wrapText="1"/>
    </xf>
    <xf numFmtId="49" fontId="4" fillId="27" borderId="21" xfId="0" applyNumberFormat="1" applyFont="1" applyFill="1" applyBorder="1" applyAlignment="1">
      <alignment horizontal="center" vertical="center"/>
    </xf>
    <xf numFmtId="49" fontId="4" fillId="27" borderId="21" xfId="0" applyNumberFormat="1" applyFont="1" applyFill="1" applyBorder="1" applyAlignment="1">
      <alignment horizontal="center" vertical="center" wrapText="1"/>
    </xf>
    <xf numFmtId="49" fontId="4" fillId="27" borderId="29" xfId="0" applyNumberFormat="1" applyFont="1" applyFill="1" applyBorder="1" applyAlignment="1">
      <alignment horizontal="center" vertical="center" wrapText="1"/>
    </xf>
    <xf numFmtId="0" fontId="4" fillId="7" borderId="24" xfId="0" applyFont="1" applyFill="1" applyBorder="1" applyAlignment="1">
      <alignment horizontal="center" vertical="center" wrapText="1"/>
    </xf>
    <xf numFmtId="10" fontId="4" fillId="7" borderId="30" xfId="0" applyNumberFormat="1" applyFont="1" applyFill="1" applyBorder="1" applyAlignment="1">
      <alignment horizontal="center" vertical="center" wrapText="1"/>
    </xf>
    <xf numFmtId="0" fontId="4" fillId="3" borderId="9" xfId="0" applyFont="1" applyFill="1" applyBorder="1" applyAlignment="1">
      <alignment horizontal="center" vertical="center"/>
    </xf>
    <xf numFmtId="0" fontId="4" fillId="28" borderId="9" xfId="0" applyFont="1" applyFill="1" applyBorder="1" applyAlignment="1">
      <alignment horizontal="center" vertical="center"/>
    </xf>
    <xf numFmtId="167" fontId="4" fillId="28" borderId="4" xfId="0" applyNumberFormat="1" applyFont="1" applyFill="1" applyBorder="1" applyAlignment="1">
      <alignment horizontal="center" vertical="center"/>
    </xf>
    <xf numFmtId="0" fontId="4" fillId="3" borderId="29" xfId="0" applyFont="1" applyFill="1" applyBorder="1" applyAlignment="1">
      <alignment horizontal="center" vertical="center"/>
    </xf>
    <xf numFmtId="0" fontId="4" fillId="7" borderId="29" xfId="0" applyFont="1" applyFill="1" applyBorder="1" applyAlignment="1">
      <alignment horizontal="center" vertical="center"/>
    </xf>
    <xf numFmtId="0" fontId="4" fillId="3" borderId="41" xfId="0" applyFont="1" applyFill="1" applyBorder="1" applyAlignment="1">
      <alignment horizontal="center" vertical="center"/>
    </xf>
    <xf numFmtId="167" fontId="4" fillId="28" borderId="9" xfId="0" applyNumberFormat="1" applyFont="1" applyFill="1" applyBorder="1" applyAlignment="1">
      <alignment horizontal="center" vertical="center"/>
    </xf>
    <xf numFmtId="0" fontId="4" fillId="28" borderId="6" xfId="0" applyFont="1" applyFill="1" applyBorder="1" applyAlignment="1">
      <alignment horizontal="center" vertical="center"/>
    </xf>
    <xf numFmtId="10" fontId="4" fillId="28" borderId="9" xfId="0" applyNumberFormat="1" applyFont="1" applyFill="1" applyBorder="1" applyAlignment="1">
      <alignment horizontal="center" vertical="center" wrapText="1"/>
    </xf>
    <xf numFmtId="10" fontId="4" fillId="27" borderId="9" xfId="0" applyNumberFormat="1" applyFont="1" applyFill="1" applyBorder="1" applyAlignment="1">
      <alignment horizontal="center" vertical="center" wrapText="1"/>
    </xf>
    <xf numFmtId="167" fontId="4" fillId="3" borderId="9" xfId="0" applyNumberFormat="1" applyFont="1" applyFill="1" applyBorder="1" applyAlignment="1">
      <alignment horizontal="center" vertical="center"/>
    </xf>
    <xf numFmtId="10" fontId="4" fillId="28" borderId="54" xfId="0" applyNumberFormat="1" applyFont="1" applyFill="1" applyBorder="1" applyAlignment="1">
      <alignment horizontal="center" vertical="center" wrapText="1"/>
    </xf>
    <xf numFmtId="167" fontId="4" fillId="8" borderId="21" xfId="0" applyNumberFormat="1" applyFont="1" applyFill="1" applyBorder="1" applyAlignment="1">
      <alignment horizontal="center" vertical="center"/>
    </xf>
    <xf numFmtId="167" fontId="4" fillId="8" borderId="29" xfId="0" applyNumberFormat="1" applyFont="1" applyFill="1" applyBorder="1" applyAlignment="1">
      <alignment horizontal="center" vertical="center"/>
    </xf>
    <xf numFmtId="167" fontId="4" fillId="7" borderId="9" xfId="0" applyNumberFormat="1" applyFont="1" applyFill="1" applyBorder="1" applyAlignment="1">
      <alignment horizontal="center" vertical="center"/>
    </xf>
    <xf numFmtId="167" fontId="4" fillId="19" borderId="4" xfId="0" applyNumberFormat="1" applyFont="1" applyFill="1" applyBorder="1" applyAlignment="1">
      <alignment horizontal="center" vertical="center"/>
    </xf>
    <xf numFmtId="167" fontId="4" fillId="19" borderId="9" xfId="0" applyNumberFormat="1" applyFont="1" applyFill="1" applyBorder="1" applyAlignment="1">
      <alignment horizontal="center" vertical="center"/>
    </xf>
    <xf numFmtId="167" fontId="4" fillId="2" borderId="0" xfId="0" applyNumberFormat="1" applyFont="1" applyFill="1" applyAlignment="1">
      <alignment vertical="center"/>
    </xf>
    <xf numFmtId="167" fontId="4" fillId="2" borderId="5" xfId="0" applyNumberFormat="1" applyFont="1" applyFill="1" applyBorder="1" applyAlignment="1">
      <alignment vertical="center"/>
    </xf>
    <xf numFmtId="4" fontId="4" fillId="2" borderId="0" xfId="0" applyNumberFormat="1" applyFont="1" applyFill="1" applyAlignment="1">
      <alignment horizontal="center" vertical="center" wrapText="1"/>
    </xf>
    <xf numFmtId="4" fontId="1" fillId="2" borderId="0" xfId="0" applyNumberFormat="1" applyFont="1" applyFill="1" applyAlignment="1">
      <alignment horizontal="center" vertical="center" wrapText="1"/>
    </xf>
    <xf numFmtId="4" fontId="4" fillId="2" borderId="0" xfId="0" applyNumberFormat="1" applyFont="1" applyFill="1" applyAlignment="1">
      <alignment horizontal="left" vertical="center" wrapText="1"/>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19" borderId="21" xfId="0" applyFont="1" applyFill="1" applyBorder="1" applyAlignment="1">
      <alignment horizontal="center" vertical="center"/>
    </xf>
    <xf numFmtId="0" fontId="4" fillId="19" borderId="21" xfId="0" applyFont="1" applyFill="1" applyBorder="1" applyAlignment="1">
      <alignment horizontal="center" vertical="center" wrapText="1"/>
    </xf>
    <xf numFmtId="10" fontId="4" fillId="19" borderId="9" xfId="0" applyNumberFormat="1" applyFont="1" applyFill="1" applyBorder="1" applyAlignment="1">
      <alignment horizontal="center" vertical="center" wrapText="1"/>
    </xf>
    <xf numFmtId="10" fontId="4" fillId="19" borderId="29" xfId="0" applyNumberFormat="1" applyFont="1" applyFill="1" applyBorder="1" applyAlignment="1">
      <alignment horizontal="center" vertical="center" wrapText="1"/>
    </xf>
    <xf numFmtId="4" fontId="4" fillId="2" borderId="5" xfId="0" applyNumberFormat="1" applyFont="1" applyFill="1" applyBorder="1" applyAlignment="1">
      <alignment horizontal="center" vertical="center" wrapText="1"/>
    </xf>
    <xf numFmtId="0" fontId="29" fillId="10" borderId="37" xfId="0" applyFont="1" applyFill="1" applyBorder="1" applyAlignment="1">
      <alignment horizontal="center" vertical="center" wrapText="1"/>
    </xf>
    <xf numFmtId="0" fontId="29" fillId="10" borderId="38" xfId="0" applyFont="1" applyFill="1" applyBorder="1" applyAlignment="1">
      <alignment horizontal="center" vertical="center" wrapText="1"/>
    </xf>
    <xf numFmtId="0" fontId="30" fillId="10" borderId="38" xfId="0" applyFont="1" applyFill="1" applyBorder="1" applyAlignment="1">
      <alignment horizontal="center" vertical="center" wrapText="1"/>
    </xf>
    <xf numFmtId="0" fontId="31" fillId="10" borderId="38" xfId="0" applyFont="1" applyFill="1" applyBorder="1" applyAlignment="1">
      <alignment horizontal="center" vertical="center" wrapText="1"/>
    </xf>
    <xf numFmtId="167" fontId="29" fillId="10" borderId="38" xfId="0" applyNumberFormat="1" applyFont="1" applyFill="1" applyBorder="1" applyAlignment="1">
      <alignment horizontal="center" vertical="center" wrapText="1"/>
    </xf>
    <xf numFmtId="0" fontId="32" fillId="12" borderId="7" xfId="0" applyFont="1" applyFill="1" applyBorder="1" applyAlignment="1">
      <alignment horizontal="center" vertical="center" wrapText="1"/>
    </xf>
    <xf numFmtId="0" fontId="37" fillId="12" borderId="3" xfId="0" applyFont="1" applyFill="1" applyBorder="1" applyAlignment="1">
      <alignment horizontal="center" vertical="center" wrapText="1"/>
    </xf>
    <xf numFmtId="167" fontId="21" fillId="12" borderId="4" xfId="0" applyNumberFormat="1" applyFont="1" applyFill="1" applyBorder="1" applyAlignment="1">
      <alignment horizontal="center" vertical="center" wrapText="1"/>
    </xf>
    <xf numFmtId="0" fontId="32" fillId="12" borderId="1" xfId="0" applyFont="1" applyFill="1" applyBorder="1" applyAlignment="1">
      <alignment horizontal="center" vertical="center" wrapText="1"/>
    </xf>
    <xf numFmtId="0" fontId="21" fillId="12" borderId="2" xfId="0" applyFont="1" applyFill="1" applyBorder="1" applyAlignment="1">
      <alignment horizontal="center" vertical="center" wrapText="1"/>
    </xf>
    <xf numFmtId="0" fontId="34" fillId="12" borderId="2" xfId="0" applyFont="1" applyFill="1" applyBorder="1" applyAlignment="1">
      <alignment horizontal="center" vertical="center" wrapText="1"/>
    </xf>
    <xf numFmtId="167" fontId="34" fillId="12" borderId="2" xfId="0" applyNumberFormat="1" applyFont="1" applyFill="1" applyBorder="1" applyAlignment="1">
      <alignment horizontal="center" vertical="center" wrapText="1"/>
    </xf>
    <xf numFmtId="0" fontId="33" fillId="12" borderId="3" xfId="0" applyFont="1" applyFill="1" applyBorder="1" applyAlignment="1">
      <alignment horizontal="center" vertical="center" wrapText="1"/>
    </xf>
    <xf numFmtId="0" fontId="24" fillId="12" borderId="4" xfId="0" applyFont="1" applyFill="1" applyBorder="1" applyAlignment="1">
      <alignment horizontal="center" vertical="center" wrapText="1"/>
    </xf>
    <xf numFmtId="0" fontId="36" fillId="12" borderId="4" xfId="0" applyFont="1" applyFill="1" applyBorder="1" applyAlignment="1">
      <alignment horizontal="center" vertical="center" wrapText="1"/>
    </xf>
    <xf numFmtId="167" fontId="36" fillId="12" borderId="4" xfId="0" applyNumberFormat="1" applyFont="1" applyFill="1" applyBorder="1" applyAlignment="1">
      <alignment horizontal="center" vertical="center" wrapText="1"/>
    </xf>
    <xf numFmtId="0" fontId="35" fillId="12" borderId="3" xfId="0" applyFont="1" applyFill="1" applyBorder="1" applyAlignment="1">
      <alignment horizontal="center" vertical="center" wrapText="1"/>
    </xf>
    <xf numFmtId="167" fontId="24" fillId="12" borderId="4" xfId="0" applyNumberFormat="1" applyFont="1" applyFill="1" applyBorder="1" applyAlignment="1">
      <alignment horizontal="center" vertical="center" wrapText="1"/>
    </xf>
    <xf numFmtId="0" fontId="32" fillId="12" borderId="4" xfId="0" applyFont="1" applyFill="1" applyBorder="1" applyAlignment="1">
      <alignment horizontal="center" vertical="center" wrapText="1"/>
    </xf>
    <xf numFmtId="0" fontId="37" fillId="12" borderId="4" xfId="0" applyFont="1" applyFill="1" applyBorder="1" applyAlignment="1">
      <alignment horizontal="center" vertical="center" wrapText="1"/>
    </xf>
    <xf numFmtId="0" fontId="37" fillId="12" borderId="5" xfId="0" applyFont="1" applyFill="1" applyBorder="1" applyAlignment="1">
      <alignment horizontal="center" vertical="center" wrapText="1"/>
    </xf>
    <xf numFmtId="0" fontId="24" fillId="12" borderId="6" xfId="0" applyFont="1" applyFill="1" applyBorder="1" applyAlignment="1">
      <alignment horizontal="center" vertical="center" wrapText="1"/>
    </xf>
    <xf numFmtId="0" fontId="36" fillId="12" borderId="6" xfId="0" applyFont="1" applyFill="1" applyBorder="1" applyAlignment="1">
      <alignment horizontal="center" vertical="center" wrapText="1"/>
    </xf>
    <xf numFmtId="167" fontId="24" fillId="12" borderId="6" xfId="0" applyNumberFormat="1" applyFont="1" applyFill="1" applyBorder="1" applyAlignment="1">
      <alignment horizontal="center" vertical="center" wrapText="1"/>
    </xf>
    <xf numFmtId="0" fontId="40" fillId="12" borderId="4" xfId="0" applyFont="1" applyFill="1" applyBorder="1" applyAlignment="1">
      <alignment horizontal="center" vertical="center" wrapText="1"/>
    </xf>
    <xf numFmtId="0" fontId="33" fillId="12" borderId="4" xfId="0" applyFont="1" applyFill="1" applyBorder="1" applyAlignment="1">
      <alignment horizontal="center" vertical="center" wrapText="1"/>
    </xf>
    <xf numFmtId="0" fontId="35" fillId="12" borderId="26" xfId="0" applyFont="1" applyFill="1" applyBorder="1" applyAlignment="1">
      <alignment horizontal="center" vertical="center" wrapText="1"/>
    </xf>
    <xf numFmtId="0" fontId="35" fillId="12" borderId="4" xfId="0" applyFont="1" applyFill="1" applyBorder="1" applyAlignment="1">
      <alignment horizontal="center" vertical="center" wrapText="1"/>
    </xf>
    <xf numFmtId="3" fontId="35" fillId="12" borderId="4" xfId="0" applyNumberFormat="1" applyFont="1" applyFill="1" applyBorder="1" applyAlignment="1">
      <alignment horizontal="center" vertical="center" wrapText="1"/>
    </xf>
    <xf numFmtId="0" fontId="24" fillId="12" borderId="4" xfId="0" applyFont="1" applyFill="1" applyBorder="1" applyAlignment="1">
      <alignment horizontal="center" vertical="center"/>
    </xf>
    <xf numFmtId="0" fontId="15" fillId="2" borderId="3" xfId="0" applyFont="1" applyFill="1" applyBorder="1" applyAlignment="1">
      <alignment horizontal="center" vertical="center" wrapText="1"/>
    </xf>
    <xf numFmtId="0" fontId="15" fillId="2" borderId="26" xfId="0" applyFont="1" applyFill="1" applyBorder="1" applyAlignment="1">
      <alignment horizontal="center" vertical="center" wrapText="1"/>
    </xf>
    <xf numFmtId="167" fontId="15" fillId="2" borderId="6" xfId="0" applyNumberFormat="1" applyFont="1" applyFill="1" applyBorder="1" applyAlignment="1">
      <alignment horizontal="center" vertical="center" wrapText="1"/>
    </xf>
    <xf numFmtId="165" fontId="29" fillId="10" borderId="38" xfId="0" applyNumberFormat="1" applyFont="1" applyFill="1" applyBorder="1" applyAlignment="1">
      <alignment horizontal="center" vertical="center" wrapText="1"/>
    </xf>
    <xf numFmtId="14" fontId="29" fillId="10" borderId="38" xfId="0" applyNumberFormat="1" applyFont="1" applyFill="1" applyBorder="1" applyAlignment="1">
      <alignment horizontal="center" vertical="center" wrapText="1"/>
    </xf>
    <xf numFmtId="0" fontId="38" fillId="10" borderId="38" xfId="0" applyFont="1" applyFill="1" applyBorder="1" applyAlignment="1">
      <alignment horizontal="center" vertical="center" wrapText="1"/>
    </xf>
    <xf numFmtId="10" fontId="38" fillId="10" borderId="38" xfId="0" applyNumberFormat="1" applyFont="1" applyFill="1" applyBorder="1" applyAlignment="1">
      <alignment horizontal="center" vertical="center" wrapText="1"/>
    </xf>
    <xf numFmtId="4" fontId="38" fillId="10" borderId="38" xfId="0" applyNumberFormat="1" applyFont="1" applyFill="1" applyBorder="1" applyAlignment="1">
      <alignment horizontal="center" vertical="center" wrapText="1"/>
    </xf>
    <xf numFmtId="9" fontId="34" fillId="12" borderId="25" xfId="1" applyNumberFormat="1" applyFont="1" applyFill="1" applyBorder="1" applyAlignment="1">
      <alignment horizontal="center" vertical="center" wrapText="1"/>
    </xf>
    <xf numFmtId="4" fontId="21" fillId="12" borderId="25" xfId="1" applyNumberFormat="1" applyFont="1" applyFill="1" applyBorder="1" applyAlignment="1">
      <alignment horizontal="center" vertical="center" wrapText="1"/>
    </xf>
    <xf numFmtId="166" fontId="21" fillId="12" borderId="4" xfId="2" applyNumberFormat="1" applyFont="1" applyFill="1" applyBorder="1" applyAlignment="1">
      <alignment horizontal="right" vertical="center" wrapText="1"/>
    </xf>
    <xf numFmtId="9" fontId="21" fillId="12" borderId="4" xfId="0" applyNumberFormat="1" applyFont="1" applyFill="1" applyBorder="1" applyAlignment="1">
      <alignment horizontal="center" vertical="center" wrapText="1"/>
    </xf>
    <xf numFmtId="166" fontId="34" fillId="12" borderId="2" xfId="2" applyNumberFormat="1" applyFont="1" applyFill="1" applyBorder="1" applyAlignment="1">
      <alignment horizontal="center" vertical="center" wrapText="1"/>
    </xf>
    <xf numFmtId="9" fontId="34" fillId="12" borderId="2" xfId="1" applyNumberFormat="1" applyFont="1" applyFill="1" applyBorder="1" applyAlignment="1">
      <alignment horizontal="center" vertical="center" wrapText="1"/>
    </xf>
    <xf numFmtId="14" fontId="36" fillId="12" borderId="4" xfId="0" applyNumberFormat="1" applyFont="1" applyFill="1" applyBorder="1" applyAlignment="1">
      <alignment horizontal="center" vertical="center" wrapText="1"/>
    </xf>
    <xf numFmtId="166" fontId="36" fillId="12" borderId="4" xfId="2" applyNumberFormat="1" applyFont="1" applyFill="1" applyBorder="1" applyAlignment="1">
      <alignment horizontal="right" vertical="center" wrapText="1"/>
    </xf>
    <xf numFmtId="9" fontId="36" fillId="12" borderId="4" xfId="1" applyNumberFormat="1" applyFont="1" applyFill="1" applyBorder="1" applyAlignment="1">
      <alignment horizontal="center" vertical="center" wrapText="1"/>
    </xf>
    <xf numFmtId="4" fontId="24" fillId="12" borderId="4" xfId="1" applyNumberFormat="1" applyFont="1" applyFill="1" applyBorder="1" applyAlignment="1">
      <alignment horizontal="center" vertical="center" wrapText="1"/>
    </xf>
    <xf numFmtId="9" fontId="24" fillId="12" borderId="4" xfId="0" applyNumberFormat="1" applyFont="1" applyFill="1" applyBorder="1" applyAlignment="1">
      <alignment horizontal="center" vertical="center" wrapText="1"/>
    </xf>
    <xf numFmtId="166" fontId="24" fillId="12" borderId="4" xfId="2" applyNumberFormat="1" applyFont="1" applyFill="1" applyBorder="1" applyAlignment="1">
      <alignment horizontal="right" vertical="center" wrapText="1"/>
    </xf>
    <xf numFmtId="9" fontId="24" fillId="12" borderId="4" xfId="1" applyNumberFormat="1" applyFont="1" applyFill="1" applyBorder="1" applyAlignment="1">
      <alignment horizontal="center" vertical="center" wrapText="1"/>
    </xf>
    <xf numFmtId="15" fontId="24" fillId="12" borderId="4" xfId="0" applyNumberFormat="1" applyFont="1" applyFill="1" applyBorder="1" applyAlignment="1">
      <alignment horizontal="center" vertical="center" wrapText="1"/>
    </xf>
    <xf numFmtId="166" fontId="36" fillId="12" borderId="4" xfId="2" applyNumberFormat="1" applyFont="1" applyFill="1" applyBorder="1" applyAlignment="1">
      <alignment horizontal="left" vertical="center" wrapText="1"/>
    </xf>
    <xf numFmtId="10" fontId="24" fillId="12" borderId="4" xfId="1" applyNumberFormat="1" applyFont="1" applyFill="1" applyBorder="1" applyAlignment="1">
      <alignment horizontal="center" vertical="center" wrapText="1"/>
    </xf>
    <xf numFmtId="10" fontId="36" fillId="12" borderId="4" xfId="1" applyNumberFormat="1" applyFont="1" applyFill="1" applyBorder="1" applyAlignment="1">
      <alignment horizontal="center" vertical="center" wrapText="1"/>
    </xf>
    <xf numFmtId="15" fontId="24" fillId="12" borderId="6" xfId="0" applyNumberFormat="1" applyFont="1" applyFill="1" applyBorder="1" applyAlignment="1">
      <alignment horizontal="center" vertical="center" wrapText="1"/>
    </xf>
    <xf numFmtId="4" fontId="36" fillId="12" borderId="4" xfId="1" applyNumberFormat="1" applyFont="1" applyFill="1" applyBorder="1" applyAlignment="1">
      <alignment horizontal="center" vertical="center" wrapText="1"/>
    </xf>
    <xf numFmtId="3" fontId="24" fillId="12" borderId="4" xfId="0" applyNumberFormat="1" applyFont="1" applyFill="1" applyBorder="1" applyAlignment="1">
      <alignment horizontal="center" vertical="center" wrapText="1"/>
    </xf>
    <xf numFmtId="165" fontId="15" fillId="2" borderId="15" xfId="0" applyNumberFormat="1" applyFont="1" applyFill="1" applyBorder="1" applyAlignment="1">
      <alignment horizontal="center" vertical="center" wrapText="1"/>
    </xf>
    <xf numFmtId="0" fontId="30" fillId="10" borderId="41" xfId="0" applyFont="1" applyFill="1" applyBorder="1" applyAlignment="1">
      <alignment horizontal="center" vertical="center" wrapText="1"/>
    </xf>
    <xf numFmtId="0" fontId="22" fillId="2" borderId="14" xfId="0" applyFont="1" applyFill="1" applyBorder="1" applyAlignment="1">
      <alignment horizontal="center" vertical="center"/>
    </xf>
    <xf numFmtId="0" fontId="24" fillId="2" borderId="16" xfId="0" applyFont="1" applyFill="1" applyBorder="1" applyAlignment="1">
      <alignment horizontal="left" vertical="center"/>
    </xf>
    <xf numFmtId="0" fontId="24" fillId="2" borderId="55" xfId="0" applyFont="1" applyFill="1" applyBorder="1" applyAlignment="1">
      <alignment horizontal="center" vertical="center"/>
    </xf>
    <xf numFmtId="0" fontId="5" fillId="2" borderId="0" xfId="0" applyFont="1" applyFill="1" applyAlignment="1">
      <alignment horizontal="center" vertical="center"/>
    </xf>
    <xf numFmtId="0" fontId="8" fillId="0" borderId="0" xfId="0" applyFont="1" applyAlignment="1">
      <alignment vertical="center" wrapText="1"/>
    </xf>
    <xf numFmtId="0" fontId="60" fillId="2" borderId="0" xfId="0" applyFont="1" applyFill="1" applyAlignment="1">
      <alignment horizontal="center" vertical="center"/>
    </xf>
    <xf numFmtId="0" fontId="6" fillId="2" borderId="0" xfId="0" applyFont="1" applyFill="1" applyAlignment="1">
      <alignment horizontal="center" vertical="center"/>
    </xf>
    <xf numFmtId="0" fontId="70" fillId="0" borderId="0" xfId="0" applyFont="1" applyAlignment="1">
      <alignment vertical="center" wrapText="1"/>
    </xf>
    <xf numFmtId="0" fontId="2" fillId="2" borderId="0" xfId="0" applyFont="1" applyFill="1" applyAlignment="1">
      <alignment horizontal="center" vertical="center"/>
    </xf>
    <xf numFmtId="0" fontId="76" fillId="10" borderId="37" xfId="0" applyFont="1" applyFill="1" applyBorder="1" applyAlignment="1">
      <alignment horizontal="center" vertical="center" wrapText="1"/>
    </xf>
    <xf numFmtId="0" fontId="76" fillId="10" borderId="53" xfId="0" applyFont="1" applyFill="1" applyBorder="1" applyAlignment="1">
      <alignment horizontal="center" vertical="center" wrapText="1"/>
    </xf>
    <xf numFmtId="0" fontId="76" fillId="10" borderId="38" xfId="0" applyFont="1" applyFill="1" applyBorder="1" applyAlignment="1">
      <alignment horizontal="center" vertical="center" wrapText="1"/>
    </xf>
    <xf numFmtId="0" fontId="48" fillId="2" borderId="3" xfId="0" applyFont="1" applyFill="1" applyBorder="1" applyAlignment="1">
      <alignment horizontal="center" vertical="center" wrapText="1"/>
    </xf>
    <xf numFmtId="0" fontId="45" fillId="3" borderId="4" xfId="0" applyFont="1" applyFill="1" applyBorder="1" applyAlignment="1">
      <alignment horizontal="center" vertical="center"/>
    </xf>
    <xf numFmtId="0" fontId="45" fillId="3" borderId="4" xfId="0" applyFont="1" applyFill="1" applyBorder="1" applyAlignment="1">
      <alignment horizontal="center" vertical="center" wrapText="1"/>
    </xf>
    <xf numFmtId="15" fontId="45" fillId="3" borderId="4" xfId="0" applyNumberFormat="1" applyFont="1" applyFill="1" applyBorder="1" applyAlignment="1">
      <alignment horizontal="center" vertical="center" wrapText="1"/>
    </xf>
    <xf numFmtId="0" fontId="14" fillId="27" borderId="4" xfId="0" applyFont="1" applyFill="1" applyBorder="1" applyAlignment="1">
      <alignment horizontal="center" vertical="center" wrapText="1"/>
    </xf>
    <xf numFmtId="0" fontId="5" fillId="27" borderId="4" xfId="0" applyFont="1" applyFill="1" applyBorder="1" applyAlignment="1">
      <alignment horizontal="left" vertical="center" wrapText="1"/>
    </xf>
    <xf numFmtId="0" fontId="14" fillId="29" borderId="6" xfId="0" applyFont="1" applyFill="1" applyBorder="1" applyAlignment="1">
      <alignment horizontal="center" vertical="center" wrapText="1"/>
    </xf>
    <xf numFmtId="0" fontId="5" fillId="29" borderId="4" xfId="0" applyFont="1" applyFill="1" applyBorder="1" applyAlignment="1">
      <alignment horizontal="center" vertical="center" wrapText="1"/>
    </xf>
    <xf numFmtId="0" fontId="4" fillId="29" borderId="4" xfId="0" applyFont="1" applyFill="1" applyBorder="1" applyAlignment="1">
      <alignment horizontal="center" vertical="center" wrapText="1"/>
    </xf>
    <xf numFmtId="0" fontId="77" fillId="2" borderId="3" xfId="0" applyFont="1" applyFill="1" applyBorder="1" applyAlignment="1">
      <alignment horizontal="center" vertical="center" wrapText="1"/>
    </xf>
    <xf numFmtId="0" fontId="14" fillId="29" borderId="4" xfId="0" applyFont="1" applyFill="1" applyBorder="1" applyAlignment="1">
      <alignment horizontal="center" vertical="center" wrapText="1"/>
    </xf>
    <xf numFmtId="0" fontId="2" fillId="29" borderId="4" xfId="0" applyFont="1" applyFill="1" applyBorder="1" applyAlignment="1">
      <alignment horizontal="center" vertical="center" wrapText="1"/>
    </xf>
    <xf numFmtId="0" fontId="12" fillId="29" borderId="4" xfId="0" applyFont="1" applyFill="1" applyBorder="1" applyAlignment="1">
      <alignment horizontal="center" vertical="center" wrapText="1"/>
    </xf>
    <xf numFmtId="0" fontId="77" fillId="2" borderId="24"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14" fillId="29" borderId="24" xfId="0" applyFont="1" applyFill="1" applyBorder="1" applyAlignment="1">
      <alignment horizontal="center" vertical="center" wrapText="1"/>
    </xf>
    <xf numFmtId="0" fontId="2" fillId="29" borderId="24"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7" borderId="4" xfId="0" applyFont="1" applyFill="1" applyBorder="1" applyAlignment="1">
      <alignment horizontal="center" vertical="center" wrapText="1"/>
    </xf>
    <xf numFmtId="14" fontId="12" fillId="27" borderId="4" xfId="0" applyNumberFormat="1"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4" fillId="27" borderId="6" xfId="0" applyFont="1" applyFill="1" applyBorder="1" applyAlignment="1">
      <alignment horizontal="center" vertical="center" wrapText="1"/>
    </xf>
    <xf numFmtId="0" fontId="2" fillId="27" borderId="6" xfId="0" applyFont="1" applyFill="1" applyBorder="1" applyAlignment="1">
      <alignment horizontal="center" vertical="center" wrapText="1"/>
    </xf>
    <xf numFmtId="166" fontId="12" fillId="27" borderId="4" xfId="0" applyNumberFormat="1"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27" borderId="3" xfId="0" applyFont="1" applyFill="1" applyBorder="1" applyAlignment="1">
      <alignment horizontal="center" vertical="center" wrapText="1"/>
    </xf>
    <xf numFmtId="0" fontId="12" fillId="3" borderId="3" xfId="0" applyFont="1" applyFill="1" applyBorder="1" applyAlignment="1">
      <alignment horizontal="center" vertical="center" wrapText="1"/>
    </xf>
    <xf numFmtId="165" fontId="76" fillId="10" borderId="38" xfId="0" applyNumberFormat="1" applyFont="1" applyFill="1" applyBorder="1" applyAlignment="1">
      <alignment horizontal="center" vertical="center" wrapText="1"/>
    </xf>
    <xf numFmtId="14" fontId="76" fillId="10" borderId="38" xfId="0" applyNumberFormat="1" applyFont="1" applyFill="1" applyBorder="1" applyAlignment="1">
      <alignment horizontal="center" vertical="center" wrapText="1"/>
    </xf>
    <xf numFmtId="10" fontId="76" fillId="10" borderId="38" xfId="0" applyNumberFormat="1" applyFont="1" applyFill="1" applyBorder="1" applyAlignment="1">
      <alignment horizontal="center" vertical="center" wrapText="1"/>
    </xf>
    <xf numFmtId="4" fontId="76" fillId="10" borderId="38" xfId="0" applyNumberFormat="1" applyFont="1" applyFill="1" applyBorder="1" applyAlignment="1">
      <alignment horizontal="center" vertical="center" wrapText="1"/>
    </xf>
    <xf numFmtId="0" fontId="76" fillId="10" borderId="41" xfId="0" applyFont="1" applyFill="1" applyBorder="1" applyAlignment="1">
      <alignment horizontal="center" vertical="center" wrapText="1"/>
    </xf>
    <xf numFmtId="166" fontId="48" fillId="3" borderId="4" xfId="2" applyNumberFormat="1" applyFont="1" applyFill="1" applyBorder="1" applyAlignment="1">
      <alignment horizontal="center" vertical="center" wrapText="1"/>
    </xf>
    <xf numFmtId="9" fontId="45" fillId="3" borderId="4" xfId="0" applyNumberFormat="1" applyFont="1" applyFill="1" applyBorder="1" applyAlignment="1">
      <alignment horizontal="center" vertical="center"/>
    </xf>
    <xf numFmtId="166" fontId="4" fillId="3" borderId="4" xfId="2" applyNumberFormat="1" applyFont="1" applyFill="1" applyBorder="1" applyAlignment="1">
      <alignment horizontal="center" vertical="center" wrapText="1"/>
    </xf>
    <xf numFmtId="166" fontId="4" fillId="27" borderId="4" xfId="2" applyNumberFormat="1" applyFont="1" applyFill="1" applyBorder="1" applyAlignment="1">
      <alignment horizontal="center" vertical="center" wrapText="1"/>
    </xf>
    <xf numFmtId="9" fontId="4" fillId="27" borderId="4" xfId="1" applyNumberFormat="1" applyFont="1" applyFill="1" applyBorder="1" applyAlignment="1">
      <alignment horizontal="center" vertical="center" wrapText="1"/>
    </xf>
    <xf numFmtId="4" fontId="4" fillId="27" borderId="4" xfId="1" applyNumberFormat="1" applyFont="1" applyFill="1" applyBorder="1" applyAlignment="1">
      <alignment horizontal="center" vertical="center" wrapText="1"/>
    </xf>
    <xf numFmtId="166" fontId="4" fillId="29" borderId="6" xfId="2" applyNumberFormat="1" applyFont="1" applyFill="1" applyBorder="1" applyAlignment="1">
      <alignment horizontal="center" vertical="center" wrapText="1"/>
    </xf>
    <xf numFmtId="9" fontId="4" fillId="29" borderId="6" xfId="1" applyNumberFormat="1" applyFont="1" applyFill="1" applyBorder="1" applyAlignment="1">
      <alignment horizontal="center" vertical="center" wrapText="1"/>
    </xf>
    <xf numFmtId="4" fontId="4" fillId="29" borderId="6" xfId="1" applyNumberFormat="1" applyFont="1" applyFill="1" applyBorder="1" applyAlignment="1">
      <alignment horizontal="center" vertical="center" wrapText="1"/>
    </xf>
    <xf numFmtId="166" fontId="12" fillId="29" borderId="4" xfId="2" applyNumberFormat="1" applyFont="1" applyFill="1" applyBorder="1" applyAlignment="1">
      <alignment horizontal="center" vertical="center" wrapText="1"/>
    </xf>
    <xf numFmtId="9" fontId="12" fillId="29" borderId="4" xfId="1" applyNumberFormat="1" applyFont="1" applyFill="1" applyBorder="1" applyAlignment="1">
      <alignment horizontal="center" vertical="center" wrapText="1"/>
    </xf>
    <xf numFmtId="9" fontId="12" fillId="3" borderId="6" xfId="1" applyNumberFormat="1" applyFont="1" applyFill="1" applyBorder="1" applyAlignment="1">
      <alignment horizontal="center" vertical="center" wrapText="1"/>
    </xf>
    <xf numFmtId="166" fontId="12" fillId="29" borderId="24" xfId="0" applyNumberFormat="1" applyFont="1" applyFill="1" applyBorder="1" applyAlignment="1">
      <alignment horizontal="center" vertical="center" wrapText="1"/>
    </xf>
    <xf numFmtId="9" fontId="12" fillId="29" borderId="24" xfId="1" applyNumberFormat="1" applyFont="1" applyFill="1" applyBorder="1" applyAlignment="1">
      <alignment horizontal="center" vertical="center" wrapText="1"/>
    </xf>
    <xf numFmtId="4" fontId="12" fillId="29" borderId="24" xfId="1" applyNumberFormat="1" applyFont="1" applyFill="1" applyBorder="1" applyAlignment="1">
      <alignment horizontal="center" vertical="center" wrapText="1"/>
    </xf>
    <xf numFmtId="166" fontId="12" fillId="29" borderId="4" xfId="0" applyNumberFormat="1" applyFont="1" applyFill="1" applyBorder="1" applyAlignment="1">
      <alignment horizontal="center" vertical="center" wrapText="1"/>
    </xf>
    <xf numFmtId="4" fontId="12" fillId="29" borderId="4" xfId="1" applyNumberFormat="1" applyFont="1" applyFill="1" applyBorder="1" applyAlignment="1">
      <alignment horizontal="center" vertical="center" wrapText="1"/>
    </xf>
    <xf numFmtId="166" fontId="12" fillId="3" borderId="6" xfId="2" applyNumberFormat="1" applyFont="1" applyFill="1" applyBorder="1" applyAlignment="1">
      <alignment horizontal="center" vertical="center" wrapText="1"/>
    </xf>
    <xf numFmtId="0" fontId="12" fillId="3" borderId="6" xfId="0" applyFont="1" applyFill="1" applyBorder="1" applyAlignment="1">
      <alignment horizontal="center" vertical="center" wrapText="1"/>
    </xf>
    <xf numFmtId="166" fontId="12" fillId="27" borderId="4" xfId="2" applyNumberFormat="1" applyFont="1" applyFill="1" applyBorder="1" applyAlignment="1">
      <alignment horizontal="center" vertical="center" wrapText="1"/>
    </xf>
    <xf numFmtId="9" fontId="12" fillId="27" borderId="4" xfId="1" applyNumberFormat="1" applyFont="1" applyFill="1" applyBorder="1" applyAlignment="1">
      <alignment horizontal="center" vertical="center" wrapText="1"/>
    </xf>
    <xf numFmtId="4" fontId="12" fillId="27" borderId="4" xfId="1" applyNumberFormat="1" applyFont="1" applyFill="1" applyBorder="1" applyAlignment="1">
      <alignment horizontal="center" vertical="center" wrapText="1"/>
    </xf>
    <xf numFmtId="4" fontId="2" fillId="27" borderId="4" xfId="1" applyNumberFormat="1" applyFont="1" applyFill="1" applyBorder="1" applyAlignment="1">
      <alignment horizontal="center" vertical="center" wrapText="1"/>
    </xf>
    <xf numFmtId="4" fontId="2" fillId="3" borderId="4" xfId="1" applyNumberFormat="1" applyFont="1" applyFill="1" applyBorder="1" applyAlignment="1">
      <alignment horizontal="center" vertical="center" wrapText="1"/>
    </xf>
    <xf numFmtId="166" fontId="12" fillId="3" borderId="4" xfId="2" applyNumberFormat="1" applyFont="1" applyFill="1" applyBorder="1" applyAlignment="1">
      <alignment horizontal="right" vertical="center" wrapText="1"/>
    </xf>
    <xf numFmtId="9" fontId="12" fillId="3" borderId="4" xfId="0" applyNumberFormat="1" applyFont="1" applyFill="1" applyBorder="1" applyAlignment="1">
      <alignment horizontal="center" vertical="center" wrapText="1"/>
    </xf>
    <xf numFmtId="166" fontId="12" fillId="27" borderId="4" xfId="2" applyNumberFormat="1" applyFont="1" applyFill="1" applyBorder="1" applyAlignment="1">
      <alignment horizontal="right" vertical="center" wrapText="1"/>
    </xf>
    <xf numFmtId="0" fontId="78" fillId="5" borderId="12" xfId="0" applyFont="1" applyFill="1" applyBorder="1" applyAlignment="1">
      <alignment vertical="center" wrapText="1"/>
    </xf>
    <xf numFmtId="0" fontId="76" fillId="10" borderId="13" xfId="0" applyFont="1" applyFill="1" applyBorder="1" applyAlignment="1">
      <alignment horizontal="center" vertical="center" wrapText="1"/>
    </xf>
    <xf numFmtId="0" fontId="48" fillId="2" borderId="5" xfId="0" applyFont="1" applyFill="1" applyBorder="1" applyAlignment="1">
      <alignment horizontal="center" vertical="center" wrapText="1"/>
    </xf>
    <xf numFmtId="0" fontId="48" fillId="2" borderId="4" xfId="0" applyFont="1" applyFill="1" applyBorder="1" applyAlignment="1">
      <alignment vertical="center" wrapText="1"/>
    </xf>
    <xf numFmtId="0" fontId="4" fillId="2" borderId="15" xfId="0" applyFont="1" applyFill="1" applyBorder="1" applyAlignment="1">
      <alignment horizontal="left" vertical="center" wrapText="1"/>
    </xf>
    <xf numFmtId="0" fontId="79" fillId="0" borderId="0" xfId="0" applyFont="1" applyAlignment="1">
      <alignment vertical="center"/>
    </xf>
    <xf numFmtId="0" fontId="12" fillId="2" borderId="14" xfId="0" applyFont="1" applyFill="1" applyBorder="1" applyAlignment="1">
      <alignment horizontal="left" vertical="center" wrapText="1"/>
    </xf>
    <xf numFmtId="0" fontId="70" fillId="0" borderId="0" xfId="0" applyFont="1" applyAlignment="1">
      <alignment horizontal="left" vertical="center" wrapText="1"/>
    </xf>
    <xf numFmtId="0" fontId="12" fillId="2" borderId="15" xfId="0" applyFont="1" applyFill="1" applyBorder="1" applyAlignment="1">
      <alignment horizontal="left" vertical="center" wrapText="1"/>
    </xf>
    <xf numFmtId="0" fontId="2" fillId="2" borderId="0" xfId="0" applyFont="1" applyFill="1" applyAlignment="1">
      <alignment horizontal="left" vertical="center" wrapText="1"/>
    </xf>
    <xf numFmtId="0" fontId="6" fillId="2" borderId="14" xfId="0" applyFont="1" applyFill="1" applyBorder="1" applyAlignment="1">
      <alignment horizontal="left" vertical="center" wrapText="1"/>
    </xf>
    <xf numFmtId="0" fontId="5" fillId="0" borderId="0" xfId="0" applyFont="1" applyAlignment="1">
      <alignment vertical="center"/>
    </xf>
    <xf numFmtId="0" fontId="76" fillId="10" borderId="18" xfId="0" applyFont="1" applyFill="1" applyBorder="1" applyAlignment="1">
      <alignment horizontal="center" vertical="center" wrapText="1"/>
    </xf>
    <xf numFmtId="0" fontId="76" fillId="10" borderId="40" xfId="0" applyFont="1" applyFill="1" applyBorder="1" applyAlignment="1">
      <alignment horizontal="center" vertical="center" wrapText="1"/>
    </xf>
    <xf numFmtId="0" fontId="76" fillId="10" borderId="19"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2" fillId="7" borderId="4"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2" fillId="2" borderId="47" xfId="0" applyFont="1" applyFill="1" applyBorder="1" applyAlignment="1">
      <alignment horizontal="center" vertical="center" wrapText="1"/>
    </xf>
    <xf numFmtId="0" fontId="2" fillId="3" borderId="6" xfId="0" applyFont="1" applyFill="1" applyBorder="1" applyAlignment="1">
      <alignment horizontal="center" vertical="center" wrapText="1"/>
    </xf>
    <xf numFmtId="166" fontId="12" fillId="3" borderId="4" xfId="0" applyNumberFormat="1"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7" fillId="0" borderId="0" xfId="0" applyFont="1" applyAlignment="1">
      <alignment horizontal="center" vertical="center"/>
    </xf>
    <xf numFmtId="165" fontId="76" fillId="10" borderId="19" xfId="0" applyNumberFormat="1" applyFont="1" applyFill="1" applyBorder="1" applyAlignment="1">
      <alignment horizontal="center" vertical="center" wrapText="1"/>
    </xf>
    <xf numFmtId="14" fontId="76" fillId="10" borderId="19" xfId="0" applyNumberFormat="1" applyFont="1" applyFill="1" applyBorder="1" applyAlignment="1">
      <alignment horizontal="center" vertical="center" wrapText="1"/>
    </xf>
    <xf numFmtId="10" fontId="76" fillId="10" borderId="19" xfId="0" applyNumberFormat="1" applyFont="1" applyFill="1" applyBorder="1" applyAlignment="1">
      <alignment horizontal="center" vertical="center" wrapText="1"/>
    </xf>
    <xf numFmtId="4" fontId="76" fillId="10" borderId="19" xfId="0" applyNumberFormat="1" applyFont="1" applyFill="1" applyBorder="1" applyAlignment="1">
      <alignment horizontal="center" vertical="center" wrapText="1"/>
    </xf>
    <xf numFmtId="0" fontId="76" fillId="10" borderId="27" xfId="0" applyFont="1" applyFill="1" applyBorder="1" applyAlignment="1">
      <alignment horizontal="center" vertical="center" wrapText="1"/>
    </xf>
    <xf numFmtId="9"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166" fontId="12" fillId="7" borderId="4" xfId="2" applyNumberFormat="1" applyFont="1" applyFill="1" applyBorder="1" applyAlignment="1">
      <alignment horizontal="center" vertical="center" wrapText="1"/>
    </xf>
    <xf numFmtId="9" fontId="12" fillId="7" borderId="4" xfId="1" applyNumberFormat="1" applyFont="1" applyFill="1" applyBorder="1" applyAlignment="1">
      <alignment horizontal="center" vertical="center" wrapText="1"/>
    </xf>
    <xf numFmtId="166" fontId="4" fillId="27" borderId="4" xfId="0" applyNumberFormat="1" applyFont="1" applyFill="1" applyBorder="1" applyAlignment="1">
      <alignment horizontal="center" vertical="center" wrapText="1"/>
    </xf>
    <xf numFmtId="166" fontId="12" fillId="7" borderId="24" xfId="2" applyNumberFormat="1" applyFont="1" applyFill="1" applyBorder="1" applyAlignment="1">
      <alignment horizontal="center" vertical="center" wrapText="1"/>
    </xf>
    <xf numFmtId="9" fontId="12" fillId="7" borderId="24" xfId="1" applyNumberFormat="1" applyFont="1" applyFill="1" applyBorder="1" applyAlignment="1">
      <alignment horizontal="center" vertical="center" wrapText="1"/>
    </xf>
    <xf numFmtId="4" fontId="12" fillId="7" borderId="24" xfId="1" applyNumberFormat="1" applyFont="1" applyFill="1" applyBorder="1" applyAlignment="1">
      <alignment horizontal="center" vertical="center" wrapText="1"/>
    </xf>
    <xf numFmtId="166" fontId="12" fillId="7" borderId="6" xfId="2" applyNumberFormat="1" applyFont="1" applyFill="1" applyBorder="1" applyAlignment="1">
      <alignment horizontal="center" vertical="center" wrapText="1"/>
    </xf>
    <xf numFmtId="9" fontId="12" fillId="7" borderId="6" xfId="1" applyNumberFormat="1" applyFont="1" applyFill="1" applyBorder="1" applyAlignment="1">
      <alignment horizontal="center" vertical="center" wrapText="1"/>
    </xf>
    <xf numFmtId="4" fontId="12" fillId="7" borderId="6" xfId="1" applyNumberFormat="1" applyFont="1" applyFill="1" applyBorder="1" applyAlignment="1">
      <alignment horizontal="center" vertical="center" wrapText="1"/>
    </xf>
    <xf numFmtId="4" fontId="12" fillId="3" borderId="4" xfId="1" applyNumberFormat="1" applyFont="1" applyFill="1" applyBorder="1" applyAlignment="1">
      <alignment horizontal="center" vertical="center" wrapText="1"/>
    </xf>
    <xf numFmtId="2" fontId="12" fillId="3" borderId="4" xfId="0" applyNumberFormat="1" applyFont="1" applyFill="1" applyBorder="1" applyAlignment="1">
      <alignment horizontal="center" vertical="center" wrapText="1"/>
    </xf>
    <xf numFmtId="4" fontId="12" fillId="7" borderId="4" xfId="1" applyNumberFormat="1" applyFont="1" applyFill="1" applyBorder="1" applyAlignment="1">
      <alignment horizontal="center" vertical="center" wrapText="1"/>
    </xf>
    <xf numFmtId="4" fontId="2" fillId="3" borderId="6" xfId="1" applyNumberFormat="1" applyFont="1" applyFill="1" applyBorder="1" applyAlignment="1">
      <alignment horizontal="center" vertical="center" wrapText="1"/>
    </xf>
    <xf numFmtId="166" fontId="12" fillId="3" borderId="4" xfId="0" applyNumberFormat="1" applyFont="1" applyFill="1" applyBorder="1" applyAlignment="1">
      <alignment horizontal="left" vertical="center" wrapText="1"/>
    </xf>
    <xf numFmtId="4" fontId="2" fillId="7" borderId="4" xfId="1" applyNumberFormat="1" applyFont="1" applyFill="1" applyBorder="1" applyAlignment="1">
      <alignment horizontal="center" vertical="center" wrapText="1"/>
    </xf>
    <xf numFmtId="166" fontId="12" fillId="3" borderId="24" xfId="2" applyNumberFormat="1" applyFont="1" applyFill="1" applyBorder="1" applyAlignment="1">
      <alignment horizontal="right" vertical="center" wrapText="1"/>
    </xf>
    <xf numFmtId="9" fontId="12" fillId="3" borderId="24" xfId="1" applyNumberFormat="1" applyFont="1" applyFill="1" applyBorder="1" applyAlignment="1">
      <alignment horizontal="center" vertical="center" wrapText="1"/>
    </xf>
    <xf numFmtId="4" fontId="2" fillId="3" borderId="24" xfId="1" applyNumberFormat="1" applyFont="1" applyFill="1" applyBorder="1" applyAlignment="1">
      <alignment horizontal="center" vertical="center" wrapText="1"/>
    </xf>
    <xf numFmtId="166" fontId="12" fillId="7" borderId="4" xfId="2" applyNumberFormat="1" applyFont="1" applyFill="1" applyBorder="1" applyAlignment="1">
      <alignment horizontal="right" vertical="center" wrapText="1"/>
    </xf>
    <xf numFmtId="9" fontId="12" fillId="7" borderId="4" xfId="0" applyNumberFormat="1" applyFont="1" applyFill="1" applyBorder="1" applyAlignment="1">
      <alignment horizontal="center" vertical="center" wrapText="1"/>
    </xf>
    <xf numFmtId="166" fontId="7" fillId="3" borderId="4" xfId="2" applyNumberFormat="1" applyFont="1" applyFill="1" applyBorder="1" applyAlignment="1">
      <alignment horizontal="right" vertical="center" wrapText="1"/>
    </xf>
    <xf numFmtId="4" fontId="15" fillId="3" borderId="4" xfId="1" applyNumberFormat="1" applyFont="1" applyFill="1" applyBorder="1" applyAlignment="1">
      <alignment horizontal="center" vertical="center" wrapText="1"/>
    </xf>
    <xf numFmtId="15" fontId="15" fillId="3" borderId="4" xfId="0" applyNumberFormat="1" applyFont="1" applyFill="1" applyBorder="1" applyAlignment="1">
      <alignment horizontal="center" vertical="center" wrapText="1"/>
    </xf>
    <xf numFmtId="166" fontId="12" fillId="12" borderId="4" xfId="2" applyNumberFormat="1" applyFont="1" applyFill="1" applyBorder="1" applyAlignment="1">
      <alignment horizontal="right" vertical="center" wrapText="1"/>
    </xf>
    <xf numFmtId="9" fontId="12" fillId="12" borderId="4" xfId="1" applyNumberFormat="1" applyFont="1" applyFill="1" applyBorder="1" applyAlignment="1">
      <alignment horizontal="center" vertical="center" wrapText="1"/>
    </xf>
    <xf numFmtId="4" fontId="2" fillId="12" borderId="4" xfId="1" applyNumberFormat="1" applyFont="1" applyFill="1" applyBorder="1" applyAlignment="1">
      <alignment horizontal="center" vertical="center" wrapText="1"/>
    </xf>
    <xf numFmtId="0" fontId="60" fillId="0" borderId="0" xfId="0" applyFont="1" applyAlignment="1">
      <alignment horizontal="center" vertical="center" wrapText="1"/>
    </xf>
    <xf numFmtId="165" fontId="38" fillId="4" borderId="12" xfId="0" applyNumberFormat="1" applyFont="1" applyFill="1" applyBorder="1" applyAlignment="1">
      <alignment vertical="center"/>
    </xf>
    <xf numFmtId="0" fontId="69" fillId="0" borderId="0" xfId="0" applyFont="1" applyAlignment="1">
      <alignment horizontal="center" vertical="center"/>
    </xf>
    <xf numFmtId="0" fontId="4" fillId="2" borderId="15" xfId="0" applyFont="1" applyFill="1" applyBorder="1" applyAlignment="1">
      <alignment horizontal="center" vertical="center" wrapText="1"/>
    </xf>
    <xf numFmtId="0" fontId="12" fillId="2" borderId="0" xfId="0" applyFont="1" applyFill="1" applyAlignment="1">
      <alignment horizontal="left" vertical="center" wrapText="1"/>
    </xf>
    <xf numFmtId="0" fontId="12" fillId="2" borderId="5" xfId="0" applyFont="1" applyFill="1" applyBorder="1" applyAlignment="1">
      <alignment horizontal="left" vertical="center" wrapText="1"/>
    </xf>
    <xf numFmtId="0" fontId="6" fillId="2" borderId="14" xfId="0" applyFont="1" applyFill="1" applyBorder="1" applyAlignment="1">
      <alignment horizontal="left" vertical="center"/>
    </xf>
    <xf numFmtId="0" fontId="52" fillId="2" borderId="0" xfId="0" applyFont="1" applyFill="1" applyAlignment="1">
      <alignment horizontal="center" vertical="center"/>
    </xf>
    <xf numFmtId="0" fontId="80" fillId="0" borderId="0" xfId="0" applyFont="1" applyAlignment="1">
      <alignment horizontal="center" vertical="center"/>
    </xf>
    <xf numFmtId="0" fontId="81" fillId="0" borderId="0" xfId="0" applyFont="1"/>
    <xf numFmtId="0" fontId="82" fillId="0" borderId="0" xfId="0" applyFont="1"/>
    <xf numFmtId="0" fontId="82" fillId="0" borderId="0" xfId="0" applyFont="1" applyAlignment="1">
      <alignment wrapText="1"/>
    </xf>
    <xf numFmtId="0" fontId="83" fillId="0" borderId="0" xfId="0" applyFont="1" applyAlignment="1">
      <alignment horizontal="center" vertical="center"/>
    </xf>
    <xf numFmtId="0" fontId="81" fillId="30" borderId="57" xfId="0" applyFont="1" applyFill="1" applyBorder="1" applyAlignment="1">
      <alignment vertical="top"/>
    </xf>
    <xf numFmtId="0" fontId="84" fillId="30" borderId="6" xfId="0" applyFont="1" applyFill="1" applyBorder="1" applyAlignment="1">
      <alignment horizontal="center" vertical="top"/>
    </xf>
    <xf numFmtId="0" fontId="81" fillId="30" borderId="6" xfId="0" applyFont="1" applyFill="1" applyBorder="1" applyAlignment="1">
      <alignment horizontal="left" vertical="top" wrapText="1"/>
    </xf>
    <xf numFmtId="0" fontId="81" fillId="30" borderId="6" xfId="0" applyFont="1" applyFill="1" applyBorder="1" applyAlignment="1">
      <alignment horizontal="center" vertical="top"/>
    </xf>
    <xf numFmtId="0" fontId="85" fillId="30" borderId="35" xfId="4" applyFont="1" applyFill="1" applyBorder="1" applyAlignment="1">
      <alignment horizontal="center" vertical="top"/>
    </xf>
    <xf numFmtId="0" fontId="81" fillId="30" borderId="6" xfId="0" applyFont="1" applyFill="1" applyBorder="1" applyAlignment="1">
      <alignment horizontal="center" vertical="center"/>
    </xf>
    <xf numFmtId="0" fontId="84" fillId="2" borderId="3" xfId="0" applyFont="1" applyFill="1" applyBorder="1" applyAlignment="1">
      <alignment horizontal="center" vertical="center"/>
    </xf>
    <xf numFmtId="0" fontId="81" fillId="0" borderId="4" xfId="0" applyFont="1" applyBorder="1" applyAlignment="1">
      <alignment horizontal="center" vertical="center"/>
    </xf>
    <xf numFmtId="0" fontId="81" fillId="2" borderId="4" xfId="0" applyFont="1" applyFill="1" applyBorder="1" applyAlignment="1">
      <alignment horizontal="center" vertical="center"/>
    </xf>
    <xf numFmtId="0" fontId="85" fillId="2" borderId="4" xfId="4" applyFont="1" applyFill="1" applyBorder="1" applyAlignment="1">
      <alignment horizontal="center" vertical="center"/>
    </xf>
    <xf numFmtId="0" fontId="81" fillId="0" borderId="9" xfId="0" applyFont="1" applyBorder="1" applyAlignment="1">
      <alignment horizontal="center" vertical="center"/>
    </xf>
    <xf numFmtId="0" fontId="81" fillId="0" borderId="0" xfId="0" applyFont="1" applyAlignment="1">
      <alignment horizontal="center" vertical="center"/>
    </xf>
    <xf numFmtId="0" fontId="84" fillId="2" borderId="1" xfId="0" applyFont="1" applyFill="1" applyBorder="1" applyAlignment="1">
      <alignment horizontal="center" vertical="center"/>
    </xf>
    <xf numFmtId="0" fontId="86" fillId="2" borderId="11" xfId="4" applyFont="1" applyFill="1" applyBorder="1" applyAlignment="1">
      <alignment horizontal="center" vertical="center"/>
    </xf>
    <xf numFmtId="0" fontId="80" fillId="0" borderId="4" xfId="0" applyFont="1" applyBorder="1" applyAlignment="1">
      <alignment horizontal="left" vertical="top"/>
    </xf>
    <xf numFmtId="0" fontId="84" fillId="2" borderId="4" xfId="0" applyFont="1" applyFill="1" applyBorder="1" applyAlignment="1">
      <alignment horizontal="center" vertical="center"/>
    </xf>
    <xf numFmtId="0" fontId="86" fillId="2" borderId="4" xfId="4" applyFont="1" applyFill="1" applyBorder="1" applyAlignment="1">
      <alignment horizontal="center" vertical="center"/>
    </xf>
    <xf numFmtId="0" fontId="81" fillId="0" borderId="0" xfId="0" applyFont="1" applyAlignment="1">
      <alignment vertical="top"/>
    </xf>
    <xf numFmtId="0" fontId="84" fillId="2" borderId="4" xfId="0" applyFont="1" applyFill="1" applyBorder="1" applyAlignment="1">
      <alignment horizontal="center" vertical="top"/>
    </xf>
    <xf numFmtId="0" fontId="81" fillId="7" borderId="4" xfId="0" applyFont="1" applyFill="1" applyBorder="1" applyAlignment="1">
      <alignment horizontal="left" vertical="top" wrapText="1"/>
    </xf>
    <xf numFmtId="0" fontId="81" fillId="0" borderId="4" xfId="0" applyFont="1" applyBorder="1" applyAlignment="1">
      <alignment horizontal="center" vertical="top"/>
    </xf>
    <xf numFmtId="0" fontId="83" fillId="0" borderId="4" xfId="0" applyFont="1" applyBorder="1" applyAlignment="1">
      <alignment horizontal="center" vertical="center"/>
    </xf>
    <xf numFmtId="0" fontId="81" fillId="3" borderId="4" xfId="0" applyFont="1" applyFill="1" applyBorder="1" applyAlignment="1">
      <alignment horizontal="left" vertical="top" wrapText="1"/>
    </xf>
    <xf numFmtId="0" fontId="85" fillId="0" borderId="4" xfId="4" applyFont="1" applyBorder="1" applyAlignment="1">
      <alignment horizontal="center" vertical="top"/>
    </xf>
    <xf numFmtId="0" fontId="80" fillId="4" borderId="58" xfId="0" applyFont="1" applyFill="1" applyBorder="1" applyAlignment="1">
      <alignment vertical="top"/>
    </xf>
    <xf numFmtId="0" fontId="84" fillId="4" borderId="4" xfId="0" applyFont="1" applyFill="1" applyBorder="1" applyAlignment="1">
      <alignment horizontal="center" vertical="top"/>
    </xf>
    <xf numFmtId="0" fontId="84" fillId="4" borderId="4" xfId="0" applyFont="1" applyFill="1" applyBorder="1" applyAlignment="1">
      <alignment horizontal="center" vertical="top" wrapText="1"/>
    </xf>
    <xf numFmtId="0" fontId="81" fillId="4" borderId="4" xfId="0" applyFont="1" applyFill="1" applyBorder="1" applyAlignment="1">
      <alignment horizontal="center" vertical="top"/>
    </xf>
    <xf numFmtId="0" fontId="87" fillId="4" borderId="4" xfId="4" applyFont="1" applyFill="1" applyBorder="1" applyAlignment="1">
      <alignment horizontal="center" vertical="top"/>
    </xf>
    <xf numFmtId="0" fontId="81" fillId="0" borderId="0" xfId="0" applyFont="1" applyAlignment="1">
      <alignment horizontal="center" vertical="top"/>
    </xf>
    <xf numFmtId="0" fontId="81" fillId="2" borderId="4" xfId="0" applyFont="1" applyFill="1" applyBorder="1" applyAlignment="1">
      <alignment horizontal="center" vertical="top"/>
    </xf>
    <xf numFmtId="0" fontId="85" fillId="2" borderId="4" xfId="4" applyFont="1" applyFill="1" applyBorder="1" applyAlignment="1">
      <alignment horizontal="center" vertical="top"/>
    </xf>
    <xf numFmtId="0" fontId="86" fillId="0" borderId="4" xfId="4" applyFont="1" applyBorder="1" applyAlignment="1">
      <alignment horizontal="center" vertical="top"/>
    </xf>
    <xf numFmtId="0" fontId="81" fillId="0" borderId="57" xfId="0" applyFont="1" applyBorder="1" applyAlignment="1">
      <alignment vertical="top"/>
    </xf>
    <xf numFmtId="0" fontId="86" fillId="2" borderId="4" xfId="4" applyFont="1" applyFill="1" applyBorder="1" applyAlignment="1">
      <alignment horizontal="center" vertical="top"/>
    </xf>
    <xf numFmtId="0" fontId="81" fillId="0" borderId="4" xfId="0" applyFont="1" applyBorder="1" applyAlignment="1">
      <alignment horizontal="left" vertical="top" wrapText="1"/>
    </xf>
    <xf numFmtId="0" fontId="80" fillId="0" borderId="0" xfId="0" applyFont="1" applyAlignment="1">
      <alignment horizontal="center" vertical="top"/>
    </xf>
    <xf numFmtId="0" fontId="80" fillId="2" borderId="0" xfId="0" applyFont="1" applyFill="1" applyAlignment="1">
      <alignment horizontal="center" vertical="top"/>
    </xf>
    <xf numFmtId="0" fontId="84" fillId="2" borderId="59" xfId="0" applyFont="1" applyFill="1" applyBorder="1" applyAlignment="1">
      <alignment horizontal="center" vertical="top"/>
    </xf>
    <xf numFmtId="0" fontId="87" fillId="2" borderId="4" xfId="4" applyFont="1" applyFill="1" applyBorder="1" applyAlignment="1">
      <alignment horizontal="center" vertical="top"/>
    </xf>
    <xf numFmtId="0" fontId="80" fillId="0" borderId="15" xfId="0" applyFont="1" applyBorder="1" applyAlignment="1">
      <alignment horizontal="center" vertical="top"/>
    </xf>
    <xf numFmtId="0" fontId="80" fillId="0" borderId="59" xfId="0" applyFont="1" applyBorder="1" applyAlignment="1">
      <alignment horizontal="center" vertical="top"/>
    </xf>
    <xf numFmtId="0" fontId="80" fillId="0" borderId="59" xfId="0" applyFont="1" applyBorder="1" applyAlignment="1">
      <alignment vertical="top"/>
    </xf>
    <xf numFmtId="0" fontId="88" fillId="2" borderId="58" xfId="0" applyFont="1" applyFill="1" applyBorder="1" applyAlignment="1">
      <alignment horizontal="center" vertical="top"/>
    </xf>
    <xf numFmtId="0" fontId="84" fillId="3" borderId="4" xfId="0" applyFont="1" applyFill="1" applyBorder="1" applyAlignment="1">
      <alignment horizontal="left" vertical="top" wrapText="1"/>
    </xf>
    <xf numFmtId="0" fontId="80" fillId="0" borderId="3" xfId="0" applyFont="1" applyBorder="1" applyAlignment="1">
      <alignment horizontal="center" vertical="top"/>
    </xf>
    <xf numFmtId="0" fontId="87" fillId="2" borderId="11" xfId="4" applyFont="1" applyFill="1" applyBorder="1" applyAlignment="1">
      <alignment horizontal="center" vertical="top"/>
    </xf>
    <xf numFmtId="0" fontId="86" fillId="2" borderId="11" xfId="4" applyFont="1" applyFill="1" applyBorder="1" applyAlignment="1">
      <alignment horizontal="center" vertical="top" wrapText="1"/>
    </xf>
    <xf numFmtId="0" fontId="86" fillId="2" borderId="11" xfId="4" applyFont="1" applyFill="1" applyBorder="1" applyAlignment="1">
      <alignment horizontal="center" vertical="top"/>
    </xf>
    <xf numFmtId="0" fontId="85" fillId="2" borderId="11" xfId="4" applyFont="1" applyFill="1" applyBorder="1" applyAlignment="1">
      <alignment horizontal="center" vertical="top"/>
    </xf>
    <xf numFmtId="0" fontId="87" fillId="2" borderId="11" xfId="4" applyFont="1" applyFill="1" applyBorder="1" applyAlignment="1">
      <alignment horizontal="center" vertical="top" wrapText="1"/>
    </xf>
    <xf numFmtId="0" fontId="84" fillId="15" borderId="4" xfId="0" applyFont="1" applyFill="1" applyBorder="1" applyAlignment="1">
      <alignment horizontal="left" vertical="top" wrapText="1"/>
    </xf>
    <xf numFmtId="0" fontId="88" fillId="2" borderId="3" xfId="0" applyFont="1" applyFill="1" applyBorder="1" applyAlignment="1">
      <alignment horizontal="center" vertical="top"/>
    </xf>
    <xf numFmtId="0" fontId="87" fillId="0" borderId="11" xfId="4" applyFont="1" applyBorder="1" applyAlignment="1">
      <alignment horizontal="center" vertical="top"/>
    </xf>
    <xf numFmtId="49" fontId="81" fillId="2" borderId="4" xfId="0" applyNumberFormat="1" applyFont="1" applyFill="1" applyBorder="1" applyAlignment="1">
      <alignment horizontal="center" vertical="top"/>
    </xf>
    <xf numFmtId="0" fontId="80" fillId="2" borderId="3" xfId="0" applyFont="1" applyFill="1" applyBorder="1" applyAlignment="1">
      <alignment horizontal="center" vertical="top"/>
    </xf>
    <xf numFmtId="0" fontId="84" fillId="2" borderId="4" xfId="0" applyFont="1" applyFill="1" applyBorder="1" applyAlignment="1">
      <alignment horizontal="center" vertical="top" wrapText="1"/>
    </xf>
    <xf numFmtId="0" fontId="84" fillId="16" borderId="4" xfId="0" applyFont="1" applyFill="1" applyBorder="1" applyAlignment="1">
      <alignment horizontal="left" vertical="top" wrapText="1"/>
    </xf>
    <xf numFmtId="0" fontId="80" fillId="0" borderId="3" xfId="0" applyFont="1" applyBorder="1" applyAlignment="1">
      <alignment vertical="top"/>
    </xf>
    <xf numFmtId="0" fontId="81" fillId="2" borderId="4" xfId="0" applyFont="1" applyFill="1" applyBorder="1" applyAlignment="1">
      <alignment horizontal="left" vertical="top" wrapText="1"/>
    </xf>
    <xf numFmtId="0" fontId="81" fillId="2" borderId="4" xfId="4" applyFont="1" applyFill="1" applyBorder="1" applyAlignment="1">
      <alignment horizontal="center" vertical="top"/>
    </xf>
    <xf numFmtId="0" fontId="89" fillId="2" borderId="11" xfId="4" applyFont="1" applyFill="1" applyBorder="1" applyAlignment="1">
      <alignment horizontal="center" vertical="top"/>
    </xf>
    <xf numFmtId="0" fontId="90" fillId="2" borderId="11" xfId="0" applyFont="1" applyFill="1" applyBorder="1" applyAlignment="1">
      <alignment horizontal="center" vertical="top"/>
    </xf>
    <xf numFmtId="0" fontId="81" fillId="18" borderId="4" xfId="0" applyFont="1" applyFill="1" applyBorder="1" applyAlignment="1">
      <alignment horizontal="left" vertical="top" wrapText="1"/>
    </xf>
    <xf numFmtId="0" fontId="91" fillId="2" borderId="4" xfId="0" applyFont="1" applyFill="1" applyBorder="1" applyAlignment="1">
      <alignment horizontal="left" vertical="top" wrapText="1"/>
    </xf>
    <xf numFmtId="0" fontId="92" fillId="2" borderId="4" xfId="0" applyFont="1" applyFill="1" applyBorder="1" applyAlignment="1">
      <alignment horizontal="left" vertical="top" wrapText="1"/>
    </xf>
    <xf numFmtId="0" fontId="93" fillId="0" borderId="3" xfId="0" applyFont="1" applyBorder="1" applyAlignment="1">
      <alignment horizontal="center" vertical="top"/>
    </xf>
    <xf numFmtId="0" fontId="91" fillId="2" borderId="4" xfId="0" applyFont="1" applyFill="1" applyBorder="1" applyAlignment="1">
      <alignment horizontal="center" vertical="top"/>
    </xf>
    <xf numFmtId="0" fontId="94" fillId="0" borderId="11" xfId="4" applyFont="1" applyBorder="1" applyAlignment="1">
      <alignment horizontal="center" vertical="top"/>
    </xf>
    <xf numFmtId="0" fontId="91" fillId="0" borderId="4" xfId="0" applyFont="1" applyBorder="1" applyAlignment="1">
      <alignment horizontal="center" vertical="center"/>
    </xf>
    <xf numFmtId="0" fontId="93" fillId="0" borderId="3" xfId="0" applyFont="1" applyBorder="1" applyAlignment="1">
      <alignment vertical="top"/>
    </xf>
    <xf numFmtId="0" fontId="91" fillId="21" borderId="4" xfId="0" applyFont="1" applyFill="1" applyBorder="1" applyAlignment="1">
      <alignment horizontal="center" vertical="top"/>
    </xf>
    <xf numFmtId="0" fontId="93" fillId="2" borderId="3" xfId="0" applyFont="1" applyFill="1" applyBorder="1" applyAlignment="1">
      <alignment vertical="top"/>
    </xf>
    <xf numFmtId="0" fontId="95" fillId="0" borderId="4" xfId="0" applyFont="1" applyBorder="1" applyAlignment="1">
      <alignment horizontal="center" vertical="top"/>
    </xf>
    <xf numFmtId="0" fontId="80" fillId="2" borderId="3" xfId="0" applyFont="1" applyFill="1" applyBorder="1" applyAlignment="1">
      <alignment vertical="top"/>
    </xf>
    <xf numFmtId="0" fontId="81" fillId="0" borderId="4" xfId="0" applyFont="1" applyBorder="1" applyAlignment="1">
      <alignment horizontal="center" vertical="top" wrapText="1"/>
    </xf>
    <xf numFmtId="0" fontId="96" fillId="0" borderId="4" xfId="4" applyFont="1" applyBorder="1" applyAlignment="1">
      <alignment horizontal="center" vertical="top"/>
    </xf>
    <xf numFmtId="0" fontId="84" fillId="21" borderId="4" xfId="0" applyFont="1" applyFill="1" applyBorder="1" applyAlignment="1">
      <alignment horizontal="center" vertical="top"/>
    </xf>
    <xf numFmtId="0" fontId="87" fillId="0" borderId="11" xfId="4" applyFont="1" applyBorder="1" applyAlignment="1">
      <alignment horizontal="center" vertical="top" wrapText="1"/>
    </xf>
    <xf numFmtId="0" fontId="80" fillId="0" borderId="4" xfId="0" applyFont="1" applyBorder="1" applyAlignment="1">
      <alignment horizontal="center" vertical="top"/>
    </xf>
    <xf numFmtId="0" fontId="84" fillId="0" borderId="4" xfId="0" applyFont="1" applyBorder="1" applyAlignment="1">
      <alignment horizontal="center" vertical="top"/>
    </xf>
    <xf numFmtId="0" fontId="87" fillId="0" borderId="11" xfId="4" applyFont="1" applyFill="1" applyBorder="1" applyAlignment="1">
      <alignment horizontal="center" vertical="top" wrapText="1"/>
    </xf>
    <xf numFmtId="0" fontId="81" fillId="26" borderId="4" xfId="0" applyFont="1" applyFill="1" applyBorder="1" applyAlignment="1">
      <alignment horizontal="center" vertical="top"/>
    </xf>
    <xf numFmtId="0" fontId="87" fillId="35" borderId="11" xfId="4" applyFont="1" applyFill="1" applyBorder="1" applyAlignment="1">
      <alignment horizontal="center" vertical="top"/>
    </xf>
    <xf numFmtId="0" fontId="81" fillId="35" borderId="4" xfId="0" applyFont="1" applyFill="1" applyBorder="1" applyAlignment="1">
      <alignment horizontal="center" vertical="top"/>
    </xf>
    <xf numFmtId="0" fontId="81" fillId="35" borderId="4" xfId="0" applyFont="1" applyFill="1" applyBorder="1" applyAlignment="1">
      <alignment horizontal="left" vertical="top" wrapText="1"/>
    </xf>
    <xf numFmtId="0" fontId="87" fillId="0" borderId="11" xfId="4" applyFont="1" applyFill="1" applyBorder="1" applyAlignment="1">
      <alignment horizontal="center" vertical="top"/>
    </xf>
    <xf numFmtId="0" fontId="80" fillId="0" borderId="4" xfId="0" applyFont="1" applyBorder="1" applyAlignment="1">
      <alignment horizontal="left" vertical="top" wrapText="1"/>
    </xf>
    <xf numFmtId="0" fontId="87" fillId="21" borderId="11" xfId="4" applyFont="1" applyFill="1" applyBorder="1" applyAlignment="1">
      <alignment horizontal="center" vertical="top"/>
    </xf>
    <xf numFmtId="15" fontId="81" fillId="21" borderId="4" xfId="0" applyNumberFormat="1" applyFont="1" applyFill="1" applyBorder="1" applyAlignment="1">
      <alignment horizontal="center" vertical="top"/>
    </xf>
    <xf numFmtId="0" fontId="80" fillId="21" borderId="4" xfId="0" applyFont="1" applyFill="1" applyBorder="1" applyAlignment="1">
      <alignment horizontal="left" vertical="top" wrapText="1"/>
    </xf>
    <xf numFmtId="0" fontId="80" fillId="21" borderId="4" xfId="0" applyFont="1" applyFill="1" applyBorder="1" applyAlignment="1">
      <alignment horizontal="center" vertical="top"/>
    </xf>
    <xf numFmtId="0" fontId="81" fillId="21" borderId="4" xfId="0" applyFont="1" applyFill="1" applyBorder="1" applyAlignment="1">
      <alignment horizontal="center" vertical="top"/>
    </xf>
    <xf numFmtId="0" fontId="97" fillId="35" borderId="11" xfId="4" applyFont="1" applyFill="1" applyBorder="1" applyAlignment="1">
      <alignment horizontal="center" vertical="top"/>
    </xf>
    <xf numFmtId="0" fontId="80" fillId="35" borderId="4" xfId="0" applyFont="1" applyFill="1" applyBorder="1" applyAlignment="1">
      <alignment horizontal="center" vertical="top"/>
    </xf>
    <xf numFmtId="0" fontId="80" fillId="35" borderId="4" xfId="0" applyFont="1" applyFill="1" applyBorder="1" applyAlignment="1">
      <alignment horizontal="left" vertical="top" wrapText="1"/>
    </xf>
    <xf numFmtId="0" fontId="80" fillId="4" borderId="3" xfId="0" applyFont="1" applyFill="1" applyBorder="1" applyAlignment="1">
      <alignment vertical="top"/>
    </xf>
    <xf numFmtId="0" fontId="81" fillId="4" borderId="4" xfId="0" applyFont="1" applyFill="1" applyBorder="1" applyAlignment="1">
      <alignment horizontal="center" vertical="center"/>
    </xf>
    <xf numFmtId="0" fontId="81" fillId="21" borderId="11" xfId="0" applyFont="1" applyFill="1" applyBorder="1" applyAlignment="1">
      <alignment horizontal="center" vertical="top"/>
    </xf>
    <xf numFmtId="0" fontId="81" fillId="0" borderId="11" xfId="0" applyFont="1" applyBorder="1" applyAlignment="1">
      <alignment horizontal="center" vertical="top"/>
    </xf>
    <xf numFmtId="15" fontId="81" fillId="0" borderId="4" xfId="0" applyNumberFormat="1" applyFont="1" applyBorder="1" applyAlignment="1">
      <alignment horizontal="center" vertical="top"/>
    </xf>
    <xf numFmtId="0" fontId="87" fillId="32" borderId="11" xfId="4" applyFont="1" applyFill="1" applyBorder="1" applyAlignment="1">
      <alignment horizontal="center" vertical="top"/>
    </xf>
    <xf numFmtId="0" fontId="80" fillId="32" borderId="4" xfId="0" applyFont="1" applyFill="1" applyBorder="1" applyAlignment="1">
      <alignment horizontal="center" vertical="top"/>
    </xf>
    <xf numFmtId="0" fontId="80" fillId="32" borderId="4" xfId="0" applyFont="1" applyFill="1" applyBorder="1" applyAlignment="1">
      <alignment vertical="top" wrapText="1"/>
    </xf>
    <xf numFmtId="0" fontId="95" fillId="35" borderId="4" xfId="0" applyFont="1" applyFill="1" applyBorder="1" applyAlignment="1">
      <alignment horizontal="center" vertical="top"/>
    </xf>
    <xf numFmtId="0" fontId="81" fillId="2" borderId="11" xfId="0" applyFont="1" applyFill="1" applyBorder="1" applyAlignment="1">
      <alignment horizontal="center" vertical="top"/>
    </xf>
    <xf numFmtId="0" fontId="81" fillId="2" borderId="4" xfId="0" applyFont="1" applyFill="1" applyBorder="1" applyAlignment="1">
      <alignment horizontal="center" vertical="top" wrapText="1"/>
    </xf>
    <xf numFmtId="0" fontId="80" fillId="35" borderId="4" xfId="0" applyFont="1" applyFill="1" applyBorder="1" applyAlignment="1">
      <alignment vertical="top" wrapText="1"/>
    </xf>
    <xf numFmtId="0" fontId="87" fillId="17" borderId="11" xfId="4" applyFont="1" applyFill="1" applyBorder="1" applyAlignment="1">
      <alignment horizontal="center" vertical="top"/>
    </xf>
    <xf numFmtId="0" fontId="80" fillId="17" borderId="4" xfId="0" applyFont="1" applyFill="1" applyBorder="1" applyAlignment="1">
      <alignment horizontal="center" vertical="top"/>
    </xf>
    <xf numFmtId="0" fontId="80" fillId="17" borderId="4" xfId="0" applyFont="1" applyFill="1" applyBorder="1" applyAlignment="1">
      <alignment vertical="top" wrapText="1"/>
    </xf>
    <xf numFmtId="0" fontId="80" fillId="21" borderId="4" xfId="0" applyFont="1" applyFill="1" applyBorder="1" applyAlignment="1">
      <alignment vertical="top" wrapText="1"/>
    </xf>
    <xf numFmtId="0" fontId="87" fillId="36" borderId="11" xfId="4" applyFont="1" applyFill="1" applyBorder="1" applyAlignment="1">
      <alignment horizontal="center" vertical="top"/>
    </xf>
    <xf numFmtId="0" fontId="80" fillId="36" borderId="4" xfId="0" applyFont="1" applyFill="1" applyBorder="1" applyAlignment="1">
      <alignment horizontal="center" vertical="top"/>
    </xf>
    <xf numFmtId="0" fontId="80" fillId="36" borderId="4" xfId="0" applyFont="1" applyFill="1" applyBorder="1" applyAlignment="1">
      <alignment vertical="top" wrapText="1"/>
    </xf>
    <xf numFmtId="0" fontId="81" fillId="37" borderId="11" xfId="0" applyFont="1" applyFill="1" applyBorder="1" applyAlignment="1">
      <alignment horizontal="center" vertical="top"/>
    </xf>
    <xf numFmtId="0" fontId="81" fillId="37" borderId="4" xfId="0" applyFont="1" applyFill="1" applyBorder="1" applyAlignment="1">
      <alignment horizontal="center" vertical="top"/>
    </xf>
    <xf numFmtId="0" fontId="81" fillId="37" borderId="4" xfId="0" applyFont="1" applyFill="1" applyBorder="1" applyAlignment="1">
      <alignment horizontal="center" vertical="top" wrapText="1"/>
    </xf>
    <xf numFmtId="0" fontId="97" fillId="32" borderId="11" xfId="4" applyFont="1" applyFill="1" applyBorder="1" applyAlignment="1">
      <alignment horizontal="center" vertical="top"/>
    </xf>
    <xf numFmtId="0" fontId="80" fillId="32" borderId="4" xfId="0" applyFont="1" applyFill="1" applyBorder="1" applyAlignment="1">
      <alignment horizontal="left" vertical="top" wrapText="1"/>
    </xf>
    <xf numFmtId="0" fontId="94" fillId="21" borderId="11" xfId="4" applyFont="1" applyFill="1" applyBorder="1" applyAlignment="1">
      <alignment horizontal="center" vertical="top" wrapText="1"/>
    </xf>
    <xf numFmtId="0" fontId="93" fillId="4" borderId="3" xfId="0" applyFont="1" applyFill="1" applyBorder="1" applyAlignment="1">
      <alignment vertical="top"/>
    </xf>
    <xf numFmtId="0" fontId="93" fillId="0" borderId="4" xfId="0" applyFont="1" applyBorder="1" applyAlignment="1">
      <alignment horizontal="center" vertical="top"/>
    </xf>
    <xf numFmtId="0" fontId="93" fillId="21" borderId="4" xfId="0" applyFont="1" applyFill="1" applyBorder="1" applyAlignment="1">
      <alignment horizontal="left" vertical="top" wrapText="1"/>
    </xf>
    <xf numFmtId="0" fontId="93" fillId="21" borderId="4" xfId="0" applyFont="1" applyFill="1" applyBorder="1" applyAlignment="1">
      <alignment horizontal="center" vertical="top"/>
    </xf>
    <xf numFmtId="0" fontId="87" fillId="21" borderId="11" xfId="4" applyFont="1" applyFill="1" applyBorder="1" applyAlignment="1">
      <alignment horizontal="center" vertical="top" wrapText="1"/>
    </xf>
    <xf numFmtId="0" fontId="91" fillId="4" borderId="4" xfId="0" applyFont="1" applyFill="1" applyBorder="1" applyAlignment="1">
      <alignment horizontal="center" vertical="center"/>
    </xf>
    <xf numFmtId="0" fontId="93" fillId="0" borderId="4" xfId="0" applyFont="1" applyBorder="1" applyAlignment="1">
      <alignment horizontal="left" vertical="top" wrapText="1"/>
    </xf>
    <xf numFmtId="0" fontId="80" fillId="4" borderId="20" xfId="0" applyFont="1" applyFill="1" applyBorder="1" applyAlignment="1">
      <alignment vertical="top"/>
    </xf>
    <xf numFmtId="0" fontId="80" fillId="0" borderId="21" xfId="0" applyFont="1" applyBorder="1" applyAlignment="1">
      <alignment horizontal="center" vertical="top"/>
    </xf>
    <xf numFmtId="0" fontId="93" fillId="0" borderId="21" xfId="0" applyFont="1" applyBorder="1" applyAlignment="1">
      <alignment horizontal="left" vertical="top" wrapText="1"/>
    </xf>
    <xf numFmtId="0" fontId="93" fillId="0" borderId="21" xfId="0" applyFont="1" applyBorder="1" applyAlignment="1">
      <alignment horizontal="center" vertical="top"/>
    </xf>
    <xf numFmtId="0" fontId="81" fillId="0" borderId="49" xfId="0" applyFont="1" applyBorder="1" applyAlignment="1">
      <alignment horizontal="center" vertical="top"/>
    </xf>
    <xf numFmtId="0" fontId="8" fillId="2" borderId="0" xfId="0" applyFont="1" applyFill="1" applyAlignment="1">
      <alignment horizontal="center" vertical="center"/>
    </xf>
    <xf numFmtId="0" fontId="98" fillId="2" borderId="0" xfId="0" applyFont="1" applyFill="1" applyAlignment="1">
      <alignment horizontal="center" vertical="center"/>
    </xf>
    <xf numFmtId="0" fontId="70" fillId="2" borderId="0" xfId="0" applyFont="1" applyFill="1" applyAlignment="1">
      <alignment horizontal="center" vertical="center"/>
    </xf>
    <xf numFmtId="0" fontId="99" fillId="0" borderId="0" xfId="0" applyFont="1"/>
    <xf numFmtId="0" fontId="0" fillId="0" borderId="0" xfId="0" applyAlignment="1">
      <alignment horizontal="center"/>
    </xf>
    <xf numFmtId="0" fontId="76" fillId="39" borderId="3" xfId="0" applyFont="1" applyFill="1" applyBorder="1" applyAlignment="1">
      <alignment horizontal="center" vertical="center" wrapText="1"/>
    </xf>
    <xf numFmtId="0" fontId="76" fillId="39" borderId="4" xfId="0" applyFont="1" applyFill="1" applyBorder="1" applyAlignment="1">
      <alignment horizontal="center" vertical="center" wrapText="1"/>
    </xf>
    <xf numFmtId="0" fontId="10" fillId="39" borderId="4" xfId="0" applyFont="1" applyFill="1" applyBorder="1" applyAlignment="1">
      <alignment horizontal="center" vertical="center" wrapText="1"/>
    </xf>
    <xf numFmtId="0" fontId="102" fillId="29" borderId="4" xfId="0" applyFont="1" applyFill="1" applyBorder="1" applyAlignment="1">
      <alignment horizontal="center" vertical="center" wrapText="1"/>
    </xf>
    <xf numFmtId="0" fontId="103" fillId="29" borderId="4" xfId="0" applyFont="1" applyFill="1" applyBorder="1" applyAlignment="1">
      <alignment horizontal="center" vertical="center" wrapText="1"/>
    </xf>
    <xf numFmtId="0" fontId="102" fillId="29" borderId="6" xfId="0" applyFont="1" applyFill="1" applyBorder="1" applyAlignment="1">
      <alignment horizontal="center" vertical="center" wrapText="1"/>
    </xf>
    <xf numFmtId="0" fontId="103" fillId="5" borderId="21" xfId="0" applyFont="1" applyFill="1" applyBorder="1" applyAlignment="1">
      <alignment horizontal="center" vertical="center" wrapText="1"/>
    </xf>
    <xf numFmtId="0" fontId="4" fillId="5" borderId="21" xfId="0" applyFont="1" applyFill="1" applyBorder="1" applyAlignment="1">
      <alignment horizontal="left" vertical="center" wrapText="1"/>
    </xf>
    <xf numFmtId="0" fontId="4" fillId="5" borderId="21" xfId="0" applyFont="1" applyFill="1" applyBorder="1" applyAlignment="1">
      <alignment horizontal="center" vertical="center" wrapText="1"/>
    </xf>
    <xf numFmtId="14" fontId="4" fillId="5" borderId="21" xfId="0" applyNumberFormat="1" applyFont="1" applyFill="1" applyBorder="1" applyAlignment="1">
      <alignment horizontal="center" vertical="center" wrapText="1"/>
    </xf>
    <xf numFmtId="0" fontId="14" fillId="19" borderId="25" xfId="0" applyFont="1" applyFill="1" applyBorder="1" applyAlignment="1">
      <alignment horizontal="center" vertical="center" wrapText="1"/>
    </xf>
    <xf numFmtId="0" fontId="12" fillId="19" borderId="4" xfId="0" applyFont="1" applyFill="1" applyBorder="1" applyAlignment="1">
      <alignment horizontal="center" vertical="center" wrapText="1"/>
    </xf>
    <xf numFmtId="0" fontId="4" fillId="19" borderId="24"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12" fillId="19" borderId="24" xfId="0" applyFont="1" applyFill="1" applyBorder="1" applyAlignment="1">
      <alignment horizontal="center" vertical="center" wrapText="1"/>
    </xf>
    <xf numFmtId="0" fontId="4" fillId="19" borderId="4" xfId="0" applyFont="1" applyFill="1" applyBorder="1" applyAlignment="1">
      <alignment horizontal="left" vertical="center" wrapText="1"/>
    </xf>
    <xf numFmtId="0" fontId="2" fillId="19" borderId="4" xfId="0" applyFont="1" applyFill="1" applyBorder="1" applyAlignment="1">
      <alignment horizontal="center" vertical="center" wrapText="1"/>
    </xf>
    <xf numFmtId="14" fontId="12" fillId="19" borderId="4" xfId="0" applyNumberFormat="1" applyFont="1" applyFill="1" applyBorder="1" applyAlignment="1">
      <alignment horizontal="center" vertical="center" wrapText="1"/>
    </xf>
    <xf numFmtId="0" fontId="16" fillId="19" borderId="4" xfId="0" applyFont="1" applyFill="1" applyBorder="1" applyAlignment="1">
      <alignment horizontal="center" vertical="center" wrapText="1"/>
    </xf>
    <xf numFmtId="0" fontId="102" fillId="19" borderId="4" xfId="0" applyFont="1" applyFill="1" applyBorder="1" applyAlignment="1">
      <alignment horizontal="center" vertical="center" wrapText="1"/>
    </xf>
    <xf numFmtId="0" fontId="14" fillId="19" borderId="4" xfId="0" applyFont="1" applyFill="1" applyBorder="1" applyAlignment="1">
      <alignment horizontal="center" vertical="center" wrapText="1"/>
    </xf>
    <xf numFmtId="0" fontId="14" fillId="19" borderId="6" xfId="0" applyFont="1" applyFill="1" applyBorder="1" applyAlignment="1">
      <alignment horizontal="center" vertical="center" wrapText="1"/>
    </xf>
    <xf numFmtId="14" fontId="12" fillId="19" borderId="6" xfId="0" applyNumberFormat="1" applyFont="1" applyFill="1" applyBorder="1" applyAlignment="1">
      <alignment horizontal="center" vertical="center" wrapText="1"/>
    </xf>
    <xf numFmtId="0" fontId="4" fillId="19" borderId="6" xfId="0" applyFont="1" applyFill="1" applyBorder="1" applyAlignment="1">
      <alignment horizontal="center" vertical="center" wrapText="1"/>
    </xf>
    <xf numFmtId="0" fontId="2" fillId="19" borderId="6" xfId="0" applyFont="1" applyFill="1" applyBorder="1" applyAlignment="1">
      <alignment horizontal="center" vertical="center" wrapText="1"/>
    </xf>
    <xf numFmtId="0" fontId="5" fillId="19" borderId="4" xfId="0" applyFont="1" applyFill="1" applyBorder="1" applyAlignment="1">
      <alignment horizontal="left" vertical="center" wrapText="1"/>
    </xf>
    <xf numFmtId="165" fontId="76" fillId="39" borderId="4" xfId="0" applyNumberFormat="1" applyFont="1" applyFill="1" applyBorder="1" applyAlignment="1">
      <alignment horizontal="center" vertical="center" wrapText="1"/>
    </xf>
    <xf numFmtId="14" fontId="76" fillId="39" borderId="4" xfId="0" applyNumberFormat="1" applyFont="1" applyFill="1" applyBorder="1" applyAlignment="1">
      <alignment horizontal="center" vertical="center" wrapText="1"/>
    </xf>
    <xf numFmtId="10" fontId="76" fillId="39" borderId="4" xfId="0" applyNumberFormat="1" applyFont="1" applyFill="1" applyBorder="1" applyAlignment="1">
      <alignment horizontal="center" vertical="center" wrapText="1"/>
    </xf>
    <xf numFmtId="4" fontId="76" fillId="39" borderId="4" xfId="0" applyNumberFormat="1" applyFont="1" applyFill="1" applyBorder="1" applyAlignment="1">
      <alignment horizontal="center" vertical="center" wrapText="1"/>
    </xf>
    <xf numFmtId="0" fontId="76" fillId="39" borderId="9" xfId="0" applyFont="1" applyFill="1" applyBorder="1" applyAlignment="1">
      <alignment horizontal="center" vertical="center" wrapText="1"/>
    </xf>
    <xf numFmtId="166" fontId="4" fillId="29" borderId="4" xfId="2" applyNumberFormat="1" applyFont="1" applyFill="1" applyBorder="1" applyAlignment="1">
      <alignment horizontal="center" vertical="center" wrapText="1"/>
    </xf>
    <xf numFmtId="9" fontId="4" fillId="29" borderId="4" xfId="1" applyNumberFormat="1" applyFont="1" applyFill="1" applyBorder="1" applyAlignment="1">
      <alignment horizontal="center" vertical="center" wrapText="1"/>
    </xf>
    <xf numFmtId="4" fontId="4" fillId="29" borderId="4" xfId="1" applyNumberFormat="1" applyFont="1" applyFill="1" applyBorder="1" applyAlignment="1">
      <alignment horizontal="center" vertical="center" wrapText="1"/>
    </xf>
    <xf numFmtId="167" fontId="4" fillId="5" borderId="21" xfId="0" applyNumberFormat="1" applyFont="1" applyFill="1" applyBorder="1" applyAlignment="1">
      <alignment horizontal="center" vertical="center" wrapText="1"/>
    </xf>
    <xf numFmtId="166" fontId="4" fillId="5" borderId="21" xfId="2" applyNumberFormat="1" applyFont="1" applyFill="1" applyBorder="1" applyAlignment="1">
      <alignment horizontal="center" vertical="center" wrapText="1"/>
    </xf>
    <xf numFmtId="10" fontId="4" fillId="5" borderId="21" xfId="0" applyNumberFormat="1" applyFont="1" applyFill="1" applyBorder="1" applyAlignment="1">
      <alignment horizontal="center" vertical="center" wrapText="1"/>
    </xf>
    <xf numFmtId="4" fontId="4" fillId="5" borderId="21" xfId="1" applyNumberFormat="1" applyFont="1" applyFill="1" applyBorder="1" applyAlignment="1">
      <alignment horizontal="center" vertical="center" wrapText="1"/>
    </xf>
    <xf numFmtId="15" fontId="4" fillId="5" borderId="21" xfId="0" applyNumberFormat="1" applyFont="1" applyFill="1" applyBorder="1" applyAlignment="1">
      <alignment horizontal="center" vertical="center" wrapText="1"/>
    </xf>
    <xf numFmtId="15" fontId="4" fillId="5" borderId="21" xfId="0" applyNumberFormat="1" applyFont="1" applyFill="1" applyBorder="1" applyAlignment="1">
      <alignment horizontal="left" vertical="center" wrapText="1"/>
    </xf>
    <xf numFmtId="15" fontId="4" fillId="5" borderId="29" xfId="0" applyNumberFormat="1" applyFont="1" applyFill="1" applyBorder="1" applyAlignment="1">
      <alignment horizontal="left" vertical="center" wrapText="1"/>
    </xf>
    <xf numFmtId="166" fontId="12" fillId="19" borderId="25" xfId="2" applyNumberFormat="1" applyFont="1" applyFill="1" applyBorder="1" applyAlignment="1">
      <alignment horizontal="center" vertical="center" wrapText="1"/>
    </xf>
    <xf numFmtId="9" fontId="12" fillId="19" borderId="6" xfId="1" applyNumberFormat="1" applyFont="1" applyFill="1" applyBorder="1" applyAlignment="1">
      <alignment horizontal="center" vertical="center" wrapText="1"/>
    </xf>
    <xf numFmtId="4" fontId="12" fillId="19" borderId="25" xfId="1" applyNumberFormat="1" applyFont="1" applyFill="1" applyBorder="1" applyAlignment="1">
      <alignment horizontal="center" vertical="center" wrapText="1"/>
    </xf>
    <xf numFmtId="166" fontId="12" fillId="19" borderId="24" xfId="2" applyNumberFormat="1" applyFont="1" applyFill="1" applyBorder="1" applyAlignment="1">
      <alignment horizontal="center" vertical="center" wrapText="1"/>
    </xf>
    <xf numFmtId="9" fontId="12" fillId="19" borderId="24" xfId="1" applyNumberFormat="1" applyFont="1" applyFill="1" applyBorder="1" applyAlignment="1">
      <alignment horizontal="center" vertical="center" wrapText="1"/>
    </xf>
    <xf numFmtId="4" fontId="2" fillId="19" borderId="24" xfId="1" applyNumberFormat="1" applyFont="1" applyFill="1" applyBorder="1" applyAlignment="1">
      <alignment horizontal="center" vertical="center" wrapText="1"/>
    </xf>
    <xf numFmtId="166" fontId="12" fillId="19" borderId="4" xfId="2" applyNumberFormat="1" applyFont="1" applyFill="1" applyBorder="1" applyAlignment="1">
      <alignment horizontal="center" vertical="center" wrapText="1"/>
    </xf>
    <xf numFmtId="9" fontId="12" fillId="19" borderId="4" xfId="1" applyNumberFormat="1" applyFont="1" applyFill="1" applyBorder="1" applyAlignment="1">
      <alignment horizontal="center" vertical="center" wrapText="1"/>
    </xf>
    <xf numFmtId="165" fontId="12" fillId="19" borderId="4" xfId="0" applyNumberFormat="1" applyFont="1" applyFill="1" applyBorder="1" applyAlignment="1">
      <alignment horizontal="center" vertical="center" wrapText="1"/>
    </xf>
    <xf numFmtId="10" fontId="12" fillId="19" borderId="4" xfId="0" applyNumberFormat="1" applyFont="1" applyFill="1" applyBorder="1" applyAlignment="1">
      <alignment horizontal="center" vertical="center" wrapText="1"/>
    </xf>
    <xf numFmtId="4" fontId="12" fillId="19" borderId="4" xfId="0" applyNumberFormat="1" applyFont="1" applyFill="1" applyBorder="1" applyAlignment="1">
      <alignment horizontal="center" vertical="center" wrapText="1"/>
    </xf>
    <xf numFmtId="0" fontId="12" fillId="19" borderId="11" xfId="0" applyFont="1" applyFill="1" applyBorder="1" applyAlignment="1">
      <alignment horizontal="left" vertical="center" wrapText="1"/>
    </xf>
    <xf numFmtId="4" fontId="12" fillId="19" borderId="4" xfId="1" applyNumberFormat="1" applyFont="1" applyFill="1" applyBorder="1" applyAlignment="1">
      <alignment horizontal="center" vertical="center" wrapText="1"/>
    </xf>
    <xf numFmtId="9" fontId="12" fillId="19" borderId="4" xfId="0" applyNumberFormat="1" applyFont="1" applyFill="1" applyBorder="1" applyAlignment="1">
      <alignment horizontal="center" vertical="center" wrapText="1"/>
    </xf>
    <xf numFmtId="4" fontId="2" fillId="19" borderId="4" xfId="1" applyNumberFormat="1" applyFont="1" applyFill="1" applyBorder="1" applyAlignment="1">
      <alignment horizontal="center" vertical="center" wrapText="1"/>
    </xf>
    <xf numFmtId="0" fontId="12" fillId="19" borderId="4" xfId="0" applyFont="1" applyFill="1" applyBorder="1" applyAlignment="1">
      <alignment horizontal="left" vertical="center" wrapText="1"/>
    </xf>
    <xf numFmtId="166" fontId="12" fillId="19" borderId="6" xfId="2" applyNumberFormat="1" applyFont="1" applyFill="1" applyBorder="1" applyAlignment="1">
      <alignment horizontal="center" vertical="center" wrapText="1"/>
    </xf>
    <xf numFmtId="4" fontId="2" fillId="19" borderId="6" xfId="1" applyNumberFormat="1" applyFont="1" applyFill="1" applyBorder="1" applyAlignment="1">
      <alignment horizontal="center" vertical="center" wrapText="1"/>
    </xf>
    <xf numFmtId="165" fontId="2" fillId="19" borderId="4" xfId="0" applyNumberFormat="1" applyFont="1" applyFill="1" applyBorder="1" applyAlignment="1">
      <alignment horizontal="center" vertical="center" wrapText="1"/>
    </xf>
    <xf numFmtId="4" fontId="2" fillId="19" borderId="4" xfId="0" applyNumberFormat="1" applyFont="1" applyFill="1" applyBorder="1" applyAlignment="1">
      <alignment horizontal="center" vertical="center" wrapText="1"/>
    </xf>
    <xf numFmtId="0" fontId="2" fillId="19" borderId="9" xfId="0" applyFont="1" applyFill="1" applyBorder="1" applyAlignment="1">
      <alignment horizontal="left" vertical="center" wrapText="1"/>
    </xf>
    <xf numFmtId="0" fontId="78" fillId="5" borderId="12" xfId="0" applyFont="1" applyFill="1" applyBorder="1" applyAlignment="1">
      <alignment horizontal="center" vertical="center" wrapText="1"/>
    </xf>
    <xf numFmtId="0" fontId="4" fillId="2" borderId="14" xfId="0" applyFont="1" applyFill="1" applyBorder="1" applyAlignment="1">
      <alignment horizontal="center" vertical="center"/>
    </xf>
    <xf numFmtId="0" fontId="2" fillId="2" borderId="33" xfId="0" applyFont="1" applyFill="1" applyBorder="1" applyAlignment="1">
      <alignment horizontal="left" vertical="center" wrapText="1"/>
    </xf>
    <xf numFmtId="0" fontId="12" fillId="2" borderId="60" xfId="0" applyFont="1" applyFill="1" applyBorder="1" applyAlignment="1">
      <alignment horizontal="center" vertical="center" wrapText="1"/>
    </xf>
    <xf numFmtId="0" fontId="12" fillId="2" borderId="0" xfId="0" applyFont="1" applyFill="1" applyAlignment="1">
      <alignment horizontal="center" vertical="center"/>
    </xf>
    <xf numFmtId="0" fontId="2" fillId="2" borderId="61" xfId="0" applyFont="1" applyFill="1" applyBorder="1" applyAlignment="1">
      <alignment horizontal="left" vertical="center" wrapText="1"/>
    </xf>
    <xf numFmtId="0" fontId="2" fillId="2" borderId="0" xfId="0" applyFont="1" applyFill="1" applyAlignment="1">
      <alignment horizontal="center" vertical="center" wrapText="1"/>
    </xf>
    <xf numFmtId="0" fontId="104" fillId="19" borderId="4" xfId="0" applyFont="1" applyFill="1" applyBorder="1" applyAlignment="1">
      <alignment horizontal="center" vertical="center" wrapText="1"/>
    </xf>
    <xf numFmtId="0" fontId="14" fillId="19" borderId="21" xfId="0" applyFont="1" applyFill="1" applyBorder="1" applyAlignment="1">
      <alignment horizontal="center" vertical="center" wrapText="1"/>
    </xf>
    <xf numFmtId="0" fontId="2" fillId="19" borderId="21" xfId="0" applyFont="1" applyFill="1" applyBorder="1" applyAlignment="1">
      <alignment horizontal="center" vertical="center" wrapText="1"/>
    </xf>
    <xf numFmtId="165" fontId="4" fillId="19" borderId="4" xfId="0" applyNumberFormat="1" applyFont="1" applyFill="1" applyBorder="1" applyAlignment="1">
      <alignment horizontal="center" vertical="center" wrapText="1"/>
    </xf>
    <xf numFmtId="14" fontId="4" fillId="19" borderId="4"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10" fontId="2" fillId="19" borderId="4" xfId="0" applyNumberFormat="1" applyFont="1" applyFill="1" applyBorder="1" applyAlignment="1">
      <alignment horizontal="center" vertical="center" wrapText="1"/>
    </xf>
    <xf numFmtId="0" fontId="2" fillId="19" borderId="4" xfId="0" applyFont="1" applyFill="1" applyBorder="1" applyAlignment="1">
      <alignment horizontal="left" vertical="center" wrapText="1"/>
    </xf>
    <xf numFmtId="166" fontId="12" fillId="19" borderId="21" xfId="2" applyNumberFormat="1" applyFont="1" applyFill="1" applyBorder="1" applyAlignment="1">
      <alignment horizontal="center" vertical="center" wrapText="1"/>
    </xf>
    <xf numFmtId="9" fontId="12" fillId="19" borderId="21" xfId="1" applyNumberFormat="1" applyFont="1" applyFill="1" applyBorder="1" applyAlignment="1">
      <alignment horizontal="center" vertical="center" wrapText="1"/>
    </xf>
    <xf numFmtId="4" fontId="2" fillId="19" borderId="21" xfId="1" applyNumberFormat="1" applyFont="1" applyFill="1" applyBorder="1" applyAlignment="1">
      <alignment horizontal="center" vertical="center" wrapText="1"/>
    </xf>
    <xf numFmtId="0" fontId="4" fillId="2" borderId="60" xfId="0" applyFont="1" applyFill="1" applyBorder="1" applyAlignment="1">
      <alignment horizontal="left" vertical="center" wrapText="1"/>
    </xf>
    <xf numFmtId="0" fontId="2" fillId="2" borderId="14" xfId="0" applyFont="1" applyFill="1" applyBorder="1" applyAlignment="1">
      <alignment horizontal="left" vertical="top" wrapText="1"/>
    </xf>
    <xf numFmtId="0" fontId="2" fillId="2" borderId="60" xfId="0" applyFont="1" applyFill="1" applyBorder="1" applyAlignment="1">
      <alignment horizontal="center" vertical="center" wrapText="1"/>
    </xf>
    <xf numFmtId="0" fontId="2" fillId="2" borderId="6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2" fillId="0" borderId="0" xfId="0" applyFont="1"/>
    <xf numFmtId="0" fontId="4" fillId="0" borderId="0" xfId="0" applyFont="1"/>
    <xf numFmtId="0" fontId="15" fillId="0" borderId="0" xfId="0" applyFont="1" applyAlignment="1">
      <alignment vertical="center"/>
    </xf>
    <xf numFmtId="0" fontId="15" fillId="2" borderId="0" xfId="0" applyFont="1" applyFill="1" applyAlignment="1">
      <alignment horizontal="center" vertical="center"/>
    </xf>
    <xf numFmtId="0" fontId="15" fillId="3" borderId="0" xfId="0" applyFont="1" applyFill="1" applyAlignment="1">
      <alignment horizontal="center" vertical="center"/>
    </xf>
    <xf numFmtId="0" fontId="18" fillId="3" borderId="0" xfId="0" applyFont="1" applyFill="1" applyAlignment="1">
      <alignment horizontal="center" vertical="center"/>
    </xf>
    <xf numFmtId="0" fontId="18" fillId="2" borderId="0" xfId="0" applyFont="1" applyFill="1" applyAlignment="1">
      <alignment horizontal="center" vertical="center"/>
    </xf>
    <xf numFmtId="0" fontId="18" fillId="0" borderId="0" xfId="0" applyFont="1" applyAlignment="1">
      <alignment vertical="center" wrapText="1"/>
    </xf>
    <xf numFmtId="165" fontId="18" fillId="0" borderId="0" xfId="0" applyNumberFormat="1" applyFont="1" applyAlignment="1">
      <alignment horizontal="center" vertical="center"/>
    </xf>
    <xf numFmtId="0" fontId="18" fillId="0" borderId="0" xfId="0" applyFont="1" applyAlignment="1">
      <alignment horizontal="right" vertical="center" wrapText="1"/>
    </xf>
    <xf numFmtId="10" fontId="18" fillId="0" borderId="0" xfId="0" applyNumberFormat="1" applyFont="1" applyAlignment="1">
      <alignment horizontal="center" vertical="center" wrapText="1"/>
    </xf>
    <xf numFmtId="4" fontId="18" fillId="0" borderId="0" xfId="0" applyNumberFormat="1" applyFont="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horizontal="left" vertical="center"/>
    </xf>
    <xf numFmtId="0" fontId="66" fillId="10" borderId="53" xfId="0" applyFont="1" applyFill="1" applyBorder="1" applyAlignment="1">
      <alignment horizontal="center" vertical="center" wrapText="1"/>
    </xf>
    <xf numFmtId="0" fontId="2" fillId="7" borderId="4" xfId="0" applyFont="1" applyFill="1" applyBorder="1" applyAlignment="1">
      <alignment horizontal="center" vertical="center"/>
    </xf>
    <xf numFmtId="0" fontId="13" fillId="7" borderId="4" xfId="0" applyFont="1" applyFill="1" applyBorder="1" applyAlignment="1">
      <alignment horizontal="left" vertical="center" wrapText="1"/>
    </xf>
    <xf numFmtId="0" fontId="12" fillId="8" borderId="4"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14" fillId="8" borderId="24" xfId="0" applyFont="1" applyFill="1" applyBorder="1" applyAlignment="1">
      <alignment horizontal="center" vertical="center" wrapText="1"/>
    </xf>
    <xf numFmtId="0" fontId="104" fillId="8" borderId="24" xfId="0" applyFont="1" applyFill="1" applyBorder="1" applyAlignment="1">
      <alignment horizontal="left" vertical="center" wrapText="1"/>
    </xf>
    <xf numFmtId="0" fontId="104" fillId="8" borderId="4" xfId="0" applyFont="1" applyFill="1" applyBorder="1" applyAlignment="1">
      <alignment horizontal="left" vertical="center" wrapText="1"/>
    </xf>
    <xf numFmtId="0" fontId="104" fillId="7" borderId="4" xfId="0" applyFont="1" applyFill="1" applyBorder="1" applyAlignment="1">
      <alignment horizontal="left" vertical="center" wrapText="1"/>
    </xf>
    <xf numFmtId="0" fontId="45" fillId="3" borderId="4" xfId="0" applyFont="1" applyFill="1" applyBorder="1" applyAlignment="1">
      <alignment horizontal="left" vertical="center" wrapText="1"/>
    </xf>
    <xf numFmtId="0" fontId="16" fillId="7" borderId="24"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3" fillId="8" borderId="4" xfId="0" applyFont="1" applyFill="1" applyBorder="1" applyAlignment="1">
      <alignment horizontal="center" vertical="center"/>
    </xf>
    <xf numFmtId="0" fontId="2" fillId="8" borderId="4"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 fillId="7" borderId="4"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67" fillId="7" borderId="4" xfId="0" applyFont="1" applyFill="1" applyBorder="1" applyAlignment="1">
      <alignment horizontal="center" vertical="center"/>
    </xf>
    <xf numFmtId="0" fontId="15" fillId="7" borderId="4" xfId="0" applyFont="1" applyFill="1" applyBorder="1" applyAlignment="1">
      <alignment horizontal="left" vertical="center" wrapText="1"/>
    </xf>
    <xf numFmtId="0" fontId="15" fillId="7" borderId="4"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5" fillId="3" borderId="4" xfId="0" applyFont="1" applyFill="1" applyBorder="1" applyAlignment="1">
      <alignment horizontal="center" vertical="center"/>
    </xf>
    <xf numFmtId="0" fontId="15" fillId="3" borderId="4" xfId="0" applyFont="1" applyFill="1" applyBorder="1" applyAlignment="1">
      <alignment horizontal="left" vertical="center" wrapText="1"/>
    </xf>
    <xf numFmtId="0" fontId="7" fillId="27" borderId="4" xfId="0" applyFont="1" applyFill="1" applyBorder="1" applyAlignment="1">
      <alignment horizontal="center" vertical="center" wrapText="1"/>
    </xf>
    <xf numFmtId="0" fontId="105" fillId="3" borderId="4" xfId="0" applyFont="1" applyFill="1" applyBorder="1" applyAlignment="1">
      <alignment horizontal="center" vertical="center" wrapText="1"/>
    </xf>
    <xf numFmtId="0" fontId="105" fillId="7" borderId="4"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7" borderId="24"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105" fillId="7" borderId="24" xfId="0" applyFont="1" applyFill="1" applyBorder="1" applyAlignment="1">
      <alignment horizontal="center" vertical="center" wrapText="1"/>
    </xf>
    <xf numFmtId="9" fontId="2" fillId="7" borderId="4" xfId="0" applyNumberFormat="1" applyFont="1" applyFill="1" applyBorder="1" applyAlignment="1">
      <alignment horizontal="center" vertical="center"/>
    </xf>
    <xf numFmtId="166" fontId="12" fillId="8" borderId="4" xfId="2" applyNumberFormat="1" applyFont="1" applyFill="1" applyBorder="1" applyAlignment="1">
      <alignment horizontal="right" vertical="center" wrapText="1"/>
    </xf>
    <xf numFmtId="9" fontId="2" fillId="8" borderId="4" xfId="0" applyNumberFormat="1" applyFont="1" applyFill="1" applyBorder="1" applyAlignment="1">
      <alignment horizontal="center" vertical="center"/>
    </xf>
    <xf numFmtId="0" fontId="2" fillId="8" borderId="4" xfId="0" applyFont="1" applyFill="1" applyBorder="1" applyAlignment="1">
      <alignment horizontal="center" vertical="center"/>
    </xf>
    <xf numFmtId="166" fontId="4" fillId="8" borderId="24" xfId="2" applyNumberFormat="1" applyFont="1" applyFill="1" applyBorder="1" applyAlignment="1">
      <alignment horizontal="right" vertical="center" wrapText="1"/>
    </xf>
    <xf numFmtId="9" fontId="5" fillId="8" borderId="24" xfId="0" applyNumberFormat="1" applyFont="1" applyFill="1" applyBorder="1" applyAlignment="1">
      <alignment horizontal="center" vertical="center"/>
    </xf>
    <xf numFmtId="0" fontId="5" fillId="8" borderId="24" xfId="0" applyFont="1" applyFill="1" applyBorder="1" applyAlignment="1">
      <alignment horizontal="center" vertical="center"/>
    </xf>
    <xf numFmtId="166" fontId="4" fillId="8" borderId="4" xfId="2" applyNumberFormat="1" applyFont="1" applyFill="1" applyBorder="1" applyAlignment="1">
      <alignment horizontal="right" vertical="center" wrapText="1"/>
    </xf>
    <xf numFmtId="9" fontId="5" fillId="8" borderId="4" xfId="0" applyNumberFormat="1" applyFont="1" applyFill="1" applyBorder="1" applyAlignment="1">
      <alignment horizontal="center" vertical="center"/>
    </xf>
    <xf numFmtId="0" fontId="5" fillId="8" borderId="4" xfId="0" applyFont="1" applyFill="1" applyBorder="1" applyAlignment="1">
      <alignment horizontal="center" vertical="center"/>
    </xf>
    <xf numFmtId="9" fontId="5" fillId="3" borderId="6" xfId="0" applyNumberFormat="1" applyFont="1" applyFill="1" applyBorder="1" applyAlignment="1">
      <alignment horizontal="center" vertical="center"/>
    </xf>
    <xf numFmtId="0" fontId="5" fillId="3" borderId="6" xfId="0" applyFont="1" applyFill="1" applyBorder="1" applyAlignment="1">
      <alignment horizontal="center" vertical="center"/>
    </xf>
    <xf numFmtId="166" fontId="4" fillId="7" borderId="6" xfId="2" applyNumberFormat="1" applyFont="1" applyFill="1" applyBorder="1" applyAlignment="1">
      <alignment horizontal="center" vertical="center" wrapText="1"/>
    </xf>
    <xf numFmtId="9" fontId="4" fillId="7" borderId="4" xfId="0" applyNumberFormat="1" applyFont="1" applyFill="1" applyBorder="1" applyAlignment="1">
      <alignment horizontal="center" vertical="center" wrapText="1"/>
    </xf>
    <xf numFmtId="166" fontId="4" fillId="8" borderId="4" xfId="2" applyNumberFormat="1" applyFont="1" applyFill="1" applyBorder="1" applyAlignment="1">
      <alignment horizontal="center" vertical="center" wrapText="1"/>
    </xf>
    <xf numFmtId="15" fontId="2" fillId="8" borderId="4" xfId="0" applyNumberFormat="1" applyFont="1" applyFill="1" applyBorder="1" applyAlignment="1">
      <alignment horizontal="center" vertical="center" wrapText="1"/>
    </xf>
    <xf numFmtId="166" fontId="12" fillId="8" borderId="4" xfId="2" applyNumberFormat="1" applyFont="1" applyFill="1" applyBorder="1" applyAlignment="1">
      <alignment horizontal="center" vertical="center" wrapText="1"/>
    </xf>
    <xf numFmtId="15" fontId="15" fillId="7" borderId="4" xfId="0" applyNumberFormat="1" applyFont="1" applyFill="1" applyBorder="1" applyAlignment="1">
      <alignment horizontal="center" vertical="center" wrapText="1"/>
    </xf>
    <xf numFmtId="166" fontId="7" fillId="7" borderId="4" xfId="2" applyNumberFormat="1" applyFont="1" applyFill="1" applyBorder="1" applyAlignment="1">
      <alignment horizontal="center" vertical="center" wrapText="1"/>
    </xf>
    <xf numFmtId="9" fontId="15" fillId="7" borderId="4" xfId="0" applyNumberFormat="1" applyFont="1" applyFill="1" applyBorder="1" applyAlignment="1">
      <alignment horizontal="center" vertical="center"/>
    </xf>
    <xf numFmtId="0" fontId="15" fillId="7" borderId="4" xfId="0" applyFont="1" applyFill="1" applyBorder="1" applyAlignment="1">
      <alignment horizontal="center" vertical="center"/>
    </xf>
    <xf numFmtId="9" fontId="15" fillId="3" borderId="4" xfId="0" applyNumberFormat="1" applyFont="1" applyFill="1" applyBorder="1" applyAlignment="1">
      <alignment horizontal="center" vertical="center"/>
    </xf>
    <xf numFmtId="166" fontId="7" fillId="27" borderId="4" xfId="2" applyNumberFormat="1" applyFont="1" applyFill="1" applyBorder="1" applyAlignment="1">
      <alignment horizontal="center" vertical="center" wrapText="1"/>
    </xf>
    <xf numFmtId="9" fontId="7" fillId="27" borderId="4" xfId="1" applyNumberFormat="1" applyFont="1" applyFill="1" applyBorder="1" applyAlignment="1">
      <alignment horizontal="center" vertical="center" wrapText="1"/>
    </xf>
    <xf numFmtId="4" fontId="7" fillId="27" borderId="4" xfId="1" applyNumberFormat="1" applyFont="1" applyFill="1" applyBorder="1" applyAlignment="1">
      <alignment horizontal="center" vertical="center" wrapText="1"/>
    </xf>
    <xf numFmtId="9" fontId="7" fillId="7" borderId="4" xfId="1" applyNumberFormat="1" applyFont="1" applyFill="1" applyBorder="1" applyAlignment="1">
      <alignment horizontal="center" vertical="center" wrapText="1"/>
    </xf>
    <xf numFmtId="4" fontId="7" fillId="7" borderId="4" xfId="1" applyNumberFormat="1" applyFont="1" applyFill="1" applyBorder="1" applyAlignment="1">
      <alignment horizontal="center" vertical="center" wrapText="1"/>
    </xf>
    <xf numFmtId="0" fontId="7" fillId="3" borderId="4" xfId="1" applyNumberFormat="1" applyFont="1" applyFill="1" applyBorder="1" applyAlignment="1">
      <alignment horizontal="center" vertical="center" wrapText="1"/>
    </xf>
    <xf numFmtId="167" fontId="7" fillId="7" borderId="24" xfId="0" applyNumberFormat="1" applyFont="1" applyFill="1" applyBorder="1" applyAlignment="1">
      <alignment horizontal="center" vertical="center" wrapText="1"/>
    </xf>
    <xf numFmtId="166" fontId="7" fillId="7" borderId="24" xfId="2" applyNumberFormat="1" applyFont="1" applyFill="1" applyBorder="1" applyAlignment="1">
      <alignment horizontal="center" vertical="center" wrapText="1"/>
    </xf>
    <xf numFmtId="167" fontId="7" fillId="7" borderId="24" xfId="0" applyNumberFormat="1" applyFont="1" applyFill="1" applyBorder="1" applyAlignment="1">
      <alignment horizontal="center" vertical="center"/>
    </xf>
    <xf numFmtId="165" fontId="7" fillId="7" borderId="24" xfId="0" applyNumberFormat="1" applyFont="1" applyFill="1" applyBorder="1" applyAlignment="1">
      <alignment horizontal="center" vertical="center"/>
    </xf>
    <xf numFmtId="166" fontId="7" fillId="3" borderId="6" xfId="2" applyNumberFormat="1" applyFont="1" applyFill="1" applyBorder="1" applyAlignment="1">
      <alignment horizontal="center" vertical="center" wrapText="1"/>
    </xf>
    <xf numFmtId="9" fontId="7" fillId="3" borderId="6" xfId="1" applyNumberFormat="1" applyFont="1" applyFill="1" applyBorder="1" applyAlignment="1">
      <alignment horizontal="center" vertical="center" wrapText="1"/>
    </xf>
    <xf numFmtId="9" fontId="7" fillId="7" borderId="24" xfId="1" applyNumberFormat="1" applyFont="1" applyFill="1" applyBorder="1" applyAlignment="1">
      <alignment horizontal="center" vertical="center" wrapText="1"/>
    </xf>
    <xf numFmtId="4" fontId="7" fillId="7" borderId="24" xfId="1" applyNumberFormat="1" applyFont="1" applyFill="1" applyBorder="1" applyAlignment="1">
      <alignment horizontal="center" vertical="center" wrapText="1"/>
    </xf>
    <xf numFmtId="0" fontId="65" fillId="5" borderId="12" xfId="0" applyFont="1" applyFill="1" applyBorder="1" applyAlignment="1">
      <alignment vertical="center" wrapText="1"/>
    </xf>
    <xf numFmtId="0" fontId="66" fillId="10" borderId="63" xfId="0" applyFont="1" applyFill="1" applyBorder="1" applyAlignment="1">
      <alignment horizontal="center" vertical="center" wrapText="1"/>
    </xf>
    <xf numFmtId="4" fontId="12" fillId="2" borderId="5" xfId="0" applyNumberFormat="1" applyFont="1" applyFill="1" applyBorder="1" applyAlignment="1">
      <alignment horizontal="center" vertical="center" wrapText="1"/>
    </xf>
    <xf numFmtId="4" fontId="12" fillId="2" borderId="4" xfId="0" applyNumberFormat="1" applyFont="1" applyFill="1" applyBorder="1" applyAlignment="1">
      <alignment vertical="center" wrapText="1"/>
    </xf>
    <xf numFmtId="0" fontId="2" fillId="0" borderId="4" xfId="0" applyFont="1" applyBorder="1" applyAlignment="1">
      <alignment horizontal="left" vertical="top" wrapText="1"/>
    </xf>
    <xf numFmtId="166" fontId="2" fillId="0" borderId="0" xfId="0" applyNumberFormat="1" applyFont="1" applyAlignment="1">
      <alignment vertical="center"/>
    </xf>
    <xf numFmtId="0" fontId="12" fillId="0" borderId="4" xfId="0" applyFont="1" applyBorder="1" applyAlignment="1">
      <alignment horizontal="left" vertical="top" wrapText="1"/>
    </xf>
    <xf numFmtId="0" fontId="12" fillId="2" borderId="5" xfId="0" applyFont="1" applyFill="1" applyBorder="1" applyAlignment="1">
      <alignment horizontal="center" vertical="center" wrapText="1"/>
    </xf>
    <xf numFmtId="0" fontId="12" fillId="2" borderId="4" xfId="0" applyFont="1" applyFill="1" applyBorder="1" applyAlignment="1">
      <alignment vertical="center" wrapText="1"/>
    </xf>
    <xf numFmtId="0" fontId="12" fillId="2" borderId="5" xfId="0" applyFont="1" applyFill="1" applyBorder="1" applyAlignment="1">
      <alignment horizontal="center" vertical="center"/>
    </xf>
    <xf numFmtId="0" fontId="12" fillId="2" borderId="4" xfId="0" applyFont="1" applyFill="1" applyBorder="1" applyAlignment="1">
      <alignment horizontal="center" vertical="center"/>
    </xf>
    <xf numFmtId="4" fontId="12" fillId="2" borderId="4" xfId="0" applyNumberFormat="1" applyFont="1" applyFill="1" applyBorder="1" applyAlignment="1">
      <alignment horizontal="center" vertical="center" wrapText="1"/>
    </xf>
    <xf numFmtId="0" fontId="12" fillId="0" borderId="4" xfId="0" applyFont="1" applyBorder="1" applyAlignment="1">
      <alignment horizontal="center" vertical="center"/>
    </xf>
    <xf numFmtId="0" fontId="2" fillId="2" borderId="5" xfId="0" applyFont="1" applyFill="1" applyBorder="1" applyAlignment="1">
      <alignment horizontal="center" vertical="center" wrapText="1"/>
    </xf>
    <xf numFmtId="0" fontId="2" fillId="2" borderId="4" xfId="0" applyFont="1" applyFill="1" applyBorder="1" applyAlignment="1">
      <alignment vertical="center" wrapText="1"/>
    </xf>
    <xf numFmtId="0" fontId="2" fillId="2" borderId="4" xfId="0" applyFont="1" applyFill="1" applyBorder="1" applyAlignment="1">
      <alignment horizontal="left" vertical="center" wrapText="1"/>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5" fillId="0" borderId="0" xfId="0" applyFont="1" applyAlignment="1">
      <alignment horizontal="left" vertical="top" wrapText="1"/>
    </xf>
    <xf numFmtId="166" fontId="5" fillId="0" borderId="0" xfId="0" applyNumberFormat="1" applyFont="1" applyAlignment="1">
      <alignment vertical="center"/>
    </xf>
    <xf numFmtId="0" fontId="4" fillId="2" borderId="4" xfId="0" applyFont="1" applyFill="1" applyBorder="1" applyAlignment="1">
      <alignment vertical="center" wrapText="1"/>
    </xf>
    <xf numFmtId="0" fontId="4" fillId="0" borderId="4" xfId="0" applyFont="1" applyBorder="1"/>
    <xf numFmtId="4" fontId="4" fillId="2" borderId="4" xfId="0" applyNumberFormat="1" applyFont="1" applyFill="1" applyBorder="1" applyAlignment="1">
      <alignment horizontal="center" vertical="center" wrapText="1"/>
    </xf>
    <xf numFmtId="4" fontId="4" fillId="2" borderId="4" xfId="0" applyNumberFormat="1" applyFont="1" applyFill="1" applyBorder="1" applyAlignment="1">
      <alignment vertical="center" wrapText="1"/>
    </xf>
    <xf numFmtId="166" fontId="5" fillId="0" borderId="4" xfId="0" applyNumberFormat="1" applyFont="1" applyBorder="1" applyAlignment="1">
      <alignment vertical="center"/>
    </xf>
    <xf numFmtId="0" fontId="5" fillId="0" borderId="4" xfId="0" applyFont="1" applyBorder="1" applyAlignment="1">
      <alignment vertical="center"/>
    </xf>
    <xf numFmtId="0" fontId="5" fillId="0" borderId="4" xfId="0" applyFont="1" applyBorder="1" applyAlignment="1">
      <alignment horizontal="left" vertical="top" wrapText="1"/>
    </xf>
    <xf numFmtId="0" fontId="4" fillId="2" borderId="4" xfId="0" applyFont="1" applyFill="1" applyBorder="1" applyAlignment="1">
      <alignment vertical="top" wrapText="1"/>
    </xf>
    <xf numFmtId="0" fontId="4" fillId="0" borderId="4" xfId="0" applyFont="1" applyBorder="1" applyAlignment="1">
      <alignment horizontal="left" vertical="top" wrapText="1"/>
    </xf>
    <xf numFmtId="0" fontId="48" fillId="2" borderId="4" xfId="0" applyFont="1" applyFill="1" applyBorder="1" applyAlignment="1">
      <alignment horizontal="center" vertical="center" wrapText="1"/>
    </xf>
    <xf numFmtId="0" fontId="74" fillId="0" borderId="4" xfId="0" applyFont="1" applyBorder="1"/>
    <xf numFmtId="0" fontId="48" fillId="2" borderId="23" xfId="0" applyFont="1" applyFill="1" applyBorder="1" applyAlignment="1">
      <alignment horizontal="center" vertical="center" wrapText="1"/>
    </xf>
    <xf numFmtId="0" fontId="8" fillId="2" borderId="5" xfId="0" applyFont="1" applyFill="1" applyBorder="1" applyAlignment="1">
      <alignment vertical="center"/>
    </xf>
    <xf numFmtId="0" fontId="8" fillId="2" borderId="4" xfId="0" applyFont="1" applyFill="1" applyBorder="1" applyAlignment="1">
      <alignment vertical="center"/>
    </xf>
    <xf numFmtId="0" fontId="12" fillId="0" borderId="0" xfId="0" applyFont="1" applyAlignment="1">
      <alignment horizontal="center" vertical="center"/>
    </xf>
    <xf numFmtId="0" fontId="8" fillId="2" borderId="16" xfId="0" applyFont="1" applyFill="1" applyBorder="1" applyAlignment="1">
      <alignment horizontal="left" vertical="center"/>
    </xf>
    <xf numFmtId="0" fontId="12" fillId="2" borderId="16"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7" fillId="2" borderId="0" xfId="0" applyFont="1" applyFill="1" applyAlignment="1">
      <alignment horizontal="center" vertical="center" wrapText="1"/>
    </xf>
    <xf numFmtId="0" fontId="7" fillId="2" borderId="0" xfId="0" applyFont="1" applyFill="1" applyAlignment="1">
      <alignment horizontal="left" vertical="center" wrapText="1"/>
    </xf>
    <xf numFmtId="166" fontId="15" fillId="0" borderId="0" xfId="0" applyNumberFormat="1" applyFont="1" applyAlignment="1">
      <alignment vertical="center"/>
    </xf>
    <xf numFmtId="4" fontId="3" fillId="0" borderId="0" xfId="0" applyNumberFormat="1"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7" fillId="2" borderId="2" xfId="0" applyFont="1" applyFill="1" applyBorder="1" applyAlignment="1">
      <alignment horizontal="center" vertical="center" wrapText="1"/>
    </xf>
    <xf numFmtId="0" fontId="105" fillId="7" borderId="2" xfId="0" applyFont="1" applyFill="1" applyBorder="1" applyAlignment="1">
      <alignment horizontal="center" vertical="center" wrapText="1"/>
    </xf>
    <xf numFmtId="0" fontId="105" fillId="29" borderId="4" xfId="0" applyFont="1" applyFill="1" applyBorder="1" applyAlignment="1">
      <alignment horizontal="center" vertical="center" wrapText="1"/>
    </xf>
    <xf numFmtId="0" fontId="7" fillId="29" borderId="4" xfId="0" applyFont="1" applyFill="1" applyBorder="1" applyAlignment="1">
      <alignment horizontal="center" vertical="center" wrapText="1"/>
    </xf>
    <xf numFmtId="0" fontId="7" fillId="29" borderId="24" xfId="0" applyFont="1" applyFill="1" applyBorder="1" applyAlignment="1">
      <alignment horizontal="center" vertical="center" wrapText="1"/>
    </xf>
    <xf numFmtId="0" fontId="67" fillId="3" borderId="0" xfId="0" applyFont="1" applyFill="1" applyAlignment="1">
      <alignment horizontal="center" vertical="center"/>
    </xf>
    <xf numFmtId="0" fontId="105" fillId="27" borderId="4" xfId="0" applyFont="1" applyFill="1" applyBorder="1" applyAlignment="1">
      <alignment horizontal="center" vertical="center" wrapText="1"/>
    </xf>
    <xf numFmtId="0" fontId="7" fillId="18" borderId="4" xfId="0" applyFont="1" applyFill="1" applyBorder="1" applyAlignment="1">
      <alignment horizontal="center" vertical="center" wrapText="1"/>
    </xf>
    <xf numFmtId="0" fontId="15" fillId="19" borderId="4" xfId="0" applyFont="1" applyFill="1" applyBorder="1" applyAlignment="1">
      <alignment horizontal="center" vertical="center" wrapText="1"/>
    </xf>
    <xf numFmtId="0" fontId="15" fillId="19" borderId="4" xfId="0" applyFont="1" applyFill="1" applyBorder="1" applyAlignment="1">
      <alignment horizontal="left" vertical="center" wrapText="1"/>
    </xf>
    <xf numFmtId="0" fontId="7" fillId="19" borderId="4" xfId="0" applyFont="1" applyFill="1" applyBorder="1" applyAlignment="1">
      <alignment horizontal="center" vertical="center" wrapText="1"/>
    </xf>
    <xf numFmtId="0" fontId="7" fillId="18" borderId="6" xfId="0" applyFont="1" applyFill="1" applyBorder="1" applyAlignment="1">
      <alignment horizontal="center" vertical="center" wrapText="1"/>
    </xf>
    <xf numFmtId="0" fontId="7" fillId="19" borderId="6" xfId="0" applyFont="1" applyFill="1" applyBorder="1" applyAlignment="1">
      <alignment horizontal="center" vertical="center" wrapText="1"/>
    </xf>
    <xf numFmtId="0" fontId="105" fillId="19" borderId="4" xfId="0" applyFont="1" applyFill="1" applyBorder="1" applyAlignment="1">
      <alignment horizontal="center" vertical="center" wrapText="1"/>
    </xf>
    <xf numFmtId="166" fontId="7" fillId="19" borderId="4" xfId="0" applyNumberFormat="1" applyFont="1" applyFill="1" applyBorder="1" applyAlignment="1">
      <alignment horizontal="center" vertical="center" wrapText="1"/>
    </xf>
    <xf numFmtId="0" fontId="105" fillId="19" borderId="6" xfId="0" applyFont="1" applyFill="1" applyBorder="1" applyAlignment="1">
      <alignment horizontal="center" vertical="center" wrapText="1"/>
    </xf>
    <xf numFmtId="0" fontId="7" fillId="18" borderId="21" xfId="0" applyFont="1" applyFill="1" applyBorder="1" applyAlignment="1">
      <alignment horizontal="center" vertical="center" wrapText="1"/>
    </xf>
    <xf numFmtId="0" fontId="105" fillId="19" borderId="21" xfId="0" applyFont="1" applyFill="1" applyBorder="1" applyAlignment="1">
      <alignment horizontal="center" vertical="center" wrapText="1"/>
    </xf>
    <xf numFmtId="166" fontId="7" fillId="7" borderId="2" xfId="0" applyNumberFormat="1" applyFont="1" applyFill="1" applyBorder="1" applyAlignment="1">
      <alignment horizontal="center" vertical="center" wrapText="1"/>
    </xf>
    <xf numFmtId="9" fontId="7" fillId="7" borderId="2" xfId="1" applyNumberFormat="1" applyFont="1" applyFill="1" applyBorder="1" applyAlignment="1">
      <alignment horizontal="center" vertical="center" wrapText="1"/>
    </xf>
    <xf numFmtId="0" fontId="7" fillId="7" borderId="2" xfId="1" applyNumberFormat="1" applyFont="1" applyFill="1" applyBorder="1" applyAlignment="1">
      <alignment horizontal="center" vertical="center" wrapText="1"/>
    </xf>
    <xf numFmtId="166" fontId="7" fillId="29" borderId="4" xfId="2" applyNumberFormat="1" applyFont="1" applyFill="1" applyBorder="1" applyAlignment="1">
      <alignment horizontal="center" vertical="center" wrapText="1"/>
    </xf>
    <xf numFmtId="9" fontId="7" fillId="29" borderId="4" xfId="1" applyNumberFormat="1" applyFont="1" applyFill="1" applyBorder="1" applyAlignment="1">
      <alignment horizontal="center" vertical="center" wrapText="1"/>
    </xf>
    <xf numFmtId="2" fontId="7" fillId="29" borderId="4" xfId="0" applyNumberFormat="1" applyFont="1" applyFill="1" applyBorder="1" applyAlignment="1">
      <alignment horizontal="center" vertical="center" wrapText="1"/>
    </xf>
    <xf numFmtId="166" fontId="7" fillId="29" borderId="24" xfId="2" applyNumberFormat="1" applyFont="1" applyFill="1" applyBorder="1" applyAlignment="1">
      <alignment horizontal="center" vertical="center" wrapText="1"/>
    </xf>
    <xf numFmtId="9" fontId="7" fillId="29" borderId="24" xfId="1" applyNumberFormat="1" applyFont="1" applyFill="1" applyBorder="1" applyAlignment="1">
      <alignment horizontal="center" vertical="center" wrapText="1"/>
    </xf>
    <xf numFmtId="4" fontId="15" fillId="7" borderId="24" xfId="1" applyNumberFormat="1" applyFont="1" applyFill="1" applyBorder="1" applyAlignment="1">
      <alignment horizontal="center" vertical="center" wrapText="1"/>
    </xf>
    <xf numFmtId="14" fontId="15" fillId="19" borderId="4" xfId="0" applyNumberFormat="1" applyFont="1" applyFill="1" applyBorder="1" applyAlignment="1">
      <alignment horizontal="center" vertical="center" wrapText="1"/>
    </xf>
    <xf numFmtId="166" fontId="7" fillId="19" borderId="4" xfId="2" applyNumberFormat="1" applyFont="1" applyFill="1" applyBorder="1" applyAlignment="1">
      <alignment horizontal="center" vertical="center" wrapText="1"/>
    </xf>
    <xf numFmtId="10" fontId="15" fillId="19" borderId="4" xfId="0" applyNumberFormat="1" applyFont="1" applyFill="1" applyBorder="1" applyAlignment="1">
      <alignment horizontal="center" vertical="center" wrapText="1"/>
    </xf>
    <xf numFmtId="4" fontId="15" fillId="19" borderId="4" xfId="0" applyNumberFormat="1" applyFont="1" applyFill="1" applyBorder="1" applyAlignment="1">
      <alignment horizontal="center" vertical="center" wrapText="1"/>
    </xf>
    <xf numFmtId="166" fontId="7" fillId="19" borderId="6" xfId="2" applyNumberFormat="1" applyFont="1" applyFill="1" applyBorder="1" applyAlignment="1">
      <alignment horizontal="center" vertical="center" wrapText="1"/>
    </xf>
    <xf numFmtId="9" fontId="7" fillId="19" borderId="6" xfId="1" applyNumberFormat="1" applyFont="1" applyFill="1" applyBorder="1" applyAlignment="1">
      <alignment horizontal="center" vertical="center" wrapText="1"/>
    </xf>
    <xf numFmtId="4" fontId="15" fillId="19" borderId="4" xfId="1" applyNumberFormat="1" applyFont="1" applyFill="1" applyBorder="1" applyAlignment="1">
      <alignment horizontal="center" vertical="center" wrapText="1"/>
    </xf>
    <xf numFmtId="9" fontId="7" fillId="19" borderId="4" xfId="1" applyNumberFormat="1" applyFont="1" applyFill="1" applyBorder="1" applyAlignment="1">
      <alignment horizontal="center" vertical="center" wrapText="1"/>
    </xf>
    <xf numFmtId="166" fontId="7" fillId="19" borderId="4" xfId="2" applyNumberFormat="1" applyFont="1" applyFill="1" applyBorder="1" applyAlignment="1">
      <alignment horizontal="right" vertical="center" wrapText="1"/>
    </xf>
    <xf numFmtId="166" fontId="7" fillId="19" borderId="21" xfId="2" applyNumberFormat="1" applyFont="1" applyFill="1" applyBorder="1" applyAlignment="1">
      <alignment horizontal="right" vertical="center" wrapText="1"/>
    </xf>
    <xf numFmtId="9" fontId="7" fillId="19" borderId="21" xfId="1" applyNumberFormat="1" applyFont="1" applyFill="1" applyBorder="1" applyAlignment="1">
      <alignment horizontal="center" vertical="center" wrapText="1"/>
    </xf>
    <xf numFmtId="4" fontId="15" fillId="19" borderId="21" xfId="1" applyNumberFormat="1" applyFont="1" applyFill="1" applyBorder="1" applyAlignment="1">
      <alignment horizontal="center" vertical="center" wrapText="1"/>
    </xf>
    <xf numFmtId="9" fontId="7" fillId="3" borderId="4" xfId="0" applyNumberFormat="1" applyFont="1" applyFill="1" applyBorder="1" applyAlignment="1">
      <alignment horizontal="center" vertical="center" wrapText="1"/>
    </xf>
    <xf numFmtId="0" fontId="18" fillId="3" borderId="0" xfId="0" applyFont="1" applyFill="1" applyAlignment="1">
      <alignment horizontal="center" vertical="center" wrapText="1"/>
    </xf>
    <xf numFmtId="0" fontId="3" fillId="0" borderId="0" xfId="0" applyFont="1" applyAlignment="1">
      <alignment horizontal="center" vertical="center" wrapText="1"/>
    </xf>
    <xf numFmtId="0" fontId="15" fillId="2" borderId="55" xfId="0" applyFont="1" applyFill="1" applyBorder="1" applyAlignment="1">
      <alignment horizontal="center" vertical="center" wrapText="1"/>
    </xf>
    <xf numFmtId="0" fontId="15" fillId="2" borderId="15"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0" xfId="0" applyFont="1" applyFill="1" applyAlignment="1">
      <alignment horizontal="center" vertical="center" wrapText="1"/>
    </xf>
    <xf numFmtId="0" fontId="7" fillId="2" borderId="25"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2" borderId="58" xfId="0" applyFont="1" applyFill="1" applyBorder="1" applyAlignment="1">
      <alignment horizontal="center" vertical="center" wrapText="1"/>
    </xf>
    <xf numFmtId="0" fontId="105"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7" fillId="2" borderId="57" xfId="0" applyFont="1" applyFill="1" applyBorder="1" applyAlignment="1">
      <alignment horizontal="center" vertical="center" wrapText="1"/>
    </xf>
    <xf numFmtId="0" fontId="106" fillId="7" borderId="24"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07" fillId="7" borderId="24" xfId="0" applyFont="1" applyFill="1" applyBorder="1" applyAlignment="1">
      <alignment horizontal="center" vertical="center" wrapText="1"/>
    </xf>
    <xf numFmtId="166" fontId="7" fillId="7" borderId="4" xfId="2" applyNumberFormat="1" applyFont="1" applyFill="1" applyBorder="1" applyAlignment="1">
      <alignment horizontal="right" vertical="center" wrapText="1"/>
    </xf>
    <xf numFmtId="4" fontId="15" fillId="7" borderId="4" xfId="1" applyNumberFormat="1" applyFont="1" applyFill="1" applyBorder="1" applyAlignment="1">
      <alignment horizontal="center" vertical="center" wrapText="1"/>
    </xf>
    <xf numFmtId="166" fontId="15" fillId="7" borderId="4" xfId="2" applyNumberFormat="1" applyFont="1" applyFill="1" applyBorder="1" applyAlignment="1">
      <alignment horizontal="center" vertical="center" wrapText="1"/>
    </xf>
    <xf numFmtId="9" fontId="15" fillId="7" borderId="4" xfId="0" applyNumberFormat="1" applyFont="1" applyFill="1" applyBorder="1" applyAlignment="1">
      <alignment horizontal="center" vertical="center" wrapText="1"/>
    </xf>
    <xf numFmtId="4" fontId="15" fillId="7" borderId="25" xfId="1" applyNumberFormat="1" applyFont="1" applyFill="1" applyBorder="1" applyAlignment="1">
      <alignment horizontal="center" vertical="center" wrapText="1"/>
    </xf>
    <xf numFmtId="166" fontId="7" fillId="7" borderId="24" xfId="2" applyNumberFormat="1" applyFont="1" applyFill="1" applyBorder="1" applyAlignment="1">
      <alignment horizontal="right" vertical="center" wrapText="1"/>
    </xf>
    <xf numFmtId="166" fontId="7" fillId="3" borderId="24" xfId="2" applyNumberFormat="1" applyFont="1" applyFill="1" applyBorder="1" applyAlignment="1">
      <alignment horizontal="right" vertical="center" wrapText="1"/>
    </xf>
    <xf numFmtId="9" fontId="7" fillId="3" borderId="24" xfId="1" applyNumberFormat="1" applyFont="1" applyFill="1" applyBorder="1" applyAlignment="1">
      <alignment horizontal="center" vertical="center" wrapText="1"/>
    </xf>
    <xf numFmtId="4" fontId="15" fillId="3" borderId="24" xfId="1" applyNumberFormat="1" applyFont="1" applyFill="1" applyBorder="1" applyAlignment="1">
      <alignment horizontal="center" vertical="center" wrapText="1"/>
    </xf>
    <xf numFmtId="166" fontId="7" fillId="12" borderId="24" xfId="2" applyNumberFormat="1" applyFont="1" applyFill="1" applyBorder="1" applyAlignment="1">
      <alignment horizontal="right" vertical="center" wrapText="1"/>
    </xf>
    <xf numFmtId="9" fontId="7" fillId="12" borderId="4" xfId="1" applyNumberFormat="1" applyFont="1" applyFill="1" applyBorder="1" applyAlignment="1">
      <alignment horizontal="center" vertical="center" wrapText="1"/>
    </xf>
    <xf numFmtId="4" fontId="15" fillId="12" borderId="4" xfId="1" applyNumberFormat="1" applyFont="1" applyFill="1" applyBorder="1" applyAlignment="1">
      <alignment horizontal="center" vertical="center" wrapText="1"/>
    </xf>
    <xf numFmtId="166" fontId="15" fillId="7" borderId="24" xfId="2" applyNumberFormat="1" applyFont="1" applyFill="1" applyBorder="1" applyAlignment="1">
      <alignment horizontal="right" vertical="center" wrapText="1"/>
    </xf>
    <xf numFmtId="9" fontId="7" fillId="7" borderId="24" xfId="0" applyNumberFormat="1" applyFont="1" applyFill="1" applyBorder="1" applyAlignment="1">
      <alignment horizontal="center" vertical="center" wrapText="1"/>
    </xf>
    <xf numFmtId="4" fontId="15" fillId="3" borderId="25" xfId="1" applyNumberFormat="1" applyFont="1" applyFill="1" applyBorder="1" applyAlignment="1">
      <alignment horizontal="center" vertical="center" wrapText="1"/>
    </xf>
    <xf numFmtId="9" fontId="7" fillId="7" borderId="4" xfId="0" applyNumberFormat="1" applyFont="1" applyFill="1" applyBorder="1" applyAlignment="1">
      <alignment horizontal="center" vertical="center" wrapText="1"/>
    </xf>
    <xf numFmtId="9" fontId="15" fillId="7" borderId="24" xfId="0" applyNumberFormat="1" applyFont="1" applyFill="1" applyBorder="1" applyAlignment="1">
      <alignment horizontal="center" vertical="center" wrapText="1"/>
    </xf>
    <xf numFmtId="0" fontId="7" fillId="0" borderId="0" xfId="0" applyFont="1" applyAlignment="1">
      <alignment horizontal="center" vertical="center" wrapText="1"/>
    </xf>
    <xf numFmtId="0" fontId="15" fillId="2" borderId="33" xfId="0" applyFont="1" applyFill="1" applyBorder="1" applyAlignment="1">
      <alignment horizontal="left" vertical="center" wrapText="1"/>
    </xf>
    <xf numFmtId="0" fontId="15" fillId="2" borderId="15" xfId="0" applyFont="1" applyFill="1" applyBorder="1" applyAlignment="1">
      <alignment horizontal="center" vertical="center"/>
    </xf>
    <xf numFmtId="0" fontId="15" fillId="2" borderId="0" xfId="0" applyFont="1" applyFill="1" applyAlignment="1">
      <alignment horizontal="left" vertical="center" wrapText="1"/>
    </xf>
    <xf numFmtId="0" fontId="15" fillId="2" borderId="14" xfId="0" applyFont="1" applyFill="1" applyBorder="1" applyAlignment="1">
      <alignment horizontal="left" vertical="center"/>
    </xf>
    <xf numFmtId="0" fontId="15" fillId="2" borderId="15" xfId="0" applyFont="1" applyFill="1" applyBorder="1" applyAlignment="1">
      <alignment horizontal="left" vertical="center" wrapText="1"/>
    </xf>
    <xf numFmtId="0" fontId="15" fillId="2" borderId="31" xfId="0" applyFont="1" applyFill="1" applyBorder="1" applyAlignment="1">
      <alignment horizontal="left" vertical="center" wrapText="1"/>
    </xf>
    <xf numFmtId="0" fontId="15" fillId="2" borderId="5" xfId="0" applyFont="1" applyFill="1" applyBorder="1" applyAlignment="1">
      <alignment horizontal="left" vertical="center"/>
    </xf>
    <xf numFmtId="0" fontId="4" fillId="0" borderId="0" xfId="0" applyFont="1" applyAlignment="1">
      <alignment wrapText="1"/>
    </xf>
    <xf numFmtId="0" fontId="4" fillId="0" borderId="0" xfId="0" applyFont="1" applyAlignment="1">
      <alignment horizontal="left" vertical="top"/>
    </xf>
    <xf numFmtId="0" fontId="4" fillId="0" borderId="0" xfId="0" applyFont="1" applyAlignment="1">
      <alignment horizontal="left" vertical="top" wrapText="1"/>
    </xf>
    <xf numFmtId="0" fontId="5" fillId="41" borderId="24" xfId="0" applyFont="1" applyFill="1" applyBorder="1" applyAlignment="1">
      <alignment horizontal="left" vertical="center" wrapText="1"/>
    </xf>
    <xf numFmtId="0" fontId="5" fillId="41" borderId="4" xfId="0" applyFont="1" applyFill="1" applyBorder="1" applyAlignment="1">
      <alignment horizontal="left" vertical="center" wrapText="1"/>
    </xf>
    <xf numFmtId="0" fontId="4" fillId="2" borderId="4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41" borderId="6" xfId="0" applyFont="1" applyFill="1" applyBorder="1" applyAlignment="1">
      <alignment horizontal="left" vertical="center" wrapText="1"/>
    </xf>
    <xf numFmtId="0" fontId="4" fillId="24" borderId="38" xfId="0" applyFont="1" applyFill="1" applyBorder="1" applyAlignment="1">
      <alignment horizontal="center"/>
    </xf>
    <xf numFmtId="0" fontId="4" fillId="24" borderId="38" xfId="0" applyFont="1" applyFill="1" applyBorder="1" applyAlignment="1">
      <alignment horizontal="center" vertical="center"/>
    </xf>
    <xf numFmtId="0" fontId="4" fillId="24" borderId="38" xfId="0" applyFont="1" applyFill="1" applyBorder="1" applyAlignment="1">
      <alignment horizontal="left" vertical="center"/>
    </xf>
    <xf numFmtId="0" fontId="4" fillId="24" borderId="38" xfId="0" applyFont="1" applyFill="1" applyBorder="1"/>
    <xf numFmtId="166" fontId="4" fillId="41" borderId="24" xfId="2" applyNumberFormat="1" applyFont="1" applyFill="1" applyBorder="1" applyAlignment="1">
      <alignment horizontal="center" vertical="center" wrapText="1"/>
    </xf>
    <xf numFmtId="9" fontId="4" fillId="41" borderId="24" xfId="0" applyNumberFormat="1" applyFont="1" applyFill="1" applyBorder="1" applyAlignment="1">
      <alignment horizontal="center" vertical="center" wrapText="1"/>
    </xf>
    <xf numFmtId="166" fontId="4" fillId="41" borderId="4" xfId="2" applyNumberFormat="1" applyFont="1" applyFill="1" applyBorder="1" applyAlignment="1">
      <alignment horizontal="center" vertical="center" wrapText="1"/>
    </xf>
    <xf numFmtId="9" fontId="4" fillId="41" borderId="4" xfId="0" applyNumberFormat="1" applyFont="1" applyFill="1" applyBorder="1" applyAlignment="1">
      <alignment horizontal="center" vertical="center" wrapText="1"/>
    </xf>
    <xf numFmtId="166" fontId="4" fillId="41" borderId="6" xfId="2" applyNumberFormat="1" applyFont="1" applyFill="1" applyBorder="1" applyAlignment="1">
      <alignment horizontal="center" vertical="center" wrapText="1"/>
    </xf>
    <xf numFmtId="9" fontId="4" fillId="41" borderId="6" xfId="0" applyNumberFormat="1" applyFont="1" applyFill="1" applyBorder="1" applyAlignment="1">
      <alignment horizontal="center" vertical="center" wrapText="1"/>
    </xf>
    <xf numFmtId="166" fontId="4" fillId="24" borderId="38" xfId="0" applyNumberFormat="1" applyFont="1" applyFill="1" applyBorder="1"/>
    <xf numFmtId="9" fontId="4" fillId="24" borderId="38" xfId="0" applyNumberFormat="1" applyFont="1" applyFill="1" applyBorder="1"/>
    <xf numFmtId="0" fontId="4" fillId="24" borderId="38" xfId="0" applyFont="1" applyFill="1" applyBorder="1" applyAlignment="1">
      <alignment wrapText="1"/>
    </xf>
    <xf numFmtId="0" fontId="4" fillId="24" borderId="38" xfId="0" applyFont="1" applyFill="1" applyBorder="1" applyAlignment="1">
      <alignment horizontal="left" vertical="top"/>
    </xf>
    <xf numFmtId="0" fontId="4" fillId="24" borderId="41" xfId="0" applyFont="1" applyFill="1" applyBorder="1" applyAlignment="1">
      <alignment horizontal="center" vertical="top"/>
    </xf>
    <xf numFmtId="166" fontId="4" fillId="0" borderId="0" xfId="0" applyNumberFormat="1" applyFont="1"/>
    <xf numFmtId="0" fontId="2" fillId="2" borderId="4" xfId="0" quotePrefix="1" applyFont="1" applyFill="1" applyBorder="1" applyAlignment="1">
      <alignment horizontal="center" vertical="center" wrapText="1"/>
    </xf>
    <xf numFmtId="22" fontId="2" fillId="3" borderId="4" xfId="0" quotePrefix="1" applyNumberFormat="1" applyFont="1" applyFill="1" applyBorder="1" applyAlignment="1">
      <alignment horizontal="center" vertical="center" wrapText="1"/>
    </xf>
    <xf numFmtId="0" fontId="12" fillId="3" borderId="4" xfId="0" quotePrefix="1" applyFont="1" applyFill="1" applyBorder="1" applyAlignment="1">
      <alignment horizontal="center" vertical="center" wrapText="1"/>
    </xf>
    <xf numFmtId="22" fontId="12" fillId="3" borderId="4" xfId="0" quotePrefix="1" applyNumberFormat="1" applyFont="1" applyFill="1" applyBorder="1" applyAlignment="1">
      <alignment horizontal="center" vertical="center" wrapText="1"/>
    </xf>
    <xf numFmtId="0" fontId="12" fillId="3" borderId="4" xfId="0" quotePrefix="1" applyFont="1" applyFill="1" applyBorder="1" applyAlignment="1">
      <alignment horizontal="left" vertical="center" wrapText="1"/>
    </xf>
    <xf numFmtId="0" fontId="12" fillId="3" borderId="9" xfId="0" quotePrefix="1" applyFont="1" applyFill="1" applyBorder="1" applyAlignment="1">
      <alignment horizontal="left" vertical="center" wrapText="1"/>
    </xf>
    <xf numFmtId="15" fontId="2" fillId="3" borderId="4" xfId="0" quotePrefix="1" applyNumberFormat="1" applyFont="1" applyFill="1" applyBorder="1" applyAlignment="1">
      <alignment horizontal="center" vertical="center" wrapText="1"/>
    </xf>
    <xf numFmtId="0" fontId="12" fillId="3" borderId="9" xfId="0" quotePrefix="1" applyFont="1" applyFill="1" applyBorder="1" applyAlignment="1">
      <alignment horizontal="left" vertical="top" wrapText="1"/>
    </xf>
    <xf numFmtId="0" fontId="12" fillId="2" borderId="4" xfId="0" quotePrefix="1" applyFont="1" applyFill="1" applyBorder="1" applyAlignment="1">
      <alignment horizontal="center" vertical="center" wrapText="1"/>
    </xf>
    <xf numFmtId="0" fontId="2" fillId="7" borderId="4" xfId="0" quotePrefix="1" applyFont="1" applyFill="1" applyBorder="1" applyAlignment="1">
      <alignment horizontal="center" vertical="center" wrapText="1"/>
    </xf>
    <xf numFmtId="0" fontId="12" fillId="7" borderId="4" xfId="0" quotePrefix="1" applyFont="1" applyFill="1" applyBorder="1" applyAlignment="1">
      <alignment horizontal="center" vertical="center" wrapText="1"/>
    </xf>
    <xf numFmtId="22" fontId="12" fillId="7" borderId="4" xfId="0" quotePrefix="1" applyNumberFormat="1" applyFont="1" applyFill="1" applyBorder="1" applyAlignment="1">
      <alignment horizontal="center" vertical="center" wrapText="1"/>
    </xf>
    <xf numFmtId="0" fontId="12" fillId="7" borderId="9" xfId="0" quotePrefix="1" applyFont="1" applyFill="1" applyBorder="1" applyAlignment="1">
      <alignment horizontal="left" vertical="center" wrapText="1"/>
    </xf>
    <xf numFmtId="0" fontId="12" fillId="2" borderId="6" xfId="0" quotePrefix="1" applyFont="1" applyFill="1" applyBorder="1" applyAlignment="1">
      <alignment horizontal="center" vertical="center" wrapText="1"/>
    </xf>
    <xf numFmtId="0" fontId="2" fillId="2" borderId="6" xfId="0" quotePrefix="1" applyFont="1" applyFill="1" applyBorder="1" applyAlignment="1">
      <alignment horizontal="center" vertical="center" wrapText="1"/>
    </xf>
    <xf numFmtId="0" fontId="12" fillId="3" borderId="6" xfId="0" quotePrefix="1" applyFont="1" applyFill="1" applyBorder="1" applyAlignment="1">
      <alignment horizontal="center" vertical="center" wrapText="1"/>
    </xf>
    <xf numFmtId="22" fontId="12" fillId="3" borderId="6" xfId="0" quotePrefix="1" applyNumberFormat="1" applyFont="1" applyFill="1" applyBorder="1" applyAlignment="1">
      <alignment horizontal="center" vertical="center" wrapText="1"/>
    </xf>
    <xf numFmtId="0" fontId="12" fillId="3" borderId="10" xfId="0" quotePrefix="1" applyFont="1" applyFill="1" applyBorder="1" applyAlignment="1">
      <alignment horizontal="left" vertical="center" wrapText="1"/>
    </xf>
    <xf numFmtId="22" fontId="2" fillId="7" borderId="4" xfId="0" quotePrefix="1" applyNumberFormat="1" applyFont="1" applyFill="1" applyBorder="1" applyAlignment="1">
      <alignment horizontal="center" vertical="center" wrapText="1"/>
    </xf>
    <xf numFmtId="0" fontId="12" fillId="7" borderId="4" xfId="0" quotePrefix="1" applyFont="1" applyFill="1" applyBorder="1" applyAlignment="1">
      <alignment horizontal="left" vertical="center" wrapText="1"/>
    </xf>
    <xf numFmtId="14" fontId="12" fillId="7" borderId="4" xfId="0" quotePrefix="1" applyNumberFormat="1" applyFont="1" applyFill="1" applyBorder="1" applyAlignment="1">
      <alignment horizontal="center" vertical="center" wrapText="1"/>
    </xf>
    <xf numFmtId="15" fontId="12" fillId="7" borderId="4" xfId="0" quotePrefix="1" applyNumberFormat="1" applyFont="1" applyFill="1" applyBorder="1" applyAlignment="1">
      <alignment horizontal="center" vertical="center" wrapText="1"/>
    </xf>
    <xf numFmtId="15" fontId="12" fillId="7" borderId="9" xfId="0" quotePrefix="1" applyNumberFormat="1" applyFont="1" applyFill="1" applyBorder="1" applyAlignment="1">
      <alignment horizontal="left" vertical="center" wrapText="1"/>
    </xf>
    <xf numFmtId="0" fontId="2" fillId="2" borderId="24" xfId="0" quotePrefix="1" applyFont="1" applyFill="1" applyBorder="1" applyAlignment="1">
      <alignment horizontal="center" vertical="center" wrapText="1"/>
    </xf>
    <xf numFmtId="22" fontId="2" fillId="8" borderId="4" xfId="0" quotePrefix="1" applyNumberFormat="1" applyFont="1" applyFill="1" applyBorder="1" applyAlignment="1">
      <alignment horizontal="center" vertical="center" wrapText="1"/>
    </xf>
    <xf numFmtId="14" fontId="12" fillId="8" borderId="4" xfId="0" quotePrefix="1" applyNumberFormat="1" applyFont="1" applyFill="1" applyBorder="1" applyAlignment="1">
      <alignment horizontal="center" vertical="center" wrapText="1"/>
    </xf>
    <xf numFmtId="0" fontId="12" fillId="8" borderId="4" xfId="0" quotePrefix="1" applyFont="1" applyFill="1" applyBorder="1" applyAlignment="1">
      <alignment horizontal="left" vertical="center" wrapText="1"/>
    </xf>
    <xf numFmtId="0" fontId="12" fillId="8" borderId="9" xfId="0" quotePrefix="1" applyFont="1" applyFill="1" applyBorder="1" applyAlignment="1">
      <alignment horizontal="left" vertical="center" wrapText="1"/>
    </xf>
    <xf numFmtId="0" fontId="12" fillId="8" borderId="4" xfId="0" quotePrefix="1" applyFont="1" applyFill="1" applyBorder="1" applyAlignment="1">
      <alignment horizontal="center" vertical="center" wrapText="1"/>
    </xf>
    <xf numFmtId="0" fontId="5" fillId="2" borderId="24" xfId="0" quotePrefix="1" applyFont="1" applyFill="1" applyBorder="1" applyAlignment="1">
      <alignment horizontal="center" vertical="center" wrapText="1"/>
    </xf>
    <xf numFmtId="0" fontId="4" fillId="41" borderId="24" xfId="0" quotePrefix="1" applyFont="1" applyFill="1" applyBorder="1" applyAlignment="1">
      <alignment horizontal="center" vertical="center" wrapText="1"/>
    </xf>
    <xf numFmtId="14" fontId="5" fillId="41" borderId="24" xfId="0" quotePrefix="1" applyNumberFormat="1" applyFont="1" applyFill="1" applyBorder="1" applyAlignment="1">
      <alignment horizontal="center" vertical="center" wrapText="1"/>
    </xf>
    <xf numFmtId="0" fontId="4" fillId="41" borderId="30" xfId="0" quotePrefix="1" applyFont="1" applyFill="1" applyBorder="1" applyAlignment="1">
      <alignment horizontal="center" vertical="center" wrapText="1"/>
    </xf>
    <xf numFmtId="0" fontId="5" fillId="2" borderId="4" xfId="0" quotePrefix="1" applyFont="1" applyFill="1" applyBorder="1" applyAlignment="1">
      <alignment horizontal="center" vertical="center" wrapText="1"/>
    </xf>
    <xf numFmtId="0" fontId="4" fillId="41" borderId="4" xfId="0" quotePrefix="1" applyFont="1" applyFill="1" applyBorder="1" applyAlignment="1">
      <alignment horizontal="center" vertical="center" wrapText="1"/>
    </xf>
    <xf numFmtId="14" fontId="5" fillId="41" borderId="4" xfId="0" quotePrefix="1" applyNumberFormat="1" applyFont="1" applyFill="1" applyBorder="1" applyAlignment="1">
      <alignment horizontal="center" vertical="center" wrapText="1"/>
    </xf>
    <xf numFmtId="22" fontId="4" fillId="41" borderId="4" xfId="0" quotePrefix="1" applyNumberFormat="1" applyFont="1" applyFill="1" applyBorder="1" applyAlignment="1">
      <alignment horizontal="center" vertical="center" wrapText="1"/>
    </xf>
    <xf numFmtId="0" fontId="4" fillId="41" borderId="4" xfId="0" quotePrefix="1" applyFont="1" applyFill="1" applyBorder="1" applyAlignment="1">
      <alignment horizontal="left" vertical="center" wrapText="1"/>
    </xf>
    <xf numFmtId="0" fontId="4" fillId="41" borderId="9" xfId="0" quotePrefix="1" applyFont="1" applyFill="1" applyBorder="1" applyAlignment="1">
      <alignment horizontal="center" vertical="center" wrapText="1"/>
    </xf>
    <xf numFmtId="0" fontId="5" fillId="2" borderId="6" xfId="0" quotePrefix="1" applyFont="1" applyFill="1" applyBorder="1" applyAlignment="1">
      <alignment horizontal="center" vertical="center" wrapText="1"/>
    </xf>
    <xf numFmtId="0" fontId="4" fillId="41" borderId="6" xfId="0" quotePrefix="1" applyFont="1" applyFill="1" applyBorder="1" applyAlignment="1">
      <alignment horizontal="center" vertical="center" wrapText="1"/>
    </xf>
    <xf numFmtId="0" fontId="4" fillId="41" borderId="25" xfId="0" quotePrefix="1" applyFont="1" applyFill="1" applyBorder="1" applyAlignment="1">
      <alignment horizontal="center" vertical="center" wrapText="1"/>
    </xf>
    <xf numFmtId="0" fontId="4" fillId="41" borderId="10" xfId="0" quotePrefix="1" applyFont="1" applyFill="1" applyBorder="1" applyAlignment="1">
      <alignment horizontal="center" vertical="center" wrapText="1"/>
    </xf>
    <xf numFmtId="0" fontId="66" fillId="10" borderId="38" xfId="0" quotePrefix="1" applyFont="1" applyFill="1" applyBorder="1" applyAlignment="1">
      <alignment horizontal="center" vertical="center" wrapText="1"/>
    </xf>
    <xf numFmtId="0" fontId="2" fillId="3" borderId="4" xfId="0" quotePrefix="1" applyFont="1" applyFill="1" applyBorder="1" applyAlignment="1">
      <alignment horizontal="left" vertical="center" wrapText="1"/>
    </xf>
    <xf numFmtId="14" fontId="12" fillId="3" borderId="4" xfId="0" quotePrefix="1" applyNumberFormat="1" applyFont="1" applyFill="1" applyBorder="1" applyAlignment="1">
      <alignment horizontal="center" vertical="center" wrapText="1"/>
    </xf>
    <xf numFmtId="15" fontId="12" fillId="3" borderId="4" xfId="0" quotePrefix="1" applyNumberFormat="1" applyFont="1" applyFill="1" applyBorder="1" applyAlignment="1">
      <alignment horizontal="center" vertical="center" wrapText="1"/>
    </xf>
    <xf numFmtId="0" fontId="12" fillId="3" borderId="4" xfId="0" quotePrefix="1" applyFont="1" applyFill="1" applyBorder="1" applyAlignment="1">
      <alignment horizontal="left" vertical="top" wrapText="1"/>
    </xf>
    <xf numFmtId="22" fontId="12" fillId="8" borderId="4" xfId="0" quotePrefix="1" applyNumberFormat="1" applyFont="1" applyFill="1" applyBorder="1" applyAlignment="1">
      <alignment horizontal="center" vertical="center" wrapText="1"/>
    </xf>
    <xf numFmtId="0" fontId="12" fillId="8" borderId="9" xfId="0" quotePrefix="1" applyFont="1" applyFill="1" applyBorder="1" applyAlignment="1">
      <alignment horizontal="center" vertical="center" wrapText="1"/>
    </xf>
    <xf numFmtId="0" fontId="2" fillId="3" borderId="9" xfId="0" quotePrefix="1" applyFont="1" applyFill="1" applyBorder="1" applyAlignment="1">
      <alignment horizontal="left" vertical="top" wrapText="1"/>
    </xf>
    <xf numFmtId="0" fontId="5" fillId="8" borderId="24" xfId="0" quotePrefix="1" applyFont="1" applyFill="1" applyBorder="1" applyAlignment="1">
      <alignment horizontal="center" vertical="center" wrapText="1"/>
    </xf>
    <xf numFmtId="0" fontId="4" fillId="8" borderId="24" xfId="0" quotePrefix="1" applyFont="1" applyFill="1" applyBorder="1" applyAlignment="1">
      <alignment horizontal="center" vertical="center" wrapText="1"/>
    </xf>
    <xf numFmtId="22" fontId="5" fillId="8" borderId="24" xfId="0" quotePrefix="1" applyNumberFormat="1" applyFont="1" applyFill="1" applyBorder="1" applyAlignment="1">
      <alignment horizontal="center" vertical="center" wrapText="1"/>
    </xf>
    <xf numFmtId="0" fontId="4" fillId="8" borderId="24" xfId="0" quotePrefix="1" applyFont="1" applyFill="1" applyBorder="1" applyAlignment="1">
      <alignment horizontal="left" vertical="top" wrapText="1"/>
    </xf>
    <xf numFmtId="0" fontId="4" fillId="8" borderId="30" xfId="0" quotePrefix="1" applyFont="1" applyFill="1" applyBorder="1" applyAlignment="1">
      <alignment horizontal="left" vertical="center" wrapText="1"/>
    </xf>
    <xf numFmtId="0" fontId="4" fillId="0" borderId="4" xfId="0" quotePrefix="1" applyFont="1" applyBorder="1" applyAlignment="1">
      <alignment horizontal="center" vertical="center" wrapText="1"/>
    </xf>
    <xf numFmtId="0" fontId="4" fillId="27" borderId="4" xfId="0" quotePrefix="1" applyFont="1" applyFill="1" applyBorder="1" applyAlignment="1">
      <alignment horizontal="left" vertical="center" wrapText="1"/>
    </xf>
    <xf numFmtId="14" fontId="4" fillId="27" borderId="4" xfId="0" quotePrefix="1" applyNumberFormat="1" applyFont="1" applyFill="1" applyBorder="1" applyAlignment="1">
      <alignment horizontal="center" vertical="center" wrapText="1"/>
    </xf>
    <xf numFmtId="15" fontId="4" fillId="27" borderId="4" xfId="0" quotePrefix="1" applyNumberFormat="1" applyFont="1" applyFill="1" applyBorder="1" applyAlignment="1">
      <alignment horizontal="center" vertical="center" wrapText="1"/>
    </xf>
    <xf numFmtId="15" fontId="4" fillId="27" borderId="4" xfId="0" quotePrefix="1" applyNumberFormat="1" applyFont="1" applyFill="1" applyBorder="1" applyAlignment="1">
      <alignment horizontal="left" vertical="top" wrapText="1"/>
    </xf>
    <xf numFmtId="15" fontId="4" fillId="27" borderId="11" xfId="0" quotePrefix="1" applyNumberFormat="1" applyFont="1" applyFill="1" applyBorder="1" applyAlignment="1">
      <alignment horizontal="left" vertical="top" wrapText="1"/>
    </xf>
    <xf numFmtId="0" fontId="5" fillId="8" borderId="4" xfId="0" quotePrefix="1" applyFont="1" applyFill="1" applyBorder="1" applyAlignment="1">
      <alignment horizontal="center" vertical="center" wrapText="1"/>
    </xf>
    <xf numFmtId="0" fontId="4" fillId="8" borderId="4" xfId="0" quotePrefix="1" applyFont="1" applyFill="1" applyBorder="1" applyAlignment="1">
      <alignment horizontal="center" vertical="center" wrapText="1"/>
    </xf>
    <xf numFmtId="0" fontId="4" fillId="8" borderId="4" xfId="0" quotePrefix="1" applyFont="1" applyFill="1" applyBorder="1" applyAlignment="1">
      <alignment horizontal="left" vertical="center" wrapText="1"/>
    </xf>
    <xf numFmtId="0" fontId="4" fillId="8" borderId="11" xfId="0" quotePrefix="1" applyFont="1" applyFill="1" applyBorder="1" applyAlignment="1">
      <alignment horizontal="left" vertical="center" wrapText="1"/>
    </xf>
    <xf numFmtId="0" fontId="4" fillId="3" borderId="4" xfId="0" quotePrefix="1" applyFont="1" applyFill="1" applyBorder="1" applyAlignment="1">
      <alignment horizontal="center" vertical="center" wrapText="1"/>
    </xf>
    <xf numFmtId="22" fontId="4" fillId="3" borderId="4" xfId="0" quotePrefix="1" applyNumberFormat="1" applyFont="1" applyFill="1" applyBorder="1" applyAlignment="1">
      <alignment horizontal="center" vertical="center" wrapText="1"/>
    </xf>
    <xf numFmtId="0" fontId="4" fillId="3" borderId="4" xfId="0" quotePrefix="1" applyFont="1" applyFill="1" applyBorder="1" applyAlignment="1">
      <alignment horizontal="left" vertical="center" wrapText="1"/>
    </xf>
    <xf numFmtId="0" fontId="4" fillId="3" borderId="11" xfId="0" quotePrefix="1" applyFont="1" applyFill="1" applyBorder="1" applyAlignment="1">
      <alignment horizontal="left" vertical="center" wrapText="1"/>
    </xf>
    <xf numFmtId="0" fontId="4" fillId="3" borderId="6" xfId="0" quotePrefix="1" applyFont="1" applyFill="1" applyBorder="1" applyAlignment="1">
      <alignment horizontal="center" vertical="center" wrapText="1"/>
    </xf>
    <xf numFmtId="0" fontId="4" fillId="3" borderId="4" xfId="0" quotePrefix="1" applyFont="1" applyFill="1" applyBorder="1" applyAlignment="1">
      <alignment horizontal="left" vertical="top" wrapText="1"/>
    </xf>
    <xf numFmtId="0" fontId="4" fillId="3" borderId="35" xfId="0" quotePrefix="1" applyFont="1" applyFill="1" applyBorder="1" applyAlignment="1">
      <alignment horizontal="left" vertical="top" wrapText="1"/>
    </xf>
    <xf numFmtId="0" fontId="4" fillId="7" borderId="4" xfId="0" quotePrefix="1" applyFont="1" applyFill="1" applyBorder="1" applyAlignment="1">
      <alignment horizontal="center" vertical="center" wrapText="1"/>
    </xf>
    <xf numFmtId="0" fontId="4" fillId="7" borderId="11" xfId="0" quotePrefix="1" applyFont="1" applyFill="1" applyBorder="1" applyAlignment="1">
      <alignment horizontal="left" vertical="center" wrapText="1"/>
    </xf>
    <xf numFmtId="0" fontId="45" fillId="2" borderId="4" xfId="0" quotePrefix="1" applyFont="1" applyFill="1" applyBorder="1" applyAlignment="1">
      <alignment horizontal="center" vertical="center" wrapText="1"/>
    </xf>
    <xf numFmtId="22" fontId="45" fillId="3" borderId="4" xfId="0" quotePrefix="1" applyNumberFormat="1" applyFont="1" applyFill="1" applyBorder="1" applyAlignment="1">
      <alignment horizontal="center" vertical="center" wrapText="1"/>
    </xf>
    <xf numFmtId="0" fontId="48" fillId="3" borderId="4" xfId="0" quotePrefix="1" applyFont="1" applyFill="1" applyBorder="1" applyAlignment="1">
      <alignment horizontal="left" vertical="top" wrapText="1"/>
    </xf>
    <xf numFmtId="0" fontId="48" fillId="3" borderId="11" xfId="0" quotePrefix="1" applyFont="1" applyFill="1" applyBorder="1" applyAlignment="1">
      <alignment horizontal="left" vertical="center" wrapText="1"/>
    </xf>
    <xf numFmtId="22" fontId="4" fillId="8" borderId="4" xfId="0" quotePrefix="1" applyNumberFormat="1" applyFont="1" applyFill="1" applyBorder="1" applyAlignment="1">
      <alignment horizontal="center" vertical="center" wrapText="1"/>
    </xf>
    <xf numFmtId="0" fontId="48" fillId="3" borderId="9" xfId="0" quotePrefix="1" applyFont="1" applyFill="1" applyBorder="1" applyAlignment="1">
      <alignment horizontal="left" vertical="center" wrapText="1"/>
    </xf>
    <xf numFmtId="0" fontId="12" fillId="2" borderId="24" xfId="0" quotePrefix="1" applyFont="1" applyFill="1" applyBorder="1" applyAlignment="1">
      <alignment horizontal="center" vertical="center" wrapText="1"/>
    </xf>
    <xf numFmtId="0" fontId="16" fillId="7" borderId="24" xfId="0" quotePrefix="1" applyFont="1" applyFill="1" applyBorder="1" applyAlignment="1">
      <alignment horizontal="left" vertical="center" wrapText="1"/>
    </xf>
    <xf numFmtId="14" fontId="12" fillId="7" borderId="24" xfId="0" quotePrefix="1" applyNumberFormat="1" applyFont="1" applyFill="1" applyBorder="1" applyAlignment="1">
      <alignment horizontal="center" vertical="center" wrapText="1"/>
    </xf>
    <xf numFmtId="15" fontId="12" fillId="7" borderId="24" xfId="0" quotePrefix="1" applyNumberFormat="1" applyFont="1" applyFill="1" applyBorder="1" applyAlignment="1">
      <alignment horizontal="center" vertical="center" wrapText="1"/>
    </xf>
    <xf numFmtId="0" fontId="12" fillId="7" borderId="24" xfId="0" quotePrefix="1" applyFont="1" applyFill="1" applyBorder="1" applyAlignment="1">
      <alignment horizontal="left" vertical="center" wrapText="1"/>
    </xf>
    <xf numFmtId="0" fontId="12" fillId="7" borderId="30" xfId="0" quotePrefix="1" applyFont="1" applyFill="1" applyBorder="1" applyAlignment="1">
      <alignment horizontal="left" vertical="center" wrapText="1"/>
    </xf>
    <xf numFmtId="0" fontId="12" fillId="7" borderId="11" xfId="0" quotePrefix="1" applyFont="1" applyFill="1" applyBorder="1" applyAlignment="1">
      <alignment horizontal="left" vertical="center" wrapText="1"/>
    </xf>
    <xf numFmtId="0" fontId="12" fillId="3" borderId="11" xfId="0" quotePrefix="1" applyFont="1" applyFill="1" applyBorder="1" applyAlignment="1">
      <alignment horizontal="left" vertical="center" wrapText="1"/>
    </xf>
    <xf numFmtId="0" fontId="12" fillId="27" borderId="4" xfId="0" quotePrefix="1" applyFont="1" applyFill="1" applyBorder="1" applyAlignment="1">
      <alignment horizontal="left" vertical="center" wrapText="1"/>
    </xf>
    <xf numFmtId="0" fontId="12" fillId="27" borderId="4" xfId="0" quotePrefix="1" applyFont="1" applyFill="1" applyBorder="1" applyAlignment="1">
      <alignment horizontal="center" vertical="center" wrapText="1"/>
    </xf>
    <xf numFmtId="14" fontId="12" fillId="27" borderId="4" xfId="0" quotePrefix="1" applyNumberFormat="1" applyFont="1" applyFill="1" applyBorder="1" applyAlignment="1">
      <alignment horizontal="center" vertical="center" wrapText="1"/>
    </xf>
    <xf numFmtId="15" fontId="12" fillId="27" borderId="4" xfId="0" quotePrefix="1" applyNumberFormat="1" applyFont="1" applyFill="1" applyBorder="1" applyAlignment="1">
      <alignment horizontal="center" vertical="center" wrapText="1"/>
    </xf>
    <xf numFmtId="15" fontId="12" fillId="27" borderId="4" xfId="0" quotePrefix="1" applyNumberFormat="1" applyFont="1" applyFill="1" applyBorder="1" applyAlignment="1">
      <alignment horizontal="left" vertical="top" wrapText="1"/>
    </xf>
    <xf numFmtId="0" fontId="12" fillId="27" borderId="11" xfId="0" quotePrefix="1" applyFont="1" applyFill="1" applyBorder="1" applyAlignment="1">
      <alignment horizontal="left" vertical="center" wrapText="1"/>
    </xf>
    <xf numFmtId="15" fontId="12" fillId="3" borderId="4" xfId="0" quotePrefix="1" applyNumberFormat="1" applyFont="1" applyFill="1" applyBorder="1" applyAlignment="1">
      <alignment horizontal="left" vertical="top" wrapText="1"/>
    </xf>
    <xf numFmtId="15" fontId="12" fillId="3" borderId="4" xfId="0" quotePrefix="1" applyNumberFormat="1" applyFont="1" applyFill="1" applyBorder="1" applyAlignment="1">
      <alignment horizontal="left" vertical="center" wrapText="1"/>
    </xf>
    <xf numFmtId="0" fontId="7" fillId="2" borderId="4" xfId="0" quotePrefix="1" applyFont="1" applyFill="1" applyBorder="1" applyAlignment="1">
      <alignment horizontal="center" vertical="center" wrapText="1"/>
    </xf>
    <xf numFmtId="0" fontId="7" fillId="7" borderId="4" xfId="0" quotePrefix="1" applyFont="1" applyFill="1" applyBorder="1" applyAlignment="1">
      <alignment horizontal="center" vertical="center" wrapText="1"/>
    </xf>
    <xf numFmtId="22" fontId="15" fillId="7" borderId="4" xfId="0" quotePrefix="1" applyNumberFormat="1" applyFont="1" applyFill="1" applyBorder="1" applyAlignment="1">
      <alignment horizontal="center" vertical="center" wrapText="1"/>
    </xf>
    <xf numFmtId="0" fontId="7" fillId="7" borderId="4" xfId="0" quotePrefix="1" applyFont="1" applyFill="1" applyBorder="1" applyAlignment="1">
      <alignment horizontal="left" vertical="center" wrapText="1"/>
    </xf>
    <xf numFmtId="0" fontId="7" fillId="7" borderId="9" xfId="0" quotePrefix="1" applyFont="1" applyFill="1" applyBorder="1" applyAlignment="1">
      <alignment horizontal="left" vertical="center" wrapText="1"/>
    </xf>
    <xf numFmtId="0" fontId="15" fillId="2" borderId="4" xfId="0" quotePrefix="1" applyFont="1" applyFill="1" applyBorder="1" applyAlignment="1">
      <alignment horizontal="center" vertical="center" wrapText="1"/>
    </xf>
    <xf numFmtId="0" fontId="7" fillId="3" borderId="4" xfId="0" quotePrefix="1" applyFont="1" applyFill="1" applyBorder="1" applyAlignment="1">
      <alignment horizontal="center" vertical="center" wrapText="1"/>
    </xf>
    <xf numFmtId="22" fontId="15" fillId="3" borderId="4" xfId="0" quotePrefix="1" applyNumberFormat="1" applyFont="1" applyFill="1" applyBorder="1" applyAlignment="1">
      <alignment horizontal="center" vertical="center" wrapText="1"/>
    </xf>
    <xf numFmtId="0" fontId="7" fillId="3" borderId="4" xfId="0" quotePrefix="1" applyFont="1" applyFill="1" applyBorder="1" applyAlignment="1">
      <alignment horizontal="left" vertical="center" wrapText="1"/>
    </xf>
    <xf numFmtId="0" fontId="7" fillId="3" borderId="9" xfId="0" quotePrefix="1" applyFont="1" applyFill="1" applyBorder="1" applyAlignment="1">
      <alignment horizontal="left" vertical="center" wrapText="1"/>
    </xf>
    <xf numFmtId="0" fontId="7" fillId="3" borderId="5" xfId="0" quotePrefix="1" applyFont="1" applyFill="1" applyBorder="1" applyAlignment="1">
      <alignment horizontal="left" vertical="center" wrapText="1"/>
    </xf>
    <xf numFmtId="0" fontId="7" fillId="27" borderId="4" xfId="0" quotePrefix="1" applyFont="1" applyFill="1" applyBorder="1" applyAlignment="1">
      <alignment horizontal="left" vertical="center" wrapText="1"/>
    </xf>
    <xf numFmtId="14" fontId="7" fillId="27" borderId="4" xfId="0" quotePrefix="1" applyNumberFormat="1" applyFont="1" applyFill="1" applyBorder="1" applyAlignment="1">
      <alignment horizontal="center" vertical="center" wrapText="1"/>
    </xf>
    <xf numFmtId="15" fontId="7" fillId="27" borderId="4" xfId="0" quotePrefix="1" applyNumberFormat="1" applyFont="1" applyFill="1" applyBorder="1" applyAlignment="1">
      <alignment horizontal="center" vertical="center" wrapText="1"/>
    </xf>
    <xf numFmtId="15" fontId="7" fillId="27" borderId="4" xfId="0" quotePrefix="1" applyNumberFormat="1" applyFont="1" applyFill="1" applyBorder="1" applyAlignment="1">
      <alignment horizontal="left" vertical="center" wrapText="1"/>
    </xf>
    <xf numFmtId="15" fontId="7" fillId="27" borderId="9" xfId="0" quotePrefix="1" applyNumberFormat="1" applyFont="1" applyFill="1" applyBorder="1" applyAlignment="1">
      <alignment horizontal="left" vertical="center" wrapText="1"/>
    </xf>
    <xf numFmtId="14" fontId="7" fillId="3" borderId="4" xfId="0" quotePrefix="1" applyNumberFormat="1" applyFont="1" applyFill="1" applyBorder="1" applyAlignment="1">
      <alignment horizontal="center" vertical="center" wrapText="1"/>
    </xf>
    <xf numFmtId="15" fontId="7" fillId="3" borderId="4" xfId="0" quotePrefix="1" applyNumberFormat="1" applyFont="1" applyFill="1" applyBorder="1" applyAlignment="1">
      <alignment horizontal="center" vertical="center" wrapText="1"/>
    </xf>
    <xf numFmtId="15" fontId="7" fillId="3" borderId="4" xfId="0" quotePrefix="1" applyNumberFormat="1" applyFont="1" applyFill="1" applyBorder="1" applyAlignment="1">
      <alignment horizontal="left" vertical="top" wrapText="1"/>
    </xf>
    <xf numFmtId="15" fontId="7" fillId="3" borderId="9" xfId="0" quotePrefix="1" applyNumberFormat="1" applyFont="1" applyFill="1" applyBorder="1" applyAlignment="1">
      <alignment horizontal="left" vertical="center" wrapText="1"/>
    </xf>
    <xf numFmtId="14" fontId="7" fillId="7" borderId="4" xfId="0" quotePrefix="1" applyNumberFormat="1" applyFont="1" applyFill="1" applyBorder="1" applyAlignment="1">
      <alignment horizontal="center" vertical="center" wrapText="1"/>
    </xf>
    <xf numFmtId="15" fontId="7" fillId="7" borderId="4" xfId="0" quotePrefix="1" applyNumberFormat="1" applyFont="1" applyFill="1" applyBorder="1" applyAlignment="1">
      <alignment horizontal="center" vertical="center" wrapText="1"/>
    </xf>
    <xf numFmtId="15" fontId="7" fillId="7" borderId="6" xfId="0" quotePrefix="1" applyNumberFormat="1" applyFont="1" applyFill="1" applyBorder="1" applyAlignment="1">
      <alignment horizontal="center" vertical="center" wrapText="1"/>
    </xf>
    <xf numFmtId="0" fontId="7" fillId="3" borderId="5" xfId="0" quotePrefix="1" applyFont="1" applyFill="1" applyBorder="1" applyAlignment="1">
      <alignment horizontal="center" vertical="center" wrapText="1"/>
    </xf>
    <xf numFmtId="15" fontId="7" fillId="3" borderId="4" xfId="0" quotePrefix="1" applyNumberFormat="1" applyFont="1" applyFill="1" applyBorder="1" applyAlignment="1">
      <alignment horizontal="left" vertical="center" wrapText="1"/>
    </xf>
    <xf numFmtId="4" fontId="7" fillId="7" borderId="4" xfId="1" quotePrefix="1" applyNumberFormat="1" applyFont="1" applyFill="1" applyBorder="1" applyAlignment="1">
      <alignment horizontal="center" vertical="center" wrapText="1"/>
    </xf>
    <xf numFmtId="15" fontId="7" fillId="7" borderId="4" xfId="0" quotePrefix="1" applyNumberFormat="1" applyFont="1" applyFill="1" applyBorder="1" applyAlignment="1">
      <alignment horizontal="left" vertical="center" wrapText="1"/>
    </xf>
    <xf numFmtId="22" fontId="7" fillId="3" borderId="4" xfId="0" quotePrefix="1" applyNumberFormat="1" applyFont="1" applyFill="1" applyBorder="1" applyAlignment="1">
      <alignment horizontal="center" vertical="center" wrapText="1"/>
    </xf>
    <xf numFmtId="15" fontId="7" fillId="7" borderId="4" xfId="0" quotePrefix="1" applyNumberFormat="1" applyFont="1" applyFill="1" applyBorder="1" applyAlignment="1">
      <alignment horizontal="left" vertical="top" wrapText="1"/>
    </xf>
    <xf numFmtId="0" fontId="7" fillId="2" borderId="24" xfId="0" quotePrefix="1" applyFont="1" applyFill="1" applyBorder="1" applyAlignment="1">
      <alignment horizontal="center" vertical="center" wrapText="1"/>
    </xf>
    <xf numFmtId="0" fontId="7" fillId="7" borderId="24" xfId="0" quotePrefix="1" applyFont="1" applyFill="1" applyBorder="1" applyAlignment="1">
      <alignment horizontal="left" vertical="center" wrapText="1"/>
    </xf>
    <xf numFmtId="14" fontId="7" fillId="7" borderId="24" xfId="0" quotePrefix="1" applyNumberFormat="1" applyFont="1" applyFill="1" applyBorder="1" applyAlignment="1">
      <alignment horizontal="center" vertical="center" wrapText="1"/>
    </xf>
    <xf numFmtId="15" fontId="7" fillId="7" borderId="24" xfId="0" quotePrefix="1" applyNumberFormat="1" applyFont="1" applyFill="1" applyBorder="1" applyAlignment="1">
      <alignment horizontal="center" vertical="center" wrapText="1"/>
    </xf>
    <xf numFmtId="15" fontId="7" fillId="7" borderId="24" xfId="0" quotePrefix="1" applyNumberFormat="1" applyFont="1" applyFill="1" applyBorder="1" applyAlignment="1">
      <alignment horizontal="left" vertical="center" wrapText="1"/>
    </xf>
    <xf numFmtId="0" fontId="7" fillId="3" borderId="9" xfId="0" quotePrefix="1" applyFont="1" applyFill="1" applyBorder="1" applyAlignment="1">
      <alignment vertical="center" wrapText="1"/>
    </xf>
    <xf numFmtId="0" fontId="7" fillId="2" borderId="6" xfId="0" quotePrefix="1" applyFont="1" applyFill="1" applyBorder="1" applyAlignment="1">
      <alignment horizontal="center" vertical="center" wrapText="1"/>
    </xf>
    <xf numFmtId="0" fontId="7" fillId="3" borderId="6" xfId="0" quotePrefix="1" applyFont="1" applyFill="1" applyBorder="1" applyAlignment="1">
      <alignment horizontal="left" vertical="center" wrapText="1"/>
    </xf>
    <xf numFmtId="14" fontId="7" fillId="3" borderId="6" xfId="0" quotePrefix="1" applyNumberFormat="1" applyFont="1" applyFill="1" applyBorder="1" applyAlignment="1">
      <alignment horizontal="center" vertical="center" wrapText="1"/>
    </xf>
    <xf numFmtId="15" fontId="7" fillId="3" borderId="6" xfId="0" quotePrefix="1" applyNumberFormat="1" applyFont="1" applyFill="1" applyBorder="1" applyAlignment="1">
      <alignment horizontal="center" vertical="center" wrapText="1"/>
    </xf>
    <xf numFmtId="4" fontId="7" fillId="3" borderId="4" xfId="1" quotePrefix="1" applyNumberFormat="1" applyFont="1" applyFill="1" applyBorder="1" applyAlignment="1">
      <alignment horizontal="center" vertical="center" wrapText="1"/>
    </xf>
    <xf numFmtId="15" fontId="7" fillId="7" borderId="9" xfId="0" quotePrefix="1" applyNumberFormat="1" applyFont="1" applyFill="1" applyBorder="1" applyAlignment="1">
      <alignment horizontal="left" vertical="center" wrapText="1"/>
    </xf>
    <xf numFmtId="15" fontId="7" fillId="7" borderId="30" xfId="0" quotePrefix="1" applyNumberFormat="1" applyFont="1" applyFill="1" applyBorder="1" applyAlignment="1">
      <alignment horizontal="left" vertical="center" wrapText="1"/>
    </xf>
    <xf numFmtId="0" fontId="7" fillId="3" borderId="10" xfId="0" quotePrefix="1" applyFont="1" applyFill="1" applyBorder="1" applyAlignment="1">
      <alignment horizontal="left" vertical="center" wrapText="1"/>
    </xf>
    <xf numFmtId="0" fontId="7" fillId="2" borderId="2" xfId="0" quotePrefix="1" applyFont="1" applyFill="1" applyBorder="1" applyAlignment="1">
      <alignment horizontal="center" vertical="center" wrapText="1"/>
    </xf>
    <xf numFmtId="0" fontId="7" fillId="7" borderId="2" xfId="0" quotePrefix="1" applyFont="1" applyFill="1" applyBorder="1" applyAlignment="1">
      <alignment horizontal="left" vertical="center" wrapText="1"/>
    </xf>
    <xf numFmtId="0" fontId="7" fillId="7" borderId="2" xfId="0" quotePrefix="1" applyFont="1" applyFill="1" applyBorder="1" applyAlignment="1">
      <alignment horizontal="center" vertical="center" wrapText="1"/>
    </xf>
    <xf numFmtId="14" fontId="7" fillId="7" borderId="2" xfId="0" quotePrefix="1" applyNumberFormat="1" applyFont="1" applyFill="1" applyBorder="1" applyAlignment="1">
      <alignment horizontal="center" vertical="center" wrapText="1"/>
    </xf>
    <xf numFmtId="22" fontId="7" fillId="7" borderId="2" xfId="0" quotePrefix="1" applyNumberFormat="1" applyFont="1" applyFill="1" applyBorder="1" applyAlignment="1">
      <alignment horizontal="center" vertical="center" wrapText="1"/>
    </xf>
    <xf numFmtId="15" fontId="7" fillId="7" borderId="2" xfId="0" quotePrefix="1" applyNumberFormat="1" applyFont="1" applyFill="1" applyBorder="1" applyAlignment="1">
      <alignment horizontal="center" vertical="center" wrapText="1"/>
    </xf>
    <xf numFmtId="0" fontId="7" fillId="7" borderId="8" xfId="0" quotePrefix="1" applyFont="1" applyFill="1" applyBorder="1" applyAlignment="1">
      <alignment vertical="center" wrapText="1"/>
    </xf>
    <xf numFmtId="4" fontId="7" fillId="3" borderId="6" xfId="1" quotePrefix="1" applyNumberFormat="1" applyFont="1" applyFill="1" applyBorder="1" applyAlignment="1">
      <alignment horizontal="center" vertical="center" wrapText="1"/>
    </xf>
    <xf numFmtId="15" fontId="7" fillId="3" borderId="6" xfId="0" quotePrefix="1" applyNumberFormat="1" applyFont="1" applyFill="1" applyBorder="1" applyAlignment="1">
      <alignment horizontal="left" vertical="center" wrapText="1"/>
    </xf>
    <xf numFmtId="15" fontId="7" fillId="3" borderId="10" xfId="0" quotePrefix="1" applyNumberFormat="1" applyFont="1" applyFill="1" applyBorder="1" applyAlignment="1">
      <alignment horizontal="left" vertical="center" wrapText="1"/>
    </xf>
    <xf numFmtId="0" fontId="7" fillId="27" borderId="9" xfId="0" quotePrefix="1" applyFont="1" applyFill="1" applyBorder="1" applyAlignment="1">
      <alignment horizontal="left" vertical="center" wrapText="1"/>
    </xf>
    <xf numFmtId="0" fontId="7" fillId="29" borderId="4" xfId="0" quotePrefix="1" applyFont="1" applyFill="1" applyBorder="1" applyAlignment="1">
      <alignment horizontal="left" vertical="center" wrapText="1"/>
    </xf>
    <xf numFmtId="14" fontId="7" fillId="29" borderId="4" xfId="0" quotePrefix="1" applyNumberFormat="1" applyFont="1" applyFill="1" applyBorder="1" applyAlignment="1">
      <alignment horizontal="center" vertical="center" wrapText="1"/>
    </xf>
    <xf numFmtId="15" fontId="7" fillId="29" borderId="4" xfId="0" quotePrefix="1" applyNumberFormat="1" applyFont="1" applyFill="1" applyBorder="1" applyAlignment="1">
      <alignment horizontal="center" vertical="center" wrapText="1"/>
    </xf>
    <xf numFmtId="0" fontId="7" fillId="29" borderId="9" xfId="0" quotePrefix="1" applyFont="1" applyFill="1" applyBorder="1" applyAlignment="1">
      <alignment horizontal="left" vertical="center" wrapText="1"/>
    </xf>
    <xf numFmtId="0" fontId="7" fillId="29" borderId="9" xfId="0" quotePrefix="1" applyFont="1" applyFill="1" applyBorder="1" applyAlignment="1">
      <alignment vertical="center" wrapText="1"/>
    </xf>
    <xf numFmtId="0" fontId="7" fillId="29" borderId="24" xfId="0" quotePrefix="1" applyFont="1" applyFill="1" applyBorder="1" applyAlignment="1">
      <alignment horizontal="left" vertical="center" wrapText="1"/>
    </xf>
    <xf numFmtId="14" fontId="7" fillId="29" borderId="24" xfId="0" quotePrefix="1" applyNumberFormat="1" applyFont="1" applyFill="1" applyBorder="1" applyAlignment="1">
      <alignment horizontal="center" vertical="center" wrapText="1"/>
    </xf>
    <xf numFmtId="2" fontId="7" fillId="29" borderId="24" xfId="0" quotePrefix="1" applyNumberFormat="1" applyFont="1" applyFill="1" applyBorder="1" applyAlignment="1">
      <alignment horizontal="center" vertical="center" wrapText="1"/>
    </xf>
    <xf numFmtId="15" fontId="7" fillId="29" borderId="24" xfId="0" quotePrefix="1" applyNumberFormat="1" applyFont="1" applyFill="1" applyBorder="1" applyAlignment="1">
      <alignment horizontal="center" vertical="center" wrapText="1"/>
    </xf>
    <xf numFmtId="15" fontId="7" fillId="29" borderId="24" xfId="0" quotePrefix="1" applyNumberFormat="1" applyFont="1" applyFill="1" applyBorder="1" applyAlignment="1">
      <alignment horizontal="left" vertical="center" wrapText="1"/>
    </xf>
    <xf numFmtId="0" fontId="7" fillId="29" borderId="30" xfId="0" quotePrefix="1" applyFont="1" applyFill="1" applyBorder="1" applyAlignment="1">
      <alignment vertical="center" wrapText="1"/>
    </xf>
    <xf numFmtId="15" fontId="15" fillId="3" borderId="4" xfId="0" quotePrefix="1" applyNumberFormat="1" applyFont="1" applyFill="1" applyBorder="1" applyAlignment="1">
      <alignment horizontal="left" vertical="center" wrapText="1"/>
    </xf>
    <xf numFmtId="15" fontId="15" fillId="27" borderId="4" xfId="0" quotePrefix="1" applyNumberFormat="1" applyFont="1" applyFill="1" applyBorder="1" applyAlignment="1">
      <alignment horizontal="left" vertical="center" wrapText="1"/>
    </xf>
    <xf numFmtId="15" fontId="15" fillId="7" borderId="4" xfId="0" quotePrefix="1" applyNumberFormat="1" applyFont="1" applyFill="1" applyBorder="1" applyAlignment="1">
      <alignment horizontal="left" vertical="center" wrapText="1"/>
    </xf>
    <xf numFmtId="2" fontId="7" fillId="3" borderId="4" xfId="0" quotePrefix="1" applyNumberFormat="1" applyFont="1" applyFill="1" applyBorder="1" applyAlignment="1">
      <alignment horizontal="center" vertical="center" wrapText="1"/>
    </xf>
    <xf numFmtId="0" fontId="15" fillId="2" borderId="14" xfId="0" quotePrefix="1" applyFont="1" applyFill="1" applyBorder="1" applyAlignment="1">
      <alignment horizontal="left" vertical="center" wrapText="1"/>
    </xf>
    <xf numFmtId="0" fontId="7" fillId="3" borderId="4" xfId="0" quotePrefix="1" applyFont="1" applyFill="1" applyBorder="1" applyAlignment="1">
      <alignment vertical="center" wrapText="1"/>
    </xf>
    <xf numFmtId="0" fontId="7" fillId="2" borderId="14" xfId="0" quotePrefix="1" applyFont="1" applyFill="1" applyBorder="1" applyAlignment="1">
      <alignment horizontal="left" vertical="center" wrapText="1"/>
    </xf>
    <xf numFmtId="15" fontId="15" fillId="7" borderId="24" xfId="0" quotePrefix="1" applyNumberFormat="1" applyFont="1" applyFill="1" applyBorder="1" applyAlignment="1">
      <alignment horizontal="center" vertical="center" wrapText="1"/>
    </xf>
    <xf numFmtId="15" fontId="15" fillId="3" borderId="4" xfId="0" quotePrefix="1" applyNumberFormat="1" applyFont="1" applyFill="1" applyBorder="1" applyAlignment="1">
      <alignment horizontal="center" vertical="center" wrapText="1"/>
    </xf>
    <xf numFmtId="0" fontId="7" fillId="18" borderId="4" xfId="0" quotePrefix="1" applyFont="1" applyFill="1" applyBorder="1" applyAlignment="1">
      <alignment horizontal="center" vertical="center" wrapText="1"/>
    </xf>
    <xf numFmtId="0" fontId="15" fillId="19" borderId="4" xfId="0" quotePrefix="1" applyFont="1" applyFill="1" applyBorder="1" applyAlignment="1">
      <alignment horizontal="center" vertical="center" wrapText="1"/>
    </xf>
    <xf numFmtId="165" fontId="15" fillId="19" borderId="4" xfId="0" quotePrefix="1" applyNumberFormat="1" applyFont="1" applyFill="1" applyBorder="1" applyAlignment="1">
      <alignment horizontal="center" vertical="center" wrapText="1"/>
    </xf>
    <xf numFmtId="0" fontId="15" fillId="19" borderId="9" xfId="0" quotePrefix="1" applyFont="1" applyFill="1" applyBorder="1" applyAlignment="1">
      <alignment horizontal="left" vertical="center" wrapText="1"/>
    </xf>
    <xf numFmtId="0" fontId="7" fillId="19" borderId="6" xfId="0" quotePrefix="1" applyFont="1" applyFill="1" applyBorder="1" applyAlignment="1">
      <alignment horizontal="left" vertical="center" wrapText="1"/>
    </xf>
    <xf numFmtId="14" fontId="7" fillId="19" borderId="6" xfId="0" quotePrefix="1" applyNumberFormat="1" applyFont="1" applyFill="1" applyBorder="1" applyAlignment="1">
      <alignment horizontal="center" vertical="center" wrapText="1"/>
    </xf>
    <xf numFmtId="22" fontId="7" fillId="19" borderId="6" xfId="0" quotePrefix="1" applyNumberFormat="1" applyFont="1" applyFill="1" applyBorder="1" applyAlignment="1">
      <alignment horizontal="center" vertical="center" wrapText="1"/>
    </xf>
    <xf numFmtId="0" fontId="7" fillId="19" borderId="6" xfId="0" quotePrefix="1" applyFont="1" applyFill="1" applyBorder="1" applyAlignment="1">
      <alignment horizontal="center" vertical="center" wrapText="1"/>
    </xf>
    <xf numFmtId="0" fontId="7" fillId="19" borderId="4" xfId="0" quotePrefix="1" applyFont="1" applyFill="1" applyBorder="1" applyAlignment="1">
      <alignment horizontal="center" vertical="center" wrapText="1"/>
    </xf>
    <xf numFmtId="0" fontId="7" fillId="19" borderId="9" xfId="0" quotePrefix="1" applyFont="1" applyFill="1" applyBorder="1" applyAlignment="1">
      <alignment vertical="center" wrapText="1"/>
    </xf>
    <xf numFmtId="0" fontId="7" fillId="19" borderId="4" xfId="0" quotePrefix="1" applyFont="1" applyFill="1" applyBorder="1" applyAlignment="1">
      <alignment horizontal="left" vertical="center" wrapText="1"/>
    </xf>
    <xf numFmtId="14" fontId="7" fillId="19" borderId="4" xfId="0" quotePrefix="1" applyNumberFormat="1" applyFont="1" applyFill="1" applyBorder="1" applyAlignment="1">
      <alignment horizontal="center" vertical="center" wrapText="1"/>
    </xf>
    <xf numFmtId="22" fontId="7" fillId="19" borderId="4" xfId="0" quotePrefix="1" applyNumberFormat="1" applyFont="1" applyFill="1" applyBorder="1" applyAlignment="1">
      <alignment horizontal="center" vertical="center" wrapText="1"/>
    </xf>
    <xf numFmtId="4" fontId="15" fillId="19" borderId="4" xfId="1" quotePrefix="1" applyNumberFormat="1" applyFont="1" applyFill="1" applyBorder="1" applyAlignment="1">
      <alignment horizontal="center" vertical="center" wrapText="1"/>
    </xf>
    <xf numFmtId="15" fontId="7" fillId="19" borderId="4" xfId="0" quotePrefix="1" applyNumberFormat="1" applyFont="1" applyFill="1" applyBorder="1" applyAlignment="1">
      <alignment horizontal="center" vertical="center" wrapText="1"/>
    </xf>
    <xf numFmtId="15" fontId="15" fillId="19" borderId="4" xfId="0" quotePrefix="1" applyNumberFormat="1" applyFont="1" applyFill="1" applyBorder="1" applyAlignment="1">
      <alignment horizontal="left" vertical="center" wrapText="1"/>
    </xf>
    <xf numFmtId="15" fontId="7" fillId="19" borderId="9" xfId="0" quotePrefix="1" applyNumberFormat="1" applyFont="1" applyFill="1" applyBorder="1" applyAlignment="1">
      <alignment horizontal="left" vertical="center" wrapText="1"/>
    </xf>
    <xf numFmtId="166" fontId="7" fillId="19" borderId="4" xfId="0" quotePrefix="1" applyNumberFormat="1" applyFont="1" applyFill="1" applyBorder="1" applyAlignment="1">
      <alignment horizontal="center" vertical="center" wrapText="1"/>
    </xf>
    <xf numFmtId="15" fontId="7" fillId="19" borderId="6" xfId="0" quotePrefix="1" applyNumberFormat="1" applyFont="1" applyFill="1" applyBorder="1" applyAlignment="1">
      <alignment horizontal="center" vertical="center" wrapText="1"/>
    </xf>
    <xf numFmtId="15" fontId="7" fillId="19" borderId="9" xfId="0" quotePrefix="1" applyNumberFormat="1" applyFont="1" applyFill="1" applyBorder="1" applyAlignment="1">
      <alignment horizontal="left" vertical="top" wrapText="1"/>
    </xf>
    <xf numFmtId="15" fontId="15" fillId="19" borderId="4" xfId="0" quotePrefix="1" applyNumberFormat="1" applyFont="1" applyFill="1" applyBorder="1" applyAlignment="1">
      <alignment horizontal="center" vertical="center" wrapText="1"/>
    </xf>
    <xf numFmtId="0" fontId="7" fillId="18" borderId="21" xfId="0" quotePrefix="1" applyFont="1" applyFill="1" applyBorder="1" applyAlignment="1">
      <alignment horizontal="center" vertical="center" wrapText="1"/>
    </xf>
    <xf numFmtId="0" fontId="7" fillId="19" borderId="21" xfId="0" quotePrefix="1" applyFont="1" applyFill="1" applyBorder="1" applyAlignment="1">
      <alignment horizontal="left" vertical="center" wrapText="1"/>
    </xf>
    <xf numFmtId="14" fontId="7" fillId="19" borderId="21" xfId="0" quotePrefix="1" applyNumberFormat="1" applyFont="1" applyFill="1" applyBorder="1" applyAlignment="1">
      <alignment horizontal="center" vertical="center" wrapText="1"/>
    </xf>
    <xf numFmtId="15" fontId="7" fillId="19" borderId="21" xfId="0" quotePrefix="1" applyNumberFormat="1" applyFont="1" applyFill="1" applyBorder="1" applyAlignment="1">
      <alignment horizontal="center" vertical="center" wrapText="1"/>
    </xf>
    <xf numFmtId="15" fontId="15" fillId="19" borderId="21" xfId="0" quotePrefix="1" applyNumberFormat="1" applyFont="1" applyFill="1" applyBorder="1" applyAlignment="1">
      <alignment horizontal="left" vertical="center" wrapText="1"/>
    </xf>
    <xf numFmtId="15" fontId="7" fillId="19" borderId="29" xfId="0" quotePrefix="1" applyNumberFormat="1" applyFont="1" applyFill="1" applyBorder="1" applyAlignment="1">
      <alignment horizontal="left" vertical="center" wrapText="1"/>
    </xf>
    <xf numFmtId="4" fontId="15" fillId="3" borderId="4" xfId="1" quotePrefix="1" applyNumberFormat="1" applyFont="1" applyFill="1" applyBorder="1" applyAlignment="1">
      <alignment horizontal="center" vertical="center" wrapText="1"/>
    </xf>
    <xf numFmtId="0" fontId="7" fillId="2" borderId="5" xfId="0" quotePrefix="1" applyFont="1" applyFill="1" applyBorder="1" applyAlignment="1">
      <alignment horizontal="left" vertical="center" wrapText="1"/>
    </xf>
    <xf numFmtId="167" fontId="7" fillId="7" borderId="4" xfId="0" quotePrefix="1" applyNumberFormat="1" applyFont="1" applyFill="1" applyBorder="1" applyAlignment="1">
      <alignment horizontal="center" vertical="center" wrapText="1"/>
    </xf>
    <xf numFmtId="4" fontId="15" fillId="7" borderId="4" xfId="1" quotePrefix="1" applyNumberFormat="1" applyFont="1" applyFill="1" applyBorder="1" applyAlignment="1">
      <alignment horizontal="center" vertical="center" wrapText="1"/>
    </xf>
    <xf numFmtId="0" fontId="7" fillId="7" borderId="25" xfId="0" quotePrefix="1" applyFont="1" applyFill="1" applyBorder="1" applyAlignment="1">
      <alignment horizontal="left" vertical="center" wrapText="1"/>
    </xf>
    <xf numFmtId="14" fontId="7" fillId="7" borderId="25" xfId="0" quotePrefix="1" applyNumberFormat="1" applyFont="1" applyFill="1" applyBorder="1" applyAlignment="1">
      <alignment horizontal="center" vertical="center" wrapText="1"/>
    </xf>
    <xf numFmtId="167" fontId="7" fillId="7" borderId="25" xfId="0" quotePrefix="1" applyNumberFormat="1" applyFont="1" applyFill="1" applyBorder="1" applyAlignment="1">
      <alignment horizontal="center" vertical="center" wrapText="1"/>
    </xf>
    <xf numFmtId="15" fontId="7" fillId="7" borderId="25" xfId="0" quotePrefix="1" applyNumberFormat="1" applyFont="1" applyFill="1" applyBorder="1" applyAlignment="1">
      <alignment horizontal="center" vertical="center" wrapText="1"/>
    </xf>
    <xf numFmtId="15" fontId="15" fillId="7" borderId="25" xfId="0" quotePrefix="1" applyNumberFormat="1" applyFont="1" applyFill="1" applyBorder="1" applyAlignment="1">
      <alignment horizontal="left" vertical="top" wrapText="1"/>
    </xf>
    <xf numFmtId="15" fontId="7" fillId="7" borderId="32" xfId="0" quotePrefix="1" applyNumberFormat="1" applyFont="1" applyFill="1" applyBorder="1" applyAlignment="1">
      <alignment horizontal="left" vertical="center" wrapText="1"/>
    </xf>
    <xf numFmtId="167" fontId="7" fillId="3" borderId="4" xfId="0" quotePrefix="1" applyNumberFormat="1" applyFont="1" applyFill="1" applyBorder="1" applyAlignment="1">
      <alignment horizontal="center" vertical="center" wrapText="1"/>
    </xf>
    <xf numFmtId="15" fontId="15" fillId="3" borderId="4" xfId="0" quotePrefix="1" applyNumberFormat="1" applyFont="1" applyFill="1" applyBorder="1" applyAlignment="1">
      <alignment horizontal="left" vertical="top" wrapText="1"/>
    </xf>
    <xf numFmtId="15" fontId="15" fillId="7" borderId="24" xfId="0" quotePrefix="1" applyNumberFormat="1" applyFont="1" applyFill="1" applyBorder="1" applyAlignment="1">
      <alignment horizontal="left" vertical="center" wrapText="1"/>
    </xf>
    <xf numFmtId="15" fontId="15" fillId="7" borderId="4" xfId="0" quotePrefix="1" applyNumberFormat="1" applyFont="1" applyFill="1" applyBorder="1" applyAlignment="1">
      <alignment horizontal="center" vertical="center" wrapText="1"/>
    </xf>
    <xf numFmtId="15" fontId="7" fillId="3" borderId="24" xfId="0" quotePrefix="1" applyNumberFormat="1" applyFont="1" applyFill="1" applyBorder="1" applyAlignment="1">
      <alignment horizontal="center" vertical="center" wrapText="1"/>
    </xf>
    <xf numFmtId="0" fontId="7" fillId="12" borderId="24" xfId="0" quotePrefix="1" applyFont="1" applyFill="1" applyBorder="1" applyAlignment="1">
      <alignment horizontal="left" vertical="center" wrapText="1"/>
    </xf>
    <xf numFmtId="14" fontId="7" fillId="12" borderId="4" xfId="0" quotePrefix="1" applyNumberFormat="1" applyFont="1" applyFill="1" applyBorder="1" applyAlignment="1">
      <alignment horizontal="center" vertical="center" wrapText="1"/>
    </xf>
    <xf numFmtId="14" fontId="7" fillId="12" borderId="24" xfId="0" quotePrefix="1" applyNumberFormat="1" applyFont="1" applyFill="1" applyBorder="1" applyAlignment="1">
      <alignment horizontal="center" vertical="center" wrapText="1"/>
    </xf>
    <xf numFmtId="15" fontId="7" fillId="12" borderId="4" xfId="0" quotePrefix="1" applyNumberFormat="1" applyFont="1" applyFill="1" applyBorder="1" applyAlignment="1">
      <alignment horizontal="center" vertical="center" wrapText="1"/>
    </xf>
    <xf numFmtId="15" fontId="15" fillId="12" borderId="4" xfId="0" quotePrefix="1" applyNumberFormat="1" applyFont="1" applyFill="1" applyBorder="1" applyAlignment="1">
      <alignment horizontal="left" vertical="center" wrapText="1"/>
    </xf>
    <xf numFmtId="15" fontId="7" fillId="12" borderId="30" xfId="0" quotePrefix="1" applyNumberFormat="1" applyFont="1" applyFill="1" applyBorder="1" applyAlignment="1">
      <alignment horizontal="left" vertical="center" wrapText="1"/>
    </xf>
    <xf numFmtId="14" fontId="15" fillId="7" borderId="24" xfId="0" quotePrefix="1" applyNumberFormat="1" applyFont="1" applyFill="1" applyBorder="1" applyAlignment="1">
      <alignment horizontal="center" vertical="center" wrapText="1"/>
    </xf>
    <xf numFmtId="167" fontId="15" fillId="7" borderId="24" xfId="0" quotePrefix="1" applyNumberFormat="1" applyFont="1" applyFill="1" applyBorder="1" applyAlignment="1">
      <alignment horizontal="center" vertical="center" wrapText="1"/>
    </xf>
    <xf numFmtId="0" fontId="7" fillId="3" borderId="24" xfId="0" quotePrefix="1" applyFont="1" applyFill="1" applyBorder="1" applyAlignment="1">
      <alignment horizontal="left" vertical="center" wrapText="1"/>
    </xf>
    <xf numFmtId="14" fontId="7" fillId="3" borderId="24" xfId="0" quotePrefix="1" applyNumberFormat="1" applyFont="1" applyFill="1" applyBorder="1" applyAlignment="1">
      <alignment horizontal="center" vertical="center" wrapText="1"/>
    </xf>
    <xf numFmtId="15" fontId="7" fillId="3" borderId="25" xfId="0" quotePrefix="1" applyNumberFormat="1" applyFont="1" applyFill="1" applyBorder="1" applyAlignment="1">
      <alignment horizontal="center" vertical="center" wrapText="1"/>
    </xf>
    <xf numFmtId="15" fontId="7" fillId="3" borderId="9" xfId="0" quotePrefix="1" applyNumberFormat="1" applyFont="1" applyFill="1" applyBorder="1" applyAlignment="1">
      <alignment horizontal="center" vertical="center" wrapText="1"/>
    </xf>
    <xf numFmtId="15" fontId="15" fillId="3" borderId="24" xfId="0" quotePrefix="1" applyNumberFormat="1" applyFont="1" applyFill="1" applyBorder="1" applyAlignment="1">
      <alignment horizontal="left" vertical="center" wrapText="1"/>
    </xf>
    <xf numFmtId="15" fontId="7" fillId="3" borderId="30" xfId="0" quotePrefix="1" applyNumberFormat="1" applyFont="1" applyFill="1" applyBorder="1" applyAlignment="1">
      <alignment horizontal="left" vertical="center" wrapText="1"/>
    </xf>
    <xf numFmtId="0" fontId="76" fillId="39" borderId="4"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14" fontId="4" fillId="3" borderId="4" xfId="0" quotePrefix="1" applyNumberFormat="1" applyFont="1" applyFill="1" applyBorder="1" applyAlignment="1">
      <alignment horizontal="center" vertical="center" wrapText="1"/>
    </xf>
    <xf numFmtId="15" fontId="4" fillId="3" borderId="4" xfId="0" quotePrefix="1" applyNumberFormat="1" applyFont="1" applyFill="1" applyBorder="1" applyAlignment="1">
      <alignment horizontal="left" vertical="center" wrapText="1"/>
    </xf>
    <xf numFmtId="0" fontId="4" fillId="3" borderId="9" xfId="0" quotePrefix="1" applyFont="1" applyFill="1" applyBorder="1" applyAlignment="1">
      <alignment vertical="center" wrapText="1"/>
    </xf>
    <xf numFmtId="15" fontId="4" fillId="3" borderId="4" xfId="0" quotePrefix="1" applyNumberFormat="1" applyFont="1" applyFill="1" applyBorder="1" applyAlignment="1">
      <alignment horizontal="center" vertical="center" wrapText="1"/>
    </xf>
    <xf numFmtId="15" fontId="4" fillId="3" borderId="4" xfId="0" quotePrefix="1" applyNumberFormat="1" applyFont="1" applyFill="1" applyBorder="1" applyAlignment="1">
      <alignment horizontal="left" vertical="top" wrapText="1"/>
    </xf>
    <xf numFmtId="0" fontId="4" fillId="3" borderId="9" xfId="0" quotePrefix="1" applyFont="1" applyFill="1" applyBorder="1" applyAlignment="1">
      <alignment horizontal="left" vertical="center" wrapText="1"/>
    </xf>
    <xf numFmtId="0" fontId="4" fillId="2" borderId="14" xfId="0" quotePrefix="1" applyFont="1" applyFill="1" applyBorder="1" applyAlignment="1">
      <alignment horizontal="left" vertical="center" wrapText="1"/>
    </xf>
    <xf numFmtId="4" fontId="4" fillId="3" borderId="4" xfId="1" quotePrefix="1" applyNumberFormat="1" applyFont="1" applyFill="1" applyBorder="1" applyAlignment="1">
      <alignment horizontal="center" vertical="center" wrapText="1"/>
    </xf>
    <xf numFmtId="0" fontId="4" fillId="29" borderId="4" xfId="0" quotePrefix="1" applyFont="1" applyFill="1" applyBorder="1" applyAlignment="1">
      <alignment horizontal="left" vertical="center" wrapText="1"/>
    </xf>
    <xf numFmtId="0" fontId="4" fillId="29" borderId="4" xfId="0" quotePrefix="1" applyFont="1" applyFill="1" applyBorder="1" applyAlignment="1">
      <alignment horizontal="center" vertical="center" wrapText="1"/>
    </xf>
    <xf numFmtId="14" fontId="4" fillId="29" borderId="4" xfId="0" quotePrefix="1" applyNumberFormat="1" applyFont="1" applyFill="1" applyBorder="1" applyAlignment="1">
      <alignment horizontal="center" vertical="center" wrapText="1"/>
    </xf>
    <xf numFmtId="167" fontId="4" fillId="29" borderId="4" xfId="0" quotePrefix="1" applyNumberFormat="1" applyFont="1" applyFill="1" applyBorder="1" applyAlignment="1">
      <alignment horizontal="center" vertical="center" wrapText="1"/>
    </xf>
    <xf numFmtId="15" fontId="4" fillId="29" borderId="4" xfId="0" quotePrefix="1" applyNumberFormat="1" applyFont="1" applyFill="1" applyBorder="1" applyAlignment="1">
      <alignment horizontal="center" vertical="center" wrapText="1"/>
    </xf>
    <xf numFmtId="0" fontId="4" fillId="29" borderId="9" xfId="0" quotePrefix="1" applyFont="1" applyFill="1" applyBorder="1" applyAlignment="1">
      <alignment horizontal="left" vertical="center" wrapText="1"/>
    </xf>
    <xf numFmtId="15" fontId="4" fillId="29" borderId="4" xfId="0" quotePrefix="1" applyNumberFormat="1" applyFont="1" applyFill="1" applyBorder="1" applyAlignment="1">
      <alignment vertical="center" wrapText="1"/>
    </xf>
    <xf numFmtId="0" fontId="4" fillId="29" borderId="9" xfId="0" quotePrefix="1" applyFont="1" applyFill="1" applyBorder="1" applyAlignment="1">
      <alignment vertical="center" wrapText="1"/>
    </xf>
    <xf numFmtId="15" fontId="4" fillId="29" borderId="4" xfId="0" quotePrefix="1" applyNumberFormat="1" applyFont="1" applyFill="1" applyBorder="1" applyAlignment="1">
      <alignment horizontal="left" vertical="center" wrapText="1"/>
    </xf>
    <xf numFmtId="0" fontId="4" fillId="29" borderId="6" xfId="0" quotePrefix="1" applyFont="1" applyFill="1" applyBorder="1" applyAlignment="1">
      <alignment horizontal="left" vertical="center" wrapText="1"/>
    </xf>
    <xf numFmtId="167" fontId="4" fillId="29" borderId="6" xfId="0" quotePrefix="1" applyNumberFormat="1" applyFont="1" applyFill="1" applyBorder="1" applyAlignment="1">
      <alignment horizontal="center" vertical="center" wrapText="1"/>
    </xf>
    <xf numFmtId="15" fontId="4" fillId="29" borderId="6" xfId="0" quotePrefix="1" applyNumberFormat="1" applyFont="1" applyFill="1" applyBorder="1" applyAlignment="1">
      <alignment horizontal="center" vertical="center" wrapText="1"/>
    </xf>
    <xf numFmtId="14" fontId="4" fillId="3" borderId="6" xfId="0" quotePrefix="1" applyNumberFormat="1" applyFont="1" applyFill="1" applyBorder="1" applyAlignment="1">
      <alignment horizontal="center" vertical="center" wrapText="1"/>
    </xf>
    <xf numFmtId="0" fontId="12" fillId="29" borderId="4" xfId="0" quotePrefix="1" applyFont="1" applyFill="1" applyBorder="1" applyAlignment="1">
      <alignment horizontal="center" vertical="center" wrapText="1"/>
    </xf>
    <xf numFmtId="14" fontId="12" fillId="29" borderId="4" xfId="0" quotePrefix="1" applyNumberFormat="1" applyFont="1" applyFill="1" applyBorder="1" applyAlignment="1">
      <alignment horizontal="center" vertical="center" wrapText="1"/>
    </xf>
    <xf numFmtId="15" fontId="12" fillId="29" borderId="4" xfId="0" quotePrefix="1" applyNumberFormat="1" applyFont="1" applyFill="1" applyBorder="1" applyAlignment="1">
      <alignment horizontal="center" vertical="center" wrapText="1"/>
    </xf>
    <xf numFmtId="15" fontId="12" fillId="29" borderId="4" xfId="0" quotePrefix="1" applyNumberFormat="1" applyFont="1" applyFill="1" applyBorder="1" applyAlignment="1">
      <alignment horizontal="left" vertical="center" wrapText="1"/>
    </xf>
    <xf numFmtId="0" fontId="12" fillId="29" borderId="9" xfId="0" quotePrefix="1" applyFont="1" applyFill="1" applyBorder="1" applyAlignment="1">
      <alignment horizontal="left" vertical="center" wrapText="1"/>
    </xf>
    <xf numFmtId="14" fontId="12" fillId="3" borderId="6" xfId="0" quotePrefix="1" applyNumberFormat="1" applyFont="1" applyFill="1" applyBorder="1" applyAlignment="1">
      <alignment horizontal="center" vertical="center" wrapText="1"/>
    </xf>
    <xf numFmtId="0" fontId="4" fillId="3" borderId="6" xfId="0" quotePrefix="1" applyFont="1" applyFill="1" applyBorder="1" applyAlignment="1">
      <alignment horizontal="left" vertical="center" wrapText="1"/>
    </xf>
    <xf numFmtId="15" fontId="12" fillId="3" borderId="6" xfId="0" quotePrefix="1" applyNumberFormat="1" applyFont="1" applyFill="1" applyBorder="1" applyAlignment="1">
      <alignment horizontal="center" vertical="center" wrapText="1"/>
    </xf>
    <xf numFmtId="0" fontId="12" fillId="29" borderId="4" xfId="0" quotePrefix="1" applyFont="1" applyFill="1" applyBorder="1" applyAlignment="1">
      <alignment vertical="center" wrapText="1"/>
    </xf>
    <xf numFmtId="0" fontId="4" fillId="19" borderId="25" xfId="0" quotePrefix="1" applyFont="1" applyFill="1" applyBorder="1" applyAlignment="1">
      <alignment horizontal="left" vertical="center" wrapText="1"/>
    </xf>
    <xf numFmtId="0" fontId="12" fillId="19" borderId="4" xfId="0" quotePrefix="1" applyFont="1" applyFill="1" applyBorder="1" applyAlignment="1">
      <alignment horizontal="center" vertical="center" wrapText="1"/>
    </xf>
    <xf numFmtId="14" fontId="12" fillId="19" borderId="25" xfId="0" quotePrefix="1" applyNumberFormat="1" applyFont="1" applyFill="1" applyBorder="1" applyAlignment="1">
      <alignment horizontal="center" vertical="center" wrapText="1"/>
    </xf>
    <xf numFmtId="14" fontId="12" fillId="19" borderId="4" xfId="0" quotePrefix="1" applyNumberFormat="1" applyFont="1" applyFill="1" applyBorder="1" applyAlignment="1">
      <alignment horizontal="center" vertical="center" wrapText="1"/>
    </xf>
    <xf numFmtId="15" fontId="12" fillId="19" borderId="25" xfId="0" quotePrefix="1" applyNumberFormat="1" applyFont="1" applyFill="1" applyBorder="1" applyAlignment="1">
      <alignment horizontal="center" vertical="center" wrapText="1"/>
    </xf>
    <xf numFmtId="15" fontId="12" fillId="19" borderId="32" xfId="0" quotePrefix="1" applyNumberFormat="1" applyFont="1" applyFill="1" applyBorder="1" applyAlignment="1">
      <alignment horizontal="left" vertical="center" wrapText="1"/>
    </xf>
    <xf numFmtId="0" fontId="12" fillId="3" borderId="9" xfId="0" quotePrefix="1" applyFont="1" applyFill="1" applyBorder="1" applyAlignment="1">
      <alignment vertical="center" wrapText="1"/>
    </xf>
    <xf numFmtId="0" fontId="12" fillId="40" borderId="4" xfId="0" quotePrefix="1" applyFont="1" applyFill="1" applyBorder="1" applyAlignment="1">
      <alignment horizontal="center" vertical="center" wrapText="1"/>
    </xf>
    <xf numFmtId="0" fontId="4" fillId="19" borderId="24" xfId="0" quotePrefix="1" applyFont="1" applyFill="1" applyBorder="1" applyAlignment="1">
      <alignment horizontal="left" vertical="center" wrapText="1"/>
    </xf>
    <xf numFmtId="14" fontId="12" fillId="19" borderId="24" xfId="0" quotePrefix="1" applyNumberFormat="1" applyFont="1" applyFill="1" applyBorder="1" applyAlignment="1">
      <alignment horizontal="center" vertical="center" wrapText="1"/>
    </xf>
    <xf numFmtId="22" fontId="12" fillId="19" borderId="24" xfId="0" quotePrefix="1" applyNumberFormat="1" applyFont="1" applyFill="1" applyBorder="1" applyAlignment="1">
      <alignment horizontal="center" vertical="center" wrapText="1"/>
    </xf>
    <xf numFmtId="0" fontId="12" fillId="19" borderId="24" xfId="0" quotePrefix="1" applyFont="1" applyFill="1" applyBorder="1" applyAlignment="1">
      <alignment horizontal="center" vertical="center" wrapText="1"/>
    </xf>
    <xf numFmtId="0" fontId="12" fillId="19" borderId="24" xfId="0" quotePrefix="1" applyFont="1" applyFill="1" applyBorder="1" applyAlignment="1">
      <alignment horizontal="left" vertical="center" wrapText="1"/>
    </xf>
    <xf numFmtId="0" fontId="12" fillId="19" borderId="30" xfId="0" quotePrefix="1" applyFont="1" applyFill="1" applyBorder="1" applyAlignment="1">
      <alignment vertical="center" wrapText="1"/>
    </xf>
    <xf numFmtId="0" fontId="4" fillId="19" borderId="4" xfId="0" quotePrefix="1" applyFont="1" applyFill="1" applyBorder="1" applyAlignment="1">
      <alignment horizontal="left" vertical="center" wrapText="1"/>
    </xf>
    <xf numFmtId="15" fontId="12" fillId="19" borderId="4" xfId="0" quotePrefix="1" applyNumberFormat="1" applyFont="1" applyFill="1" applyBorder="1" applyAlignment="1">
      <alignment horizontal="center" vertical="center" wrapText="1"/>
    </xf>
    <xf numFmtId="0" fontId="12" fillId="19" borderId="9" xfId="0" quotePrefix="1" applyFont="1" applyFill="1" applyBorder="1" applyAlignment="1">
      <alignment horizontal="left" vertical="center" wrapText="1"/>
    </xf>
    <xf numFmtId="0" fontId="12" fillId="18" borderId="4" xfId="0" quotePrefix="1" applyFont="1" applyFill="1" applyBorder="1" applyAlignment="1">
      <alignment horizontal="center" vertical="center" wrapText="1"/>
    </xf>
    <xf numFmtId="15" fontId="2" fillId="19" borderId="6" xfId="0" quotePrefix="1" applyNumberFormat="1" applyFont="1" applyFill="1" applyBorder="1" applyAlignment="1">
      <alignment horizontal="center" vertical="center" wrapText="1"/>
    </xf>
    <xf numFmtId="4" fontId="12" fillId="19" borderId="4" xfId="1" quotePrefix="1" applyNumberFormat="1" applyFont="1" applyFill="1" applyBorder="1" applyAlignment="1">
      <alignment horizontal="center" vertical="center" wrapText="1"/>
    </xf>
    <xf numFmtId="15" fontId="12" fillId="19" borderId="4" xfId="0" quotePrefix="1" applyNumberFormat="1" applyFont="1" applyFill="1" applyBorder="1" applyAlignment="1">
      <alignment horizontal="left" vertical="center" wrapText="1"/>
    </xf>
    <xf numFmtId="167" fontId="12" fillId="19" borderId="4" xfId="0" quotePrefix="1" applyNumberFormat="1" applyFont="1" applyFill="1" applyBorder="1" applyAlignment="1">
      <alignment horizontal="center" vertical="center" wrapText="1"/>
    </xf>
    <xf numFmtId="15" fontId="12" fillId="19" borderId="4" xfId="0" quotePrefix="1" applyNumberFormat="1" applyFont="1" applyFill="1" applyBorder="1" applyAlignment="1">
      <alignment horizontal="left" vertical="top" wrapText="1"/>
    </xf>
    <xf numFmtId="15" fontId="12" fillId="19" borderId="9" xfId="0" quotePrefix="1" applyNumberFormat="1" applyFont="1" applyFill="1" applyBorder="1" applyAlignment="1">
      <alignment horizontal="left" vertical="center" wrapText="1"/>
    </xf>
    <xf numFmtId="0" fontId="12" fillId="19" borderId="4" xfId="0" quotePrefix="1" applyFont="1" applyFill="1" applyBorder="1" applyAlignment="1">
      <alignment horizontal="left" vertical="center" wrapText="1"/>
    </xf>
    <xf numFmtId="4" fontId="2" fillId="19" borderId="4" xfId="1" quotePrefix="1" applyNumberFormat="1" applyFont="1" applyFill="1" applyBorder="1" applyAlignment="1">
      <alignment horizontal="center" vertical="center" wrapText="1"/>
    </xf>
    <xf numFmtId="15" fontId="2" fillId="19" borderId="4" xfId="0" quotePrefix="1" applyNumberFormat="1" applyFont="1" applyFill="1" applyBorder="1" applyAlignment="1">
      <alignment horizontal="left" vertical="center" wrapText="1"/>
    </xf>
    <xf numFmtId="0" fontId="2" fillId="2" borderId="14" xfId="0" quotePrefix="1" applyFont="1" applyFill="1" applyBorder="1" applyAlignment="1">
      <alignment horizontal="left" vertical="center" wrapText="1"/>
    </xf>
    <xf numFmtId="0" fontId="4" fillId="19" borderId="6" xfId="0" quotePrefix="1" applyFont="1" applyFill="1" applyBorder="1" applyAlignment="1">
      <alignment horizontal="left" vertical="center" wrapText="1"/>
    </xf>
    <xf numFmtId="14" fontId="12" fillId="19" borderId="6" xfId="0" quotePrefix="1" applyNumberFormat="1" applyFont="1" applyFill="1" applyBorder="1" applyAlignment="1">
      <alignment horizontal="center" vertical="center" wrapText="1"/>
    </xf>
    <xf numFmtId="22" fontId="12" fillId="19" borderId="6" xfId="0" quotePrefix="1" applyNumberFormat="1" applyFont="1" applyFill="1" applyBorder="1" applyAlignment="1">
      <alignment horizontal="center" vertical="center" wrapText="1"/>
    </xf>
    <xf numFmtId="0" fontId="12" fillId="19" borderId="6" xfId="0" quotePrefix="1" applyFont="1" applyFill="1" applyBorder="1" applyAlignment="1">
      <alignment horizontal="center" vertical="center" wrapText="1"/>
    </xf>
    <xf numFmtId="15" fontId="2" fillId="19" borderId="4" xfId="0" quotePrefix="1" applyNumberFormat="1" applyFont="1" applyFill="1" applyBorder="1" applyAlignment="1">
      <alignment horizontal="center" vertical="center" wrapText="1"/>
    </xf>
    <xf numFmtId="22" fontId="12" fillId="19" borderId="4" xfId="0" quotePrefix="1" applyNumberFormat="1" applyFont="1" applyFill="1" applyBorder="1" applyAlignment="1">
      <alignment horizontal="center" vertical="center" wrapText="1"/>
    </xf>
    <xf numFmtId="0" fontId="12" fillId="19" borderId="9" xfId="0" quotePrefix="1" applyFont="1" applyFill="1" applyBorder="1" applyAlignment="1">
      <alignment vertical="center" wrapText="1"/>
    </xf>
    <xf numFmtId="0" fontId="12" fillId="18" borderId="24" xfId="0" quotePrefix="1" applyFont="1" applyFill="1" applyBorder="1" applyAlignment="1">
      <alignment horizontal="center" vertical="center" wrapText="1"/>
    </xf>
    <xf numFmtId="0" fontId="12" fillId="18" borderId="6" xfId="0" quotePrefix="1" applyFont="1" applyFill="1" applyBorder="1" applyAlignment="1">
      <alignment horizontal="center" vertical="center" wrapText="1"/>
    </xf>
    <xf numFmtId="15" fontId="12" fillId="19" borderId="6" xfId="0" quotePrefix="1" applyNumberFormat="1" applyFont="1" applyFill="1" applyBorder="1" applyAlignment="1">
      <alignment horizontal="center" vertical="center" wrapText="1"/>
    </xf>
    <xf numFmtId="15" fontId="2" fillId="19" borderId="6" xfId="0" quotePrefix="1" applyNumberFormat="1" applyFont="1" applyFill="1" applyBorder="1" applyAlignment="1">
      <alignment horizontal="left" vertical="center" wrapText="1"/>
    </xf>
    <xf numFmtId="15" fontId="12" fillId="19" borderId="10" xfId="0" quotePrefix="1" applyNumberFormat="1" applyFont="1" applyFill="1" applyBorder="1" applyAlignment="1">
      <alignment horizontal="left" vertical="center" wrapText="1"/>
    </xf>
    <xf numFmtId="15" fontId="12" fillId="19" borderId="9" xfId="0" quotePrefix="1" applyNumberFormat="1" applyFont="1" applyFill="1" applyBorder="1" applyAlignment="1">
      <alignment horizontal="left" vertical="top" wrapText="1"/>
    </xf>
    <xf numFmtId="0" fontId="2" fillId="40" borderId="4" xfId="0" quotePrefix="1" applyFont="1" applyFill="1" applyBorder="1" applyAlignment="1">
      <alignment horizontal="center" vertical="center" wrapText="1"/>
    </xf>
    <xf numFmtId="165" fontId="2" fillId="19" borderId="4" xfId="0" quotePrefix="1" applyNumberFormat="1" applyFont="1" applyFill="1" applyBorder="1" applyAlignment="1">
      <alignment horizontal="center" vertical="center" wrapText="1"/>
    </xf>
    <xf numFmtId="0" fontId="2" fillId="19" borderId="4" xfId="0" quotePrefix="1" applyFont="1" applyFill="1" applyBorder="1" applyAlignment="1">
      <alignment horizontal="center" vertical="center" wrapText="1"/>
    </xf>
    <xf numFmtId="0" fontId="2" fillId="19" borderId="9" xfId="0" quotePrefix="1" applyFont="1" applyFill="1" applyBorder="1" applyAlignment="1">
      <alignment horizontal="left" vertical="center" wrapText="1"/>
    </xf>
    <xf numFmtId="0" fontId="12" fillId="19" borderId="9" xfId="0" quotePrefix="1" applyFont="1" applyFill="1" applyBorder="1" applyAlignment="1">
      <alignment vertical="top" wrapText="1"/>
    </xf>
    <xf numFmtId="0" fontId="4" fillId="19" borderId="4" xfId="0" quotePrefix="1" applyFont="1" applyFill="1" applyBorder="1" applyAlignment="1">
      <alignment horizontal="left" vertical="top" wrapText="1"/>
    </xf>
    <xf numFmtId="0" fontId="2" fillId="18" borderId="4" xfId="0" quotePrefix="1" applyFont="1" applyFill="1" applyBorder="1" applyAlignment="1">
      <alignment horizontal="center" vertical="center" wrapText="1"/>
    </xf>
    <xf numFmtId="0" fontId="12" fillId="18" borderId="21" xfId="0" quotePrefix="1" applyFont="1" applyFill="1" applyBorder="1" applyAlignment="1">
      <alignment horizontal="center" vertical="center" wrapText="1"/>
    </xf>
    <xf numFmtId="0" fontId="4" fillId="19" borderId="21" xfId="0" quotePrefix="1" applyFont="1" applyFill="1" applyBorder="1" applyAlignment="1">
      <alignment horizontal="left" vertical="center" wrapText="1"/>
    </xf>
    <xf numFmtId="0" fontId="12" fillId="19" borderId="21" xfId="0" quotePrefix="1" applyFont="1" applyFill="1" applyBorder="1" applyAlignment="1">
      <alignment horizontal="center" vertical="center" wrapText="1"/>
    </xf>
    <xf numFmtId="14" fontId="12" fillId="19" borderId="21" xfId="0" quotePrefix="1" applyNumberFormat="1" applyFont="1" applyFill="1" applyBorder="1" applyAlignment="1">
      <alignment horizontal="center" vertical="center" wrapText="1"/>
    </xf>
    <xf numFmtId="22" fontId="12" fillId="19" borderId="21" xfId="0" quotePrefix="1" applyNumberFormat="1" applyFont="1" applyFill="1" applyBorder="1" applyAlignment="1">
      <alignment horizontal="center" vertical="center" wrapText="1"/>
    </xf>
    <xf numFmtId="0" fontId="12" fillId="19" borderId="29" xfId="0" quotePrefix="1" applyFont="1" applyFill="1" applyBorder="1" applyAlignment="1">
      <alignment vertical="center" wrapText="1"/>
    </xf>
    <xf numFmtId="0" fontId="81" fillId="3" borderId="4" xfId="0" quotePrefix="1" applyFont="1" applyFill="1" applyBorder="1" applyAlignment="1">
      <alignment horizontal="left" vertical="center" wrapText="1"/>
    </xf>
    <xf numFmtId="0" fontId="81" fillId="19" borderId="4" xfId="0" quotePrefix="1" applyFont="1" applyFill="1" applyBorder="1" applyAlignment="1">
      <alignment horizontal="left" vertical="top" wrapText="1"/>
    </xf>
    <xf numFmtId="0" fontId="81" fillId="29" borderId="4" xfId="0" quotePrefix="1" applyFont="1" applyFill="1" applyBorder="1" applyAlignment="1">
      <alignment horizontal="left" vertical="top" wrapText="1"/>
    </xf>
    <xf numFmtId="0" fontId="81" fillId="29" borderId="4" xfId="0" quotePrefix="1" applyFont="1" applyFill="1" applyBorder="1" applyAlignment="1">
      <alignment horizontal="left" vertical="center" wrapText="1"/>
    </xf>
    <xf numFmtId="0" fontId="81" fillId="19" borderId="4" xfId="0" quotePrefix="1" applyFont="1" applyFill="1" applyBorder="1" applyAlignment="1">
      <alignment horizontal="left" vertical="center" wrapText="1"/>
    </xf>
    <xf numFmtId="0" fontId="81" fillId="7" borderId="4" xfId="0" quotePrefix="1" applyFont="1" applyFill="1" applyBorder="1" applyAlignment="1">
      <alignment horizontal="left" vertical="top" wrapText="1"/>
    </xf>
    <xf numFmtId="0" fontId="81" fillId="3" borderId="4" xfId="0" quotePrefix="1" applyFont="1" applyFill="1" applyBorder="1" applyAlignment="1">
      <alignment horizontal="left" vertical="top" wrapText="1"/>
    </xf>
    <xf numFmtId="0" fontId="81" fillId="29" borderId="4" xfId="0" quotePrefix="1" applyFont="1" applyFill="1" applyBorder="1" applyAlignment="1">
      <alignment horizontal="left" vertical="center"/>
    </xf>
    <xf numFmtId="0" fontId="81" fillId="31" borderId="4" xfId="0" quotePrefix="1" applyFont="1" applyFill="1" applyBorder="1" applyAlignment="1">
      <alignment horizontal="left" vertical="top" wrapText="1"/>
    </xf>
    <xf numFmtId="0" fontId="81" fillId="27" borderId="4" xfId="0" quotePrefix="1" applyFont="1" applyFill="1" applyBorder="1" applyAlignment="1">
      <alignment horizontal="left" vertical="top" wrapText="1"/>
    </xf>
    <xf numFmtId="0" fontId="81" fillId="2" borderId="4" xfId="0" quotePrefix="1" applyFont="1" applyFill="1" applyBorder="1" applyAlignment="1">
      <alignment horizontal="center" vertical="top"/>
    </xf>
    <xf numFmtId="0" fontId="84" fillId="7" borderId="4" xfId="0" quotePrefix="1" applyFont="1" applyFill="1" applyBorder="1" applyAlignment="1">
      <alignment horizontal="left" vertical="top" wrapText="1"/>
    </xf>
    <xf numFmtId="0" fontId="84" fillId="15" borderId="4" xfId="0" quotePrefix="1" applyFont="1" applyFill="1" applyBorder="1" applyAlignment="1">
      <alignment horizontal="left" vertical="top" wrapText="1"/>
    </xf>
    <xf numFmtId="0" fontId="81" fillId="15" borderId="4" xfId="0" quotePrefix="1" applyFont="1" applyFill="1" applyBorder="1" applyAlignment="1">
      <alignment horizontal="left" vertical="top" wrapText="1"/>
    </xf>
    <xf numFmtId="0" fontId="84" fillId="3" borderId="4" xfId="0" quotePrefix="1" applyFont="1" applyFill="1" applyBorder="1" applyAlignment="1">
      <alignment horizontal="left" vertical="top" wrapText="1"/>
    </xf>
    <xf numFmtId="0" fontId="84" fillId="27" borderId="4" xfId="0" quotePrefix="1" applyFont="1" applyFill="1" applyBorder="1" applyAlignment="1">
      <alignment horizontal="left" vertical="top" wrapText="1"/>
    </xf>
    <xf numFmtId="0" fontId="81" fillId="32" borderId="4" xfId="0" quotePrefix="1" applyFont="1" applyFill="1" applyBorder="1" applyAlignment="1">
      <alignment horizontal="left" vertical="top" wrapText="1"/>
    </xf>
    <xf numFmtId="0" fontId="84" fillId="14" borderId="4" xfId="0" quotePrefix="1" applyFont="1" applyFill="1" applyBorder="1" applyAlignment="1">
      <alignment horizontal="left" vertical="top" wrapText="1"/>
    </xf>
    <xf numFmtId="0" fontId="81" fillId="14" borderId="4" xfId="0" quotePrefix="1" applyFont="1" applyFill="1" applyBorder="1" applyAlignment="1">
      <alignment horizontal="left" vertical="top" wrapText="1"/>
    </xf>
    <xf numFmtId="0" fontId="84" fillId="16" borderId="4" xfId="0" quotePrefix="1" applyFont="1" applyFill="1" applyBorder="1" applyAlignment="1">
      <alignment horizontal="left" vertical="top" wrapText="1"/>
    </xf>
    <xf numFmtId="0" fontId="84" fillId="2" borderId="4" xfId="0" quotePrefix="1" applyFont="1" applyFill="1" applyBorder="1" applyAlignment="1">
      <alignment horizontal="left" vertical="top" wrapText="1"/>
    </xf>
    <xf numFmtId="0" fontId="81" fillId="20" borderId="4" xfId="0" quotePrefix="1" applyFont="1" applyFill="1" applyBorder="1" applyAlignment="1">
      <alignment horizontal="left" vertical="top" wrapText="1"/>
    </xf>
    <xf numFmtId="0" fontId="81" fillId="16" borderId="4" xfId="0" quotePrefix="1" applyFont="1" applyFill="1" applyBorder="1" applyAlignment="1">
      <alignment horizontal="left" vertical="top" wrapText="1"/>
    </xf>
    <xf numFmtId="0" fontId="81" fillId="2" borderId="4" xfId="0" quotePrefix="1" applyFont="1" applyFill="1" applyBorder="1" applyAlignment="1">
      <alignment horizontal="left" vertical="top" wrapText="1"/>
    </xf>
    <xf numFmtId="0" fontId="81" fillId="18" borderId="4" xfId="0" quotePrefix="1" applyFont="1" applyFill="1" applyBorder="1" applyAlignment="1">
      <alignment horizontal="left" vertical="top" wrapText="1"/>
    </xf>
    <xf numFmtId="0" fontId="91" fillId="2" borderId="4" xfId="0" quotePrefix="1" applyFont="1" applyFill="1" applyBorder="1" applyAlignment="1">
      <alignment horizontal="left" vertical="top" wrapText="1"/>
    </xf>
    <xf numFmtId="0" fontId="81" fillId="33" borderId="4" xfId="0" quotePrefix="1" applyFont="1" applyFill="1" applyBorder="1" applyAlignment="1">
      <alignment horizontal="left" vertical="top" wrapText="1"/>
    </xf>
    <xf numFmtId="0" fontId="81" fillId="0" borderId="4" xfId="0" quotePrefix="1" applyFont="1" applyBorder="1" applyAlignment="1">
      <alignment horizontal="center" vertical="top"/>
    </xf>
    <xf numFmtId="0" fontId="81" fillId="34" borderId="4" xfId="0" quotePrefix="1" applyFont="1" applyFill="1" applyBorder="1" applyAlignment="1">
      <alignment horizontal="left" vertical="top" wrapText="1"/>
    </xf>
    <xf numFmtId="0" fontId="91" fillId="21" borderId="4" xfId="0" quotePrefix="1" applyFont="1" applyFill="1" applyBorder="1" applyAlignment="1">
      <alignment horizontal="left" vertical="top" wrapText="1"/>
    </xf>
    <xf numFmtId="0" fontId="91" fillId="0" borderId="4" xfId="0" quotePrefix="1" applyFont="1" applyBorder="1" applyAlignment="1">
      <alignment horizontal="center" vertical="top"/>
    </xf>
    <xf numFmtId="0" fontId="81" fillId="21" borderId="4" xfId="0" quotePrefix="1" applyFont="1" applyFill="1" applyBorder="1" applyAlignment="1">
      <alignment horizontal="left" vertical="top" wrapText="1"/>
    </xf>
    <xf numFmtId="0" fontId="84" fillId="18" borderId="4" xfId="0" quotePrefix="1" applyFont="1" applyFill="1" applyBorder="1" applyAlignment="1">
      <alignment horizontal="left" vertical="top" wrapText="1"/>
    </xf>
    <xf numFmtId="0" fontId="81" fillId="0" borderId="4" xfId="0" quotePrefix="1" applyFont="1" applyBorder="1" applyAlignment="1">
      <alignment horizontal="center" vertical="top" wrapText="1"/>
    </xf>
    <xf numFmtId="0" fontId="81" fillId="0" borderId="4" xfId="0" quotePrefix="1" applyFont="1" applyBorder="1" applyAlignment="1">
      <alignment horizontal="left" vertical="top" wrapText="1"/>
    </xf>
    <xf numFmtId="0" fontId="87" fillId="0" borderId="11" xfId="4" quotePrefix="1" applyFont="1" applyBorder="1" applyAlignment="1">
      <alignment horizontal="center" vertical="top" wrapText="1"/>
    </xf>
    <xf numFmtId="0" fontId="80" fillId="0" borderId="4" xfId="0" quotePrefix="1" applyFont="1" applyBorder="1" applyAlignment="1">
      <alignment horizontal="center" vertical="top"/>
    </xf>
    <xf numFmtId="0" fontId="76" fillId="10" borderId="19" xfId="0" quotePrefix="1" applyFont="1" applyFill="1" applyBorder="1" applyAlignment="1">
      <alignment horizontal="center" vertical="center" wrapText="1"/>
    </xf>
    <xf numFmtId="22" fontId="5" fillId="3" borderId="4" xfId="0" quotePrefix="1" applyNumberFormat="1" applyFont="1" applyFill="1" applyBorder="1" applyAlignment="1">
      <alignment horizontal="center" vertical="center" wrapText="1"/>
    </xf>
    <xf numFmtId="0" fontId="4" fillId="27" borderId="4" xfId="0" quotePrefix="1" applyFont="1" applyFill="1" applyBorder="1" applyAlignment="1">
      <alignment horizontal="center" vertical="center" wrapText="1"/>
    </xf>
    <xf numFmtId="0" fontId="4" fillId="27" borderId="9" xfId="0" quotePrefix="1" applyFont="1" applyFill="1" applyBorder="1" applyAlignment="1">
      <alignment horizontal="left" vertical="center" wrapText="1"/>
    </xf>
    <xf numFmtId="0" fontId="4" fillId="7" borderId="4" xfId="0" quotePrefix="1" applyFont="1" applyFill="1" applyBorder="1" applyAlignment="1">
      <alignment horizontal="left" vertical="center" wrapText="1"/>
    </xf>
    <xf numFmtId="14" fontId="4" fillId="7" borderId="4" xfId="0" quotePrefix="1" applyNumberFormat="1" applyFont="1" applyFill="1" applyBorder="1" applyAlignment="1">
      <alignment horizontal="center" vertical="center" wrapText="1"/>
    </xf>
    <xf numFmtId="15" fontId="4" fillId="7" borderId="4" xfId="0" quotePrefix="1" applyNumberFormat="1" applyFont="1" applyFill="1" applyBorder="1" applyAlignment="1">
      <alignment horizontal="center" vertical="center" wrapText="1"/>
    </xf>
    <xf numFmtId="15" fontId="4" fillId="7" borderId="4" xfId="0" quotePrefix="1" applyNumberFormat="1" applyFont="1" applyFill="1" applyBorder="1" applyAlignment="1">
      <alignment horizontal="left" vertical="top" wrapText="1"/>
    </xf>
    <xf numFmtId="15" fontId="4" fillId="7" borderId="4" xfId="0" quotePrefix="1" applyNumberFormat="1" applyFont="1" applyFill="1" applyBorder="1" applyAlignment="1">
      <alignment horizontal="left" vertical="center" wrapText="1"/>
    </xf>
    <xf numFmtId="22" fontId="4" fillId="27" borderId="4" xfId="0" quotePrefix="1" applyNumberFormat="1" applyFont="1" applyFill="1" applyBorder="1" applyAlignment="1">
      <alignment horizontal="center" vertical="center" wrapText="1"/>
    </xf>
    <xf numFmtId="15" fontId="4" fillId="27" borderId="4" xfId="0" quotePrefix="1" applyNumberFormat="1" applyFont="1" applyFill="1" applyBorder="1" applyAlignment="1">
      <alignment horizontal="left" vertical="center" wrapText="1"/>
    </xf>
    <xf numFmtId="0" fontId="4" fillId="27" borderId="9" xfId="0" quotePrefix="1" applyFont="1" applyFill="1" applyBorder="1" applyAlignment="1">
      <alignment vertical="center" wrapText="1"/>
    </xf>
    <xf numFmtId="15" fontId="4" fillId="7" borderId="9" xfId="0" quotePrefix="1" applyNumberFormat="1" applyFont="1" applyFill="1" applyBorder="1" applyAlignment="1">
      <alignment horizontal="left" vertical="center" wrapText="1"/>
    </xf>
    <xf numFmtId="0" fontId="4" fillId="7" borderId="24" xfId="0" quotePrefix="1" applyFont="1" applyFill="1" applyBorder="1" applyAlignment="1">
      <alignment horizontal="left" vertical="center" wrapText="1"/>
    </xf>
    <xf numFmtId="15" fontId="12" fillId="7" borderId="24" xfId="0" quotePrefix="1" applyNumberFormat="1" applyFont="1" applyFill="1" applyBorder="1" applyAlignment="1">
      <alignment horizontal="left" vertical="top" wrapText="1"/>
    </xf>
    <xf numFmtId="15" fontId="12" fillId="7" borderId="24" xfId="0" quotePrefix="1" applyNumberFormat="1" applyFont="1" applyFill="1" applyBorder="1" applyAlignment="1">
      <alignment horizontal="left" vertical="center" wrapText="1"/>
    </xf>
    <xf numFmtId="0" fontId="4" fillId="7" borderId="6" xfId="0" quotePrefix="1" applyFont="1" applyFill="1" applyBorder="1" applyAlignment="1">
      <alignment horizontal="left" vertical="center" wrapText="1"/>
    </xf>
    <xf numFmtId="14" fontId="12" fillId="7" borderId="6" xfId="0" quotePrefix="1" applyNumberFormat="1" applyFont="1" applyFill="1" applyBorder="1" applyAlignment="1">
      <alignment horizontal="center" vertical="center" wrapText="1"/>
    </xf>
    <xf numFmtId="15" fontId="12" fillId="7" borderId="6" xfId="0" quotePrefix="1" applyNumberFormat="1" applyFont="1" applyFill="1" applyBorder="1" applyAlignment="1">
      <alignment horizontal="center" vertical="center" wrapText="1"/>
    </xf>
    <xf numFmtId="15" fontId="12" fillId="7" borderId="10" xfId="0" quotePrefix="1" applyNumberFormat="1" applyFont="1" applyFill="1" applyBorder="1" applyAlignment="1">
      <alignment horizontal="left" vertical="center" wrapText="1"/>
    </xf>
    <xf numFmtId="15" fontId="12" fillId="29" borderId="9" xfId="0" quotePrefix="1" applyNumberFormat="1" applyFont="1" applyFill="1" applyBorder="1" applyAlignment="1">
      <alignment horizontal="left" vertical="center" wrapText="1"/>
    </xf>
    <xf numFmtId="4" fontId="12" fillId="3" borderId="6" xfId="1" quotePrefix="1" applyNumberFormat="1" applyFont="1" applyFill="1" applyBorder="1" applyAlignment="1">
      <alignment horizontal="center" vertical="center" wrapText="1"/>
    </xf>
    <xf numFmtId="15" fontId="12" fillId="3" borderId="6" xfId="0" quotePrefix="1" applyNumberFormat="1" applyFont="1" applyFill="1" applyBorder="1" applyAlignment="1">
      <alignment horizontal="left" vertical="center" wrapText="1"/>
    </xf>
    <xf numFmtId="15" fontId="12" fillId="3" borderId="10" xfId="0" quotePrefix="1" applyNumberFormat="1" applyFont="1" applyFill="1" applyBorder="1" applyAlignment="1">
      <alignment horizontal="left" vertical="center" wrapText="1"/>
    </xf>
    <xf numFmtId="2" fontId="12" fillId="3" borderId="4" xfId="0" quotePrefix="1" applyNumberFormat="1" applyFont="1" applyFill="1" applyBorder="1" applyAlignment="1">
      <alignment horizontal="center" vertical="center" wrapText="1"/>
    </xf>
    <xf numFmtId="15" fontId="2" fillId="3" borderId="4" xfId="0" quotePrefix="1" applyNumberFormat="1" applyFont="1" applyFill="1" applyBorder="1" applyAlignment="1">
      <alignment horizontal="left" vertical="center" wrapText="1"/>
    </xf>
    <xf numFmtId="15" fontId="12" fillId="3" borderId="9" xfId="0" quotePrefix="1" applyNumberFormat="1" applyFont="1" applyFill="1" applyBorder="1" applyAlignment="1">
      <alignment horizontal="left" vertical="center" wrapText="1"/>
    </xf>
    <xf numFmtId="15" fontId="12" fillId="7" borderId="4" xfId="0" quotePrefix="1" applyNumberFormat="1" applyFont="1" applyFill="1" applyBorder="1" applyAlignment="1">
      <alignment horizontal="left" vertical="center" wrapText="1"/>
    </xf>
    <xf numFmtId="15" fontId="2" fillId="7" borderId="4" xfId="0" quotePrefix="1" applyNumberFormat="1" applyFont="1" applyFill="1" applyBorder="1" applyAlignment="1">
      <alignment horizontal="left" vertical="center" wrapText="1"/>
    </xf>
    <xf numFmtId="15" fontId="2" fillId="27" borderId="4" xfId="0" quotePrefix="1" applyNumberFormat="1" applyFont="1" applyFill="1" applyBorder="1" applyAlignment="1">
      <alignment horizontal="left" vertical="center" wrapText="1"/>
    </xf>
    <xf numFmtId="15" fontId="12" fillId="27" borderId="9" xfId="0" quotePrefix="1" applyNumberFormat="1" applyFont="1" applyFill="1" applyBorder="1" applyAlignment="1">
      <alignment horizontal="left" vertical="center" wrapText="1"/>
    </xf>
    <xf numFmtId="0" fontId="12" fillId="3" borderId="6" xfId="0" quotePrefix="1" applyFont="1" applyFill="1" applyBorder="1" applyAlignment="1">
      <alignment horizontal="left" vertical="center" wrapText="1"/>
    </xf>
    <xf numFmtId="0" fontId="12" fillId="3" borderId="10" xfId="0" quotePrefix="1" applyFont="1" applyFill="1" applyBorder="1" applyAlignment="1">
      <alignment vertical="center" wrapText="1"/>
    </xf>
    <xf numFmtId="0" fontId="12" fillId="2" borderId="5" xfId="0" quotePrefix="1" applyFont="1" applyFill="1" applyBorder="1" applyAlignment="1">
      <alignment horizontal="left" vertical="center" wrapText="1"/>
    </xf>
    <xf numFmtId="0" fontId="12" fillId="3" borderId="4" xfId="0" quotePrefix="1" applyFont="1" applyFill="1" applyBorder="1" applyAlignment="1">
      <alignment vertical="center" wrapText="1"/>
    </xf>
    <xf numFmtId="4" fontId="2" fillId="3" borderId="4" xfId="1" quotePrefix="1" applyNumberFormat="1" applyFont="1" applyFill="1" applyBorder="1" applyAlignment="1">
      <alignment horizontal="center" vertical="center" wrapText="1"/>
    </xf>
    <xf numFmtId="15" fontId="2" fillId="7" borderId="4" xfId="0" quotePrefix="1" applyNumberFormat="1" applyFont="1" applyFill="1" applyBorder="1" applyAlignment="1">
      <alignment horizontal="center" vertical="center" wrapText="1"/>
    </xf>
    <xf numFmtId="4" fontId="2" fillId="27" borderId="4" xfId="1" quotePrefix="1" applyNumberFormat="1" applyFont="1" applyFill="1" applyBorder="1" applyAlignment="1">
      <alignment horizontal="center" vertical="center" wrapText="1"/>
    </xf>
    <xf numFmtId="15" fontId="2" fillId="27" borderId="4" xfId="0" quotePrefix="1" applyNumberFormat="1" applyFont="1" applyFill="1" applyBorder="1" applyAlignment="1">
      <alignment horizontal="center" vertical="center" wrapText="1"/>
    </xf>
    <xf numFmtId="15" fontId="12" fillId="27" borderId="4" xfId="0" quotePrefix="1" applyNumberFormat="1" applyFont="1" applyFill="1" applyBorder="1" applyAlignment="1">
      <alignment horizontal="left" vertical="center" wrapText="1"/>
    </xf>
    <xf numFmtId="0" fontId="4" fillId="3" borderId="24" xfId="0" quotePrefix="1" applyFont="1" applyFill="1" applyBorder="1" applyAlignment="1">
      <alignment horizontal="left" vertical="center" wrapText="1"/>
    </xf>
    <xf numFmtId="14" fontId="12" fillId="3" borderId="24" xfId="0" quotePrefix="1" applyNumberFormat="1" applyFont="1" applyFill="1" applyBorder="1" applyAlignment="1">
      <alignment horizontal="center" vertical="center" wrapText="1"/>
    </xf>
    <xf numFmtId="15" fontId="12" fillId="3" borderId="24" xfId="0" quotePrefix="1" applyNumberFormat="1" applyFont="1" applyFill="1" applyBorder="1" applyAlignment="1">
      <alignment horizontal="center" vertical="center" wrapText="1"/>
    </xf>
    <xf numFmtId="15" fontId="2" fillId="3" borderId="24" xfId="0" quotePrefix="1" applyNumberFormat="1" applyFont="1" applyFill="1" applyBorder="1" applyAlignment="1">
      <alignment horizontal="left" vertical="center" wrapText="1"/>
    </xf>
    <xf numFmtId="15" fontId="12" fillId="3" borderId="30" xfId="0" quotePrefix="1" applyNumberFormat="1" applyFont="1" applyFill="1" applyBorder="1" applyAlignment="1">
      <alignment horizontal="left" vertical="center" wrapText="1"/>
    </xf>
    <xf numFmtId="167" fontId="12" fillId="7" borderId="4" xfId="0" quotePrefix="1" applyNumberFormat="1" applyFont="1" applyFill="1" applyBorder="1" applyAlignment="1">
      <alignment horizontal="center" vertical="center" wrapText="1"/>
    </xf>
    <xf numFmtId="0" fontId="12" fillId="12" borderId="4" xfId="0" quotePrefix="1" applyFont="1" applyFill="1" applyBorder="1" applyAlignment="1">
      <alignment horizontal="left" vertical="center" wrapText="1"/>
    </xf>
    <xf numFmtId="14" fontId="12" fillId="12" borderId="4" xfId="0" quotePrefix="1" applyNumberFormat="1" applyFont="1" applyFill="1" applyBorder="1" applyAlignment="1">
      <alignment horizontal="center" vertical="center" wrapText="1"/>
    </xf>
    <xf numFmtId="15" fontId="12" fillId="12" borderId="4" xfId="0" quotePrefix="1" applyNumberFormat="1" applyFont="1" applyFill="1" applyBorder="1" applyAlignment="1">
      <alignment horizontal="center" vertical="center" wrapText="1"/>
    </xf>
    <xf numFmtId="15" fontId="2" fillId="12" borderId="4" xfId="0" quotePrefix="1" applyNumberFormat="1" applyFont="1" applyFill="1" applyBorder="1" applyAlignment="1">
      <alignment horizontal="left" vertical="center" wrapText="1"/>
    </xf>
    <xf numFmtId="15" fontId="12" fillId="12" borderId="4" xfId="0" quotePrefix="1" applyNumberFormat="1" applyFont="1" applyFill="1" applyBorder="1" applyAlignment="1">
      <alignment horizontal="left" vertical="center" wrapText="1"/>
    </xf>
    <xf numFmtId="0" fontId="76" fillId="10" borderId="38" xfId="0" quotePrefix="1" applyFont="1" applyFill="1" applyBorder="1" applyAlignment="1">
      <alignment horizontal="center" vertical="center" wrapText="1"/>
    </xf>
    <xf numFmtId="0" fontId="45" fillId="3" borderId="4" xfId="0" quotePrefix="1" applyFont="1" applyFill="1" applyBorder="1" applyAlignment="1">
      <alignment horizontal="center" vertical="center" wrapText="1"/>
    </xf>
    <xf numFmtId="15" fontId="45" fillId="3" borderId="4" xfId="0" quotePrefix="1" applyNumberFormat="1" applyFont="1" applyFill="1" applyBorder="1" applyAlignment="1">
      <alignment horizontal="center" vertical="center" wrapText="1"/>
    </xf>
    <xf numFmtId="0" fontId="48" fillId="3" borderId="4" xfId="0" quotePrefix="1" applyFont="1" applyFill="1" applyBorder="1" applyAlignment="1">
      <alignment horizontal="center" vertical="center" wrapText="1"/>
    </xf>
    <xf numFmtId="0" fontId="48" fillId="3" borderId="4" xfId="0" quotePrefix="1" applyFont="1" applyFill="1" applyBorder="1" applyAlignment="1">
      <alignment horizontal="left" vertical="center" wrapText="1"/>
    </xf>
    <xf numFmtId="0" fontId="45" fillId="3" borderId="9" xfId="0" quotePrefix="1" applyFont="1" applyFill="1" applyBorder="1" applyAlignment="1">
      <alignment horizontal="left" vertical="center" wrapText="1"/>
    </xf>
    <xf numFmtId="0" fontId="12" fillId="27" borderId="9" xfId="0" quotePrefix="1" applyFont="1" applyFill="1" applyBorder="1" applyAlignment="1">
      <alignment vertical="center" wrapText="1"/>
    </xf>
    <xf numFmtId="15" fontId="4" fillId="27" borderId="9" xfId="0" quotePrefix="1" applyNumberFormat="1" applyFont="1" applyFill="1" applyBorder="1" applyAlignment="1">
      <alignment horizontal="left" vertical="center" wrapText="1"/>
    </xf>
    <xf numFmtId="15" fontId="4" fillId="3" borderId="9" xfId="0" quotePrefix="1" applyNumberFormat="1" applyFont="1" applyFill="1" applyBorder="1" applyAlignment="1">
      <alignment horizontal="left" vertical="center" wrapText="1"/>
    </xf>
    <xf numFmtId="14" fontId="4" fillId="29" borderId="6" xfId="0" quotePrefix="1" applyNumberFormat="1" applyFont="1" applyFill="1" applyBorder="1" applyAlignment="1">
      <alignment horizontal="center" vertical="center" wrapText="1"/>
    </xf>
    <xf numFmtId="0" fontId="12" fillId="29" borderId="9" xfId="0" quotePrefix="1" applyFont="1" applyFill="1" applyBorder="1" applyAlignment="1">
      <alignment vertical="center" wrapText="1"/>
    </xf>
    <xf numFmtId="0" fontId="4" fillId="29" borderId="24" xfId="0" quotePrefix="1" applyFont="1" applyFill="1" applyBorder="1" applyAlignment="1">
      <alignment horizontal="left" vertical="center" wrapText="1"/>
    </xf>
    <xf numFmtId="0" fontId="12" fillId="29" borderId="24" xfId="0" quotePrefix="1" applyFont="1" applyFill="1" applyBorder="1" applyAlignment="1">
      <alignment horizontal="center" vertical="center" wrapText="1"/>
    </xf>
    <xf numFmtId="14" fontId="12" fillId="29" borderId="24" xfId="0" quotePrefix="1" applyNumberFormat="1" applyFont="1" applyFill="1" applyBorder="1" applyAlignment="1">
      <alignment horizontal="center" vertical="center" wrapText="1"/>
    </xf>
    <xf numFmtId="22" fontId="12" fillId="29" borderId="24" xfId="0" quotePrefix="1" applyNumberFormat="1" applyFont="1" applyFill="1" applyBorder="1" applyAlignment="1">
      <alignment horizontal="center" vertical="center" wrapText="1"/>
    </xf>
    <xf numFmtId="15" fontId="12" fillId="29" borderId="24" xfId="0" quotePrefix="1" applyNumberFormat="1" applyFont="1" applyFill="1" applyBorder="1" applyAlignment="1">
      <alignment horizontal="left" vertical="top" wrapText="1"/>
    </xf>
    <xf numFmtId="0" fontId="12" fillId="29" borderId="24" xfId="0" quotePrefix="1" applyFont="1" applyFill="1" applyBorder="1" applyAlignment="1">
      <alignment vertical="center" wrapText="1"/>
    </xf>
    <xf numFmtId="22" fontId="12" fillId="29" borderId="4" xfId="0" quotePrefix="1" applyNumberFormat="1" applyFont="1" applyFill="1" applyBorder="1" applyAlignment="1">
      <alignment horizontal="center" vertical="center" wrapText="1"/>
    </xf>
    <xf numFmtId="15" fontId="12" fillId="29" borderId="4" xfId="0" quotePrefix="1" applyNumberFormat="1" applyFont="1" applyFill="1" applyBorder="1" applyAlignment="1">
      <alignment horizontal="left" vertical="top" wrapText="1"/>
    </xf>
    <xf numFmtId="0" fontId="12" fillId="27" borderId="9" xfId="0" quotePrefix="1" applyFont="1" applyFill="1" applyBorder="1" applyAlignment="1">
      <alignment horizontal="left" vertical="center" wrapText="1"/>
    </xf>
    <xf numFmtId="22" fontId="12" fillId="27" borderId="4" xfId="0" quotePrefix="1" applyNumberFormat="1" applyFont="1" applyFill="1" applyBorder="1" applyAlignment="1">
      <alignment horizontal="center" vertical="center" wrapText="1"/>
    </xf>
    <xf numFmtId="4" fontId="12" fillId="27" borderId="4" xfId="1" quotePrefix="1" applyNumberFormat="1" applyFont="1" applyFill="1" applyBorder="1" applyAlignment="1">
      <alignment horizontal="center" vertical="center" wrapText="1"/>
    </xf>
    <xf numFmtId="15" fontId="2" fillId="27" borderId="4" xfId="0" quotePrefix="1" applyNumberFormat="1" applyFont="1" applyFill="1" applyBorder="1" applyAlignment="1">
      <alignment horizontal="left" vertical="top" wrapText="1"/>
    </xf>
    <xf numFmtId="0" fontId="12" fillId="27" borderId="6" xfId="0" quotePrefix="1" applyFont="1" applyFill="1" applyBorder="1" applyAlignment="1">
      <alignment horizontal="center" vertical="center" wrapText="1"/>
    </xf>
    <xf numFmtId="0" fontId="12" fillId="27" borderId="6" xfId="0" quotePrefix="1" applyFont="1" applyFill="1" applyBorder="1" applyAlignment="1">
      <alignment horizontal="left" vertical="center" wrapText="1"/>
    </xf>
    <xf numFmtId="167" fontId="2" fillId="27" borderId="4" xfId="0" quotePrefix="1" applyNumberFormat="1" applyFont="1" applyFill="1" applyBorder="1" applyAlignment="1">
      <alignment horizontal="center" vertical="center" wrapText="1"/>
    </xf>
    <xf numFmtId="15" fontId="2" fillId="3" borderId="4" xfId="0" quotePrefix="1" applyNumberFormat="1" applyFont="1" applyFill="1" applyBorder="1" applyAlignment="1">
      <alignment horizontal="left" vertical="top" wrapText="1"/>
    </xf>
    <xf numFmtId="167" fontId="12" fillId="3" borderId="4" xfId="0" quotePrefix="1" applyNumberFormat="1" applyFont="1" applyFill="1" applyBorder="1" applyAlignment="1">
      <alignment horizontal="center" vertical="center" wrapText="1"/>
    </xf>
    <xf numFmtId="0" fontId="29" fillId="10" borderId="38" xfId="0" quotePrefix="1" applyFont="1" applyFill="1" applyBorder="1" applyAlignment="1">
      <alignment horizontal="center" vertical="center" wrapText="1"/>
    </xf>
    <xf numFmtId="0" fontId="34" fillId="12" borderId="24" xfId="0" quotePrefix="1" applyFont="1" applyFill="1" applyBorder="1" applyAlignment="1">
      <alignment horizontal="left" vertical="center" wrapText="1"/>
    </xf>
    <xf numFmtId="14" fontId="34" fillId="12" borderId="4" xfId="0" quotePrefix="1" applyNumberFormat="1" applyFont="1" applyFill="1" applyBorder="1" applyAlignment="1">
      <alignment horizontal="center" vertical="center" wrapText="1"/>
    </xf>
    <xf numFmtId="14" fontId="34" fillId="12" borderId="24" xfId="0" quotePrefix="1" applyNumberFormat="1" applyFont="1" applyFill="1" applyBorder="1" applyAlignment="1">
      <alignment horizontal="center" vertical="center" wrapText="1"/>
    </xf>
    <xf numFmtId="14" fontId="21" fillId="12" borderId="24" xfId="0" quotePrefix="1" applyNumberFormat="1" applyFont="1" applyFill="1" applyBorder="1" applyAlignment="1">
      <alignment horizontal="center" vertical="center" wrapText="1"/>
    </xf>
    <xf numFmtId="15" fontId="34" fillId="12" borderId="25" xfId="0" quotePrefix="1" applyNumberFormat="1" applyFont="1" applyFill="1" applyBorder="1" applyAlignment="1">
      <alignment horizontal="center" vertical="center" wrapText="1"/>
    </xf>
    <xf numFmtId="15" fontId="21" fillId="12" borderId="4" xfId="0" quotePrefix="1" applyNumberFormat="1" applyFont="1" applyFill="1" applyBorder="1" applyAlignment="1">
      <alignment horizontal="left" vertical="top" wrapText="1"/>
    </xf>
    <xf numFmtId="15" fontId="34" fillId="12" borderId="9" xfId="0" quotePrefix="1" applyNumberFormat="1" applyFont="1" applyFill="1" applyBorder="1" applyAlignment="1">
      <alignment horizontal="left" vertical="top" wrapText="1"/>
    </xf>
    <xf numFmtId="0" fontId="34" fillId="12" borderId="4" xfId="0" quotePrefix="1" applyFont="1" applyFill="1" applyBorder="1" applyAlignment="1">
      <alignment horizontal="left" vertical="center" wrapText="1"/>
    </xf>
    <xf numFmtId="167" fontId="21" fillId="12" borderId="4" xfId="0" quotePrefix="1" applyNumberFormat="1" applyFont="1" applyFill="1" applyBorder="1" applyAlignment="1">
      <alignment horizontal="center" vertical="center" wrapText="1"/>
    </xf>
    <xf numFmtId="15" fontId="21" fillId="12" borderId="4" xfId="0" quotePrefix="1" applyNumberFormat="1" applyFont="1" applyFill="1" applyBorder="1" applyAlignment="1">
      <alignment horizontal="center" vertical="center" wrapText="1"/>
    </xf>
    <xf numFmtId="15" fontId="21" fillId="12" borderId="4" xfId="0" quotePrefix="1" applyNumberFormat="1" applyFont="1" applyFill="1" applyBorder="1" applyAlignment="1">
      <alignment horizontal="left" vertical="center" wrapText="1"/>
    </xf>
    <xf numFmtId="15" fontId="34" fillId="12" borderId="30" xfId="0" quotePrefix="1" applyNumberFormat="1" applyFont="1" applyFill="1" applyBorder="1" applyAlignment="1">
      <alignment horizontal="left" vertical="center" wrapText="1"/>
    </xf>
    <xf numFmtId="0" fontId="34" fillId="12" borderId="2" xfId="0" quotePrefix="1" applyFont="1" applyFill="1" applyBorder="1" applyAlignment="1">
      <alignment horizontal="left" vertical="center" wrapText="1"/>
    </xf>
    <xf numFmtId="14" fontId="34" fillId="12" borderId="2" xfId="0" quotePrefix="1" applyNumberFormat="1" applyFont="1" applyFill="1" applyBorder="1" applyAlignment="1">
      <alignment horizontal="center" vertical="center" wrapText="1"/>
    </xf>
    <xf numFmtId="4" fontId="21" fillId="12" borderId="2" xfId="1" quotePrefix="1" applyNumberFormat="1" applyFont="1" applyFill="1" applyBorder="1" applyAlignment="1">
      <alignment horizontal="center" vertical="center" wrapText="1"/>
    </xf>
    <xf numFmtId="15" fontId="34" fillId="12" borderId="2" xfId="0" quotePrefix="1" applyNumberFormat="1" applyFont="1" applyFill="1" applyBorder="1" applyAlignment="1">
      <alignment horizontal="center" vertical="center" wrapText="1"/>
    </xf>
    <xf numFmtId="15" fontId="21" fillId="12" borderId="24" xfId="0" quotePrefix="1" applyNumberFormat="1" applyFont="1" applyFill="1" applyBorder="1" applyAlignment="1">
      <alignment horizontal="left" vertical="center" wrapText="1"/>
    </xf>
    <xf numFmtId="15" fontId="34" fillId="12" borderId="30" xfId="0" quotePrefix="1" applyNumberFormat="1" applyFont="1" applyFill="1" applyBorder="1" applyAlignment="1">
      <alignment horizontal="left" vertical="top" wrapText="1"/>
    </xf>
    <xf numFmtId="167" fontId="34" fillId="12" borderId="4" xfId="0" quotePrefix="1" applyNumberFormat="1" applyFont="1" applyFill="1" applyBorder="1" applyAlignment="1">
      <alignment horizontal="center" vertical="center" wrapText="1"/>
    </xf>
    <xf numFmtId="15" fontId="34" fillId="12" borderId="4" xfId="0" quotePrefix="1" applyNumberFormat="1" applyFont="1" applyFill="1" applyBorder="1" applyAlignment="1">
      <alignment horizontal="center" vertical="center" wrapText="1"/>
    </xf>
    <xf numFmtId="0" fontId="21" fillId="12" borderId="4" xfId="0" quotePrefix="1" applyFont="1" applyFill="1" applyBorder="1" applyAlignment="1">
      <alignment horizontal="left" vertical="center" wrapText="1"/>
    </xf>
    <xf numFmtId="15" fontId="34" fillId="12" borderId="9" xfId="0" quotePrefix="1" applyNumberFormat="1" applyFont="1" applyFill="1" applyBorder="1" applyAlignment="1">
      <alignment horizontal="left" vertical="center" wrapText="1"/>
    </xf>
    <xf numFmtId="4" fontId="21" fillId="12" borderId="4" xfId="1" quotePrefix="1" applyNumberFormat="1" applyFont="1" applyFill="1" applyBorder="1" applyAlignment="1">
      <alignment horizontal="center" vertical="center" wrapText="1"/>
    </xf>
    <xf numFmtId="15" fontId="21" fillId="12" borderId="24" xfId="0" quotePrefix="1" applyNumberFormat="1" applyFont="1" applyFill="1" applyBorder="1" applyAlignment="1">
      <alignment horizontal="center" vertical="center" wrapText="1"/>
    </xf>
    <xf numFmtId="0" fontId="24" fillId="12" borderId="4" xfId="0" quotePrefix="1" applyFont="1" applyFill="1" applyBorder="1" applyAlignment="1">
      <alignment horizontal="left" vertical="center" wrapText="1"/>
    </xf>
    <xf numFmtId="14" fontId="36" fillId="12" borderId="4" xfId="0" quotePrefix="1" applyNumberFormat="1" applyFont="1" applyFill="1" applyBorder="1" applyAlignment="1">
      <alignment horizontal="center" vertical="center" wrapText="1"/>
    </xf>
    <xf numFmtId="167" fontId="36" fillId="12" borderId="4" xfId="0" quotePrefix="1" applyNumberFormat="1" applyFont="1" applyFill="1" applyBorder="1" applyAlignment="1">
      <alignment horizontal="center" vertical="center" wrapText="1"/>
    </xf>
    <xf numFmtId="15" fontId="36" fillId="12" borderId="4" xfId="0" quotePrefix="1" applyNumberFormat="1" applyFont="1" applyFill="1" applyBorder="1" applyAlignment="1">
      <alignment horizontal="center" vertical="center" wrapText="1"/>
    </xf>
    <xf numFmtId="15" fontId="24" fillId="12" borderId="4" xfId="0" quotePrefix="1" applyNumberFormat="1" applyFont="1" applyFill="1" applyBorder="1" applyAlignment="1">
      <alignment horizontal="center" vertical="center" wrapText="1"/>
    </xf>
    <xf numFmtId="15" fontId="36" fillId="12" borderId="30" xfId="0" quotePrefix="1" applyNumberFormat="1" applyFont="1" applyFill="1" applyBorder="1" applyAlignment="1">
      <alignment horizontal="left" vertical="top" wrapText="1"/>
    </xf>
    <xf numFmtId="0" fontId="36" fillId="12" borderId="4" xfId="0" quotePrefix="1" applyFont="1" applyFill="1" applyBorder="1" applyAlignment="1">
      <alignment horizontal="left" vertical="center" wrapText="1"/>
    </xf>
    <xf numFmtId="167" fontId="36" fillId="12" borderId="25" xfId="0" quotePrefix="1" applyNumberFormat="1" applyFont="1" applyFill="1" applyBorder="1" applyAlignment="1">
      <alignment horizontal="center" vertical="center" wrapText="1"/>
    </xf>
    <xf numFmtId="15" fontId="24" fillId="12" borderId="24" xfId="0" quotePrefix="1" applyNumberFormat="1" applyFont="1" applyFill="1" applyBorder="1" applyAlignment="1">
      <alignment horizontal="left" vertical="center" wrapText="1"/>
    </xf>
    <xf numFmtId="15" fontId="36" fillId="12" borderId="9" xfId="0" quotePrefix="1" applyNumberFormat="1" applyFont="1" applyFill="1" applyBorder="1" applyAlignment="1">
      <alignment horizontal="left" vertical="top" wrapText="1"/>
    </xf>
    <xf numFmtId="15" fontId="24" fillId="12" borderId="24" xfId="0" quotePrefix="1" applyNumberFormat="1" applyFont="1" applyFill="1" applyBorder="1" applyAlignment="1">
      <alignment horizontal="left" vertical="top" wrapText="1"/>
    </xf>
    <xf numFmtId="14" fontId="24" fillId="12" borderId="4" xfId="0" quotePrefix="1" applyNumberFormat="1" applyFont="1" applyFill="1" applyBorder="1" applyAlignment="1">
      <alignment horizontal="center" vertical="center" wrapText="1"/>
    </xf>
    <xf numFmtId="167" fontId="24" fillId="12" borderId="4" xfId="0" quotePrefix="1" applyNumberFormat="1" applyFont="1" applyFill="1" applyBorder="1" applyAlignment="1">
      <alignment horizontal="center" vertical="center" wrapText="1"/>
    </xf>
    <xf numFmtId="15" fontId="24" fillId="12" borderId="4" xfId="0" quotePrefix="1" applyNumberFormat="1" applyFont="1" applyFill="1" applyBorder="1" applyAlignment="1">
      <alignment horizontal="left" vertical="top" wrapText="1"/>
    </xf>
    <xf numFmtId="15" fontId="24" fillId="12" borderId="4" xfId="0" quotePrefix="1" applyNumberFormat="1" applyFont="1" applyFill="1" applyBorder="1" applyAlignment="1">
      <alignment horizontal="left" vertical="center" wrapText="1"/>
    </xf>
    <xf numFmtId="15" fontId="36" fillId="12" borderId="4" xfId="0" quotePrefix="1" applyNumberFormat="1" applyFont="1" applyFill="1" applyBorder="1" applyAlignment="1">
      <alignment horizontal="left" vertical="top" wrapText="1"/>
    </xf>
    <xf numFmtId="15" fontId="36" fillId="12" borderId="11" xfId="0" quotePrefix="1" applyNumberFormat="1" applyFont="1" applyFill="1" applyBorder="1" applyAlignment="1">
      <alignment horizontal="left" vertical="top" wrapText="1"/>
    </xf>
    <xf numFmtId="15" fontId="36" fillId="12" borderId="9" xfId="0" quotePrefix="1" applyNumberFormat="1" applyFont="1" applyFill="1" applyBorder="1" applyAlignment="1">
      <alignment horizontal="left" vertical="center" wrapText="1"/>
    </xf>
    <xf numFmtId="14" fontId="24" fillId="12" borderId="6" xfId="0" quotePrefix="1" applyNumberFormat="1" applyFont="1" applyFill="1" applyBorder="1" applyAlignment="1">
      <alignment horizontal="center" vertical="center" wrapText="1"/>
    </xf>
    <xf numFmtId="167" fontId="24" fillId="12" borderId="6" xfId="0" quotePrefix="1" applyNumberFormat="1" applyFont="1" applyFill="1" applyBorder="1" applyAlignment="1">
      <alignment horizontal="center" vertical="center" wrapText="1"/>
    </xf>
    <xf numFmtId="15" fontId="24" fillId="12" borderId="6" xfId="0" quotePrefix="1" applyNumberFormat="1" applyFont="1" applyFill="1" applyBorder="1" applyAlignment="1">
      <alignment horizontal="center" vertical="center" wrapText="1"/>
    </xf>
    <xf numFmtId="15" fontId="24" fillId="12" borderId="6" xfId="0" quotePrefix="1" applyNumberFormat="1" applyFont="1" applyFill="1" applyBorder="1" applyAlignment="1">
      <alignment horizontal="left" vertical="center" wrapText="1"/>
    </xf>
    <xf numFmtId="0" fontId="36" fillId="12" borderId="6" xfId="0" quotePrefix="1" applyFont="1" applyFill="1" applyBorder="1" applyAlignment="1">
      <alignment horizontal="left" vertical="center" wrapText="1"/>
    </xf>
    <xf numFmtId="0" fontId="24" fillId="12" borderId="4" xfId="0" quotePrefix="1" applyFont="1" applyFill="1" applyBorder="1" applyAlignment="1">
      <alignment horizontal="center" vertical="center" wrapText="1"/>
    </xf>
    <xf numFmtId="165" fontId="43" fillId="12" borderId="4" xfId="0" quotePrefix="1" applyNumberFormat="1" applyFont="1" applyFill="1" applyBorder="1" applyAlignment="1">
      <alignment horizontal="left" vertical="center" wrapText="1"/>
    </xf>
    <xf numFmtId="15" fontId="44" fillId="12" borderId="9" xfId="0" quotePrefix="1" applyNumberFormat="1" applyFont="1" applyFill="1" applyBorder="1" applyAlignment="1">
      <alignment horizontal="left" vertical="top" wrapText="1"/>
    </xf>
    <xf numFmtId="0" fontId="15" fillId="2" borderId="6" xfId="0" quotePrefix="1" applyFont="1" applyFill="1" applyBorder="1" applyAlignment="1">
      <alignment horizontal="left" vertical="center" wrapText="1"/>
    </xf>
    <xf numFmtId="22" fontId="15" fillId="2" borderId="6" xfId="0" quotePrefix="1" applyNumberFormat="1" applyFont="1" applyFill="1" applyBorder="1" applyAlignment="1">
      <alignment horizontal="center" vertical="center" wrapText="1"/>
    </xf>
    <xf numFmtId="167" fontId="15" fillId="8" borderId="4" xfId="0" quotePrefix="1" applyNumberFormat="1" applyFont="1" applyFill="1" applyBorder="1" applyAlignment="1">
      <alignment horizontal="center" vertical="center" wrapText="1"/>
    </xf>
    <xf numFmtId="0" fontId="15" fillId="20" borderId="6" xfId="0" quotePrefix="1" applyFont="1" applyFill="1" applyBorder="1" applyAlignment="1">
      <alignment horizontal="center" vertical="center" wrapText="1"/>
    </xf>
    <xf numFmtId="15" fontId="15" fillId="2" borderId="6" xfId="0" quotePrefix="1" applyNumberFormat="1" applyFont="1" applyFill="1" applyBorder="1" applyAlignment="1">
      <alignment horizontal="left" vertical="center" wrapText="1"/>
    </xf>
    <xf numFmtId="165" fontId="15" fillId="2" borderId="15" xfId="0" quotePrefix="1" applyNumberFormat="1" applyFont="1" applyFill="1" applyBorder="1" applyAlignment="1">
      <alignment horizontal="center" vertical="center" wrapText="1"/>
    </xf>
    <xf numFmtId="15" fontId="15" fillId="2" borderId="9" xfId="0" quotePrefix="1" applyNumberFormat="1" applyFont="1" applyFill="1" applyBorder="1" applyAlignment="1">
      <alignment horizontal="left" vertical="top" wrapText="1"/>
    </xf>
    <xf numFmtId="0" fontId="48" fillId="8" borderId="21" xfId="0" quotePrefix="1" applyFont="1" applyFill="1" applyBorder="1" applyAlignment="1">
      <alignment horizontal="center" vertical="center" wrapText="1"/>
    </xf>
    <xf numFmtId="0" fontId="4" fillId="8" borderId="4" xfId="0" quotePrefix="1" applyFont="1" applyFill="1" applyBorder="1" applyAlignment="1">
      <alignment horizontal="center" vertical="center"/>
    </xf>
    <xf numFmtId="0" fontId="5" fillId="3" borderId="4" xfId="0" quotePrefix="1" applyFont="1" applyFill="1" applyBorder="1" applyAlignment="1">
      <alignment horizontal="center" vertical="center" wrapText="1"/>
    </xf>
    <xf numFmtId="0" fontId="4" fillId="3" borderId="4" xfId="0" quotePrefix="1" applyFont="1" applyFill="1" applyBorder="1" applyAlignment="1">
      <alignment horizontal="center" vertical="center"/>
    </xf>
    <xf numFmtId="0" fontId="4" fillId="2" borderId="21" xfId="0" quotePrefix="1" applyFont="1" applyFill="1" applyBorder="1" applyAlignment="1">
      <alignment horizontal="center" vertical="center" wrapText="1"/>
    </xf>
    <xf numFmtId="0" fontId="4" fillId="3" borderId="21" xfId="0" quotePrefix="1" applyFont="1" applyFill="1" applyBorder="1" applyAlignment="1">
      <alignment horizontal="center" vertical="center" wrapText="1"/>
    </xf>
    <xf numFmtId="0" fontId="4" fillId="3" borderId="21" xfId="0" quotePrefix="1" applyFont="1" applyFill="1" applyBorder="1" applyAlignment="1">
      <alignment horizontal="center" vertical="center"/>
    </xf>
    <xf numFmtId="0" fontId="4" fillId="7" borderId="4" xfId="0" quotePrefix="1" applyFont="1" applyFill="1" applyBorder="1" applyAlignment="1">
      <alignment horizontal="center" vertical="center"/>
    </xf>
    <xf numFmtId="14" fontId="4" fillId="27" borderId="4" xfId="0" quotePrefix="1" applyNumberFormat="1" applyFont="1" applyFill="1" applyBorder="1" applyAlignment="1">
      <alignment horizontal="center" vertical="top" wrapText="1"/>
    </xf>
    <xf numFmtId="0" fontId="4" fillId="27" borderId="4" xfId="0" quotePrefix="1" applyFont="1" applyFill="1" applyBorder="1" applyAlignment="1">
      <alignment horizontal="center" vertical="center"/>
    </xf>
    <xf numFmtId="14" fontId="12" fillId="7" borderId="2" xfId="0" quotePrefix="1" applyNumberFormat="1" applyFont="1" applyFill="1" applyBorder="1" applyAlignment="1">
      <alignment horizontal="center" vertical="center" wrapText="1"/>
    </xf>
    <xf numFmtId="14" fontId="12" fillId="7" borderId="25" xfId="0" quotePrefix="1" applyNumberFormat="1" applyFont="1" applyFill="1" applyBorder="1" applyAlignment="1">
      <alignment horizontal="center" vertical="center" wrapText="1"/>
    </xf>
    <xf numFmtId="14" fontId="12" fillId="3" borderId="2" xfId="0" quotePrefix="1" applyNumberFormat="1" applyFont="1" applyFill="1" applyBorder="1" applyAlignment="1">
      <alignment horizontal="center" vertical="center" wrapText="1"/>
    </xf>
    <xf numFmtId="14" fontId="12" fillId="27" borderId="21" xfId="0" quotePrefix="1" applyNumberFormat="1" applyFont="1" applyFill="1" applyBorder="1" applyAlignment="1">
      <alignment horizontal="center" vertical="center" wrapText="1"/>
    </xf>
    <xf numFmtId="9" fontId="4" fillId="7" borderId="24" xfId="3" quotePrefix="1" applyFont="1" applyFill="1" applyBorder="1" applyAlignment="1">
      <alignment horizontal="center" vertical="center" wrapText="1"/>
    </xf>
    <xf numFmtId="14" fontId="4" fillId="3" borderId="21" xfId="0" quotePrefix="1" applyNumberFormat="1" applyFont="1" applyFill="1" applyBorder="1" applyAlignment="1">
      <alignment horizontal="center" vertical="center" wrapText="1"/>
    </xf>
    <xf numFmtId="22" fontId="4" fillId="3" borderId="21" xfId="3" quotePrefix="1" applyNumberFormat="1" applyFont="1" applyFill="1" applyBorder="1" applyAlignment="1">
      <alignment horizontal="center" vertical="center" wrapText="1"/>
    </xf>
    <xf numFmtId="22" fontId="4" fillId="3" borderId="4" xfId="3" quotePrefix="1" applyNumberFormat="1" applyFont="1" applyFill="1" applyBorder="1" applyAlignment="1">
      <alignment horizontal="center" vertical="center" wrapText="1"/>
    </xf>
    <xf numFmtId="14" fontId="4" fillId="28" borderId="4" xfId="0" quotePrefix="1" applyNumberFormat="1" applyFont="1" applyFill="1" applyBorder="1" applyAlignment="1">
      <alignment horizontal="center" vertical="center" wrapText="1"/>
    </xf>
    <xf numFmtId="0" fontId="4" fillId="28" borderId="4" xfId="0" quotePrefix="1" applyFont="1" applyFill="1" applyBorder="1" applyAlignment="1">
      <alignment horizontal="center" vertical="center" wrapText="1"/>
    </xf>
    <xf numFmtId="0" fontId="4" fillId="28" borderId="6" xfId="0" quotePrefix="1" applyFont="1" applyFill="1" applyBorder="1" applyAlignment="1">
      <alignment horizontal="center" vertical="center" wrapText="1"/>
    </xf>
    <xf numFmtId="14" fontId="4" fillId="28" borderId="51" xfId="0" quotePrefix="1" applyNumberFormat="1" applyFont="1" applyFill="1" applyBorder="1" applyAlignment="1">
      <alignment horizontal="center" vertical="center" wrapText="1"/>
    </xf>
    <xf numFmtId="0" fontId="4" fillId="28" borderId="51" xfId="0" quotePrefix="1" applyFont="1" applyFill="1" applyBorder="1" applyAlignment="1">
      <alignment horizontal="center" vertical="center" wrapText="1"/>
    </xf>
    <xf numFmtId="14" fontId="4" fillId="8" borderId="21" xfId="0" quotePrefix="1" applyNumberFormat="1" applyFont="1" applyFill="1" applyBorder="1" applyAlignment="1">
      <alignment horizontal="center" vertical="center" wrapText="1"/>
    </xf>
    <xf numFmtId="0" fontId="4" fillId="8" borderId="21" xfId="0" quotePrefix="1" applyFont="1" applyFill="1" applyBorder="1" applyAlignment="1">
      <alignment horizontal="center" vertical="center"/>
    </xf>
    <xf numFmtId="14" fontId="4" fillId="8" borderId="4" xfId="0" quotePrefix="1" applyNumberFormat="1" applyFont="1" applyFill="1" applyBorder="1" applyAlignment="1">
      <alignment horizontal="center" vertical="center" wrapText="1"/>
    </xf>
    <xf numFmtId="0" fontId="4" fillId="19" borderId="4" xfId="0" quotePrefix="1" applyFont="1" applyFill="1" applyBorder="1" applyAlignment="1">
      <alignment horizontal="center" vertical="center" wrapText="1"/>
    </xf>
    <xf numFmtId="0" fontId="4" fillId="19" borderId="21" xfId="0" quotePrefix="1" applyFont="1" applyFill="1" applyBorder="1" applyAlignment="1">
      <alignment horizontal="center" vertical="center" wrapText="1"/>
    </xf>
    <xf numFmtId="0" fontId="4" fillId="19" borderId="21" xfId="0" quotePrefix="1" applyFont="1" applyFill="1" applyBorder="1" applyAlignment="1">
      <alignment horizontal="center" vertical="center"/>
    </xf>
    <xf numFmtId="0" fontId="72" fillId="10" borderId="38" xfId="0" quotePrefix="1" applyFont="1" applyFill="1" applyBorder="1" applyAlignment="1">
      <alignment horizontal="center" vertical="center" wrapText="1"/>
    </xf>
    <xf numFmtId="4" fontId="21" fillId="12" borderId="24" xfId="1" quotePrefix="1" applyNumberFormat="1" applyFont="1" applyFill="1" applyBorder="1" applyAlignment="1">
      <alignment horizontal="center" vertical="center" wrapText="1"/>
    </xf>
    <xf numFmtId="15" fontId="34" fillId="12" borderId="24" xfId="0" quotePrefix="1" applyNumberFormat="1" applyFont="1" applyFill="1" applyBorder="1" applyAlignment="1">
      <alignment horizontal="center" vertical="center" wrapText="1"/>
    </xf>
    <xf numFmtId="0" fontId="36" fillId="2" borderId="4" xfId="0" quotePrefix="1" applyFont="1" applyFill="1" applyBorder="1" applyAlignment="1">
      <alignment horizontal="center" vertical="center" wrapText="1"/>
    </xf>
    <xf numFmtId="0" fontId="36" fillId="3" borderId="4" xfId="0" quotePrefix="1" applyFont="1" applyFill="1" applyBorder="1" applyAlignment="1">
      <alignment horizontal="left" vertical="top" wrapText="1"/>
    </xf>
    <xf numFmtId="14" fontId="36" fillId="3" borderId="4" xfId="0" quotePrefix="1" applyNumberFormat="1" applyFont="1" applyFill="1" applyBorder="1" applyAlignment="1">
      <alignment horizontal="center" vertical="center" wrapText="1"/>
    </xf>
    <xf numFmtId="0" fontId="36" fillId="3" borderId="4" xfId="0" quotePrefix="1" applyFont="1" applyFill="1" applyBorder="1" applyAlignment="1">
      <alignment horizontal="center" vertical="center" wrapText="1"/>
    </xf>
    <xf numFmtId="0" fontId="36" fillId="3" borderId="4" xfId="0" quotePrefix="1" applyFont="1" applyFill="1" applyBorder="1" applyAlignment="1">
      <alignment horizontal="left" vertical="center" wrapText="1"/>
    </xf>
    <xf numFmtId="0" fontId="24" fillId="2" borderId="14" xfId="0" quotePrefix="1" applyFont="1" applyFill="1" applyBorder="1" applyAlignment="1">
      <alignment horizontal="left" vertical="center" wrapText="1"/>
    </xf>
    <xf numFmtId="14" fontId="36" fillId="3" borderId="24" xfId="0" quotePrefix="1" applyNumberFormat="1" applyFont="1" applyFill="1" applyBorder="1" applyAlignment="1">
      <alignment horizontal="center" vertical="center" wrapText="1"/>
    </xf>
    <xf numFmtId="15" fontId="36" fillId="3" borderId="4" xfId="0" quotePrefix="1" applyNumberFormat="1" applyFont="1" applyFill="1" applyBorder="1" applyAlignment="1">
      <alignment horizontal="center" vertical="center" wrapText="1"/>
    </xf>
    <xf numFmtId="0" fontId="36" fillId="3" borderId="9" xfId="0" quotePrefix="1" applyFont="1" applyFill="1" applyBorder="1" applyAlignment="1">
      <alignment vertical="center" wrapText="1"/>
    </xf>
    <xf numFmtId="0" fontId="24" fillId="2" borderId="14" xfId="0" quotePrefix="1" applyFont="1" applyFill="1" applyBorder="1" applyAlignment="1">
      <alignment horizontal="left" vertical="top" wrapText="1"/>
    </xf>
    <xf numFmtId="15" fontId="36" fillId="3" borderId="9" xfId="0" quotePrefix="1" applyNumberFormat="1" applyFont="1" applyFill="1" applyBorder="1" applyAlignment="1">
      <alignment horizontal="left" vertical="center" wrapText="1"/>
    </xf>
    <xf numFmtId="15" fontId="24" fillId="3" borderId="4" xfId="0" quotePrefix="1" applyNumberFormat="1" applyFont="1" applyFill="1" applyBorder="1" applyAlignment="1">
      <alignment horizontal="center" vertical="center" wrapText="1"/>
    </xf>
    <xf numFmtId="0" fontId="15" fillId="13" borderId="4" xfId="0" quotePrefix="1" applyFont="1" applyFill="1" applyBorder="1" applyAlignment="1">
      <alignment horizontal="left" vertical="center" wrapText="1"/>
    </xf>
    <xf numFmtId="14" fontId="7" fillId="13" borderId="4" xfId="0" quotePrefix="1" applyNumberFormat="1" applyFont="1" applyFill="1" applyBorder="1" applyAlignment="1">
      <alignment horizontal="center" vertical="top" wrapText="1"/>
    </xf>
    <xf numFmtId="167" fontId="7" fillId="13" borderId="4" xfId="0" quotePrefix="1" applyNumberFormat="1" applyFont="1" applyFill="1" applyBorder="1" applyAlignment="1">
      <alignment horizontal="center" vertical="top" wrapText="1"/>
    </xf>
    <xf numFmtId="15" fontId="7" fillId="13" borderId="4" xfId="0" quotePrefix="1" applyNumberFormat="1" applyFont="1" applyFill="1" applyBorder="1" applyAlignment="1">
      <alignment horizontal="center" vertical="center" wrapText="1"/>
    </xf>
    <xf numFmtId="15" fontId="15" fillId="13" borderId="24" xfId="0" quotePrefix="1" applyNumberFormat="1" applyFont="1" applyFill="1" applyBorder="1" applyAlignment="1">
      <alignment horizontal="left" vertical="top" wrapText="1"/>
    </xf>
    <xf numFmtId="15" fontId="7" fillId="13" borderId="30" xfId="0" quotePrefix="1" applyNumberFormat="1" applyFont="1" applyFill="1" applyBorder="1" applyAlignment="1">
      <alignment horizontal="left" vertical="top" wrapText="1"/>
    </xf>
    <xf numFmtId="0" fontId="29" fillId="10" borderId="19" xfId="0" quotePrefix="1" applyFont="1" applyFill="1" applyBorder="1" applyAlignment="1">
      <alignment horizontal="center" vertical="center" wrapText="1"/>
    </xf>
    <xf numFmtId="0" fontId="34" fillId="12" borderId="4" xfId="0" quotePrefix="1" applyFont="1" applyFill="1" applyBorder="1" applyAlignment="1">
      <alignment horizontal="center" vertical="center" wrapText="1"/>
    </xf>
    <xf numFmtId="22" fontId="34" fillId="12" borderId="4" xfId="0" quotePrefix="1" applyNumberFormat="1" applyFont="1" applyFill="1" applyBorder="1" applyAlignment="1">
      <alignment horizontal="center" vertical="center" wrapText="1"/>
    </xf>
    <xf numFmtId="4" fontId="34" fillId="12" borderId="4" xfId="1" quotePrefix="1" applyNumberFormat="1" applyFont="1" applyFill="1" applyBorder="1" applyAlignment="1">
      <alignment horizontal="center" vertical="center" wrapText="1"/>
    </xf>
    <xf numFmtId="0" fontId="34" fillId="12" borderId="4" xfId="0" quotePrefix="1" applyFont="1" applyFill="1" applyBorder="1" applyAlignment="1">
      <alignment vertical="center" wrapText="1"/>
    </xf>
    <xf numFmtId="0" fontId="34" fillId="12" borderId="4" xfId="1" quotePrefix="1" applyNumberFormat="1" applyFont="1" applyFill="1" applyBorder="1" applyAlignment="1">
      <alignment horizontal="center" vertical="center" wrapText="1"/>
    </xf>
    <xf numFmtId="15" fontId="34" fillId="12" borderId="4" xfId="0" quotePrefix="1" applyNumberFormat="1" applyFont="1" applyFill="1" applyBorder="1" applyAlignment="1">
      <alignment horizontal="left" vertical="center" wrapText="1"/>
    </xf>
    <xf numFmtId="0" fontId="34" fillId="13" borderId="4" xfId="0" quotePrefix="1" applyFont="1" applyFill="1" applyBorder="1" applyAlignment="1">
      <alignment horizontal="left" vertical="center" wrapText="1"/>
    </xf>
    <xf numFmtId="14" fontId="34" fillId="13" borderId="4" xfId="0" quotePrefix="1" applyNumberFormat="1" applyFont="1" applyFill="1" applyBorder="1" applyAlignment="1">
      <alignment horizontal="center" vertical="center" wrapText="1"/>
    </xf>
    <xf numFmtId="15" fontId="34" fillId="13" borderId="4" xfId="0" quotePrefix="1" applyNumberFormat="1" applyFont="1" applyFill="1" applyBorder="1" applyAlignment="1">
      <alignment horizontal="center" vertical="center" wrapText="1"/>
    </xf>
    <xf numFmtId="15" fontId="21" fillId="13" borderId="4" xfId="0" quotePrefix="1" applyNumberFormat="1" applyFont="1" applyFill="1" applyBorder="1" applyAlignment="1">
      <alignment horizontal="center" vertical="center" wrapText="1"/>
    </xf>
    <xf numFmtId="15" fontId="34" fillId="13" borderId="4" xfId="0" quotePrefix="1" applyNumberFormat="1" applyFont="1" applyFill="1" applyBorder="1" applyAlignment="1">
      <alignment horizontal="left" vertical="center" wrapText="1"/>
    </xf>
    <xf numFmtId="0" fontId="21" fillId="13" borderId="4" xfId="0" quotePrefix="1" applyFont="1" applyFill="1" applyBorder="1" applyAlignment="1">
      <alignment horizontal="left" vertical="center" wrapText="1"/>
    </xf>
    <xf numFmtId="167" fontId="34" fillId="13" borderId="4" xfId="0" quotePrefix="1" applyNumberFormat="1" applyFont="1" applyFill="1" applyBorder="1" applyAlignment="1">
      <alignment horizontal="center" vertical="center" wrapText="1"/>
    </xf>
    <xf numFmtId="15" fontId="21" fillId="13" borderId="4" xfId="0" quotePrefix="1" applyNumberFormat="1" applyFont="1" applyFill="1" applyBorder="1" applyAlignment="1">
      <alignment horizontal="left" vertical="top" wrapText="1"/>
    </xf>
    <xf numFmtId="15" fontId="21" fillId="13" borderId="4" xfId="0" quotePrefix="1" applyNumberFormat="1" applyFont="1" applyFill="1" applyBorder="1" applyAlignment="1">
      <alignment horizontal="left" vertical="center" wrapText="1"/>
    </xf>
    <xf numFmtId="15" fontId="34" fillId="13" borderId="4" xfId="0" quotePrefix="1" applyNumberFormat="1" applyFont="1" applyFill="1" applyBorder="1" applyAlignment="1">
      <alignment horizontal="left" vertical="top" wrapText="1"/>
    </xf>
    <xf numFmtId="0" fontId="34" fillId="14" borderId="4" xfId="0" quotePrefix="1" applyFont="1" applyFill="1" applyBorder="1" applyAlignment="1">
      <alignment horizontal="left" vertical="center" wrapText="1"/>
    </xf>
    <xf numFmtId="14" fontId="34" fillId="14" borderId="4" xfId="0" quotePrefix="1" applyNumberFormat="1" applyFont="1" applyFill="1" applyBorder="1" applyAlignment="1">
      <alignment horizontal="center" vertical="center" wrapText="1"/>
    </xf>
    <xf numFmtId="15" fontId="34" fillId="14" borderId="4" xfId="0" quotePrefix="1" applyNumberFormat="1" applyFont="1" applyFill="1" applyBorder="1" applyAlignment="1">
      <alignment horizontal="center" vertical="center" wrapText="1"/>
    </xf>
    <xf numFmtId="15" fontId="21" fillId="14" borderId="4" xfId="0" quotePrefix="1" applyNumberFormat="1" applyFont="1" applyFill="1" applyBorder="1" applyAlignment="1">
      <alignment horizontal="center" vertical="center" wrapText="1"/>
    </xf>
    <xf numFmtId="15" fontId="34" fillId="14" borderId="4" xfId="0" quotePrefix="1" applyNumberFormat="1" applyFont="1" applyFill="1" applyBorder="1" applyAlignment="1">
      <alignment horizontal="left" vertical="center" wrapText="1"/>
    </xf>
    <xf numFmtId="0" fontId="34" fillId="14" borderId="4" xfId="0" quotePrefix="1" applyFont="1" applyFill="1" applyBorder="1" applyAlignment="1">
      <alignment horizontal="left" vertical="top" wrapText="1"/>
    </xf>
    <xf numFmtId="167" fontId="34" fillId="14" borderId="4" xfId="0" quotePrefix="1" applyNumberFormat="1" applyFont="1" applyFill="1" applyBorder="1" applyAlignment="1">
      <alignment horizontal="center" vertical="center" wrapText="1"/>
    </xf>
    <xf numFmtId="15" fontId="21" fillId="14" borderId="4" xfId="0" quotePrefix="1" applyNumberFormat="1" applyFont="1" applyFill="1" applyBorder="1" applyAlignment="1">
      <alignment horizontal="left" vertical="top" wrapText="1"/>
    </xf>
    <xf numFmtId="0" fontId="34" fillId="15" borderId="4" xfId="0" quotePrefix="1" applyFont="1" applyFill="1" applyBorder="1" applyAlignment="1">
      <alignment horizontal="left" vertical="top" wrapText="1"/>
    </xf>
    <xf numFmtId="14" fontId="34" fillId="15" borderId="4" xfId="0" quotePrefix="1" applyNumberFormat="1" applyFont="1" applyFill="1" applyBorder="1" applyAlignment="1">
      <alignment horizontal="center" vertical="center" wrapText="1"/>
    </xf>
    <xf numFmtId="15" fontId="34" fillId="15" borderId="4" xfId="0" quotePrefix="1" applyNumberFormat="1" applyFont="1" applyFill="1" applyBorder="1" applyAlignment="1">
      <alignment horizontal="center" vertical="center" wrapText="1"/>
    </xf>
    <xf numFmtId="15" fontId="21" fillId="15" borderId="4" xfId="0" quotePrefix="1" applyNumberFormat="1" applyFont="1" applyFill="1" applyBorder="1" applyAlignment="1">
      <alignment horizontal="center" vertical="center" wrapText="1"/>
    </xf>
    <xf numFmtId="15" fontId="34" fillId="15" borderId="4" xfId="0" quotePrefix="1" applyNumberFormat="1" applyFont="1" applyFill="1" applyBorder="1" applyAlignment="1">
      <alignment horizontal="left" vertical="center" wrapText="1"/>
    </xf>
    <xf numFmtId="0" fontId="34" fillId="15" borderId="4" xfId="0" quotePrefix="1" applyFont="1" applyFill="1" applyBorder="1" applyAlignment="1">
      <alignment horizontal="left" vertical="center" wrapText="1"/>
    </xf>
    <xf numFmtId="15" fontId="21" fillId="15" borderId="4" xfId="0" quotePrefix="1" applyNumberFormat="1" applyFont="1" applyFill="1" applyBorder="1" applyAlignment="1">
      <alignment horizontal="left" vertical="top" wrapText="1"/>
    </xf>
    <xf numFmtId="15" fontId="34" fillId="15" borderId="4" xfId="0" quotePrefix="1" applyNumberFormat="1" applyFont="1" applyFill="1" applyBorder="1" applyAlignment="1">
      <alignment horizontal="left" vertical="top" wrapText="1"/>
    </xf>
    <xf numFmtId="15" fontId="21" fillId="14" borderId="4" xfId="0" quotePrefix="1" applyNumberFormat="1" applyFont="1" applyFill="1" applyBorder="1" applyAlignment="1">
      <alignment horizontal="left" vertical="center" wrapText="1"/>
    </xf>
    <xf numFmtId="15" fontId="34" fillId="14" borderId="4" xfId="0" quotePrefix="1" applyNumberFormat="1" applyFont="1" applyFill="1" applyBorder="1" applyAlignment="1">
      <alignment horizontal="left" vertical="top" wrapText="1"/>
    </xf>
    <xf numFmtId="14" fontId="21" fillId="14" borderId="4" xfId="0" quotePrefix="1" applyNumberFormat="1" applyFont="1" applyFill="1" applyBorder="1" applyAlignment="1">
      <alignment horizontal="center" vertical="center" wrapText="1"/>
    </xf>
    <xf numFmtId="167" fontId="21" fillId="14" borderId="4" xfId="0" quotePrefix="1" applyNumberFormat="1" applyFont="1" applyFill="1" applyBorder="1" applyAlignment="1">
      <alignment horizontal="center" vertical="center" wrapText="1"/>
    </xf>
    <xf numFmtId="167" fontId="34" fillId="15" borderId="4" xfId="0" quotePrefix="1" applyNumberFormat="1" applyFont="1" applyFill="1" applyBorder="1" applyAlignment="1">
      <alignment horizontal="center" vertical="center" wrapText="1"/>
    </xf>
    <xf numFmtId="15" fontId="21" fillId="15" borderId="4" xfId="0" quotePrefix="1" applyNumberFormat="1" applyFont="1" applyFill="1" applyBorder="1" applyAlignment="1">
      <alignment horizontal="left" vertical="center" wrapText="1"/>
    </xf>
    <xf numFmtId="0" fontId="24" fillId="15" borderId="4" xfId="0" quotePrefix="1" applyFont="1" applyFill="1" applyBorder="1" applyAlignment="1">
      <alignment horizontal="left" vertical="center" wrapText="1"/>
    </xf>
    <xf numFmtId="14" fontId="36" fillId="15" borderId="4" xfId="0" quotePrefix="1" applyNumberFormat="1" applyFont="1" applyFill="1" applyBorder="1" applyAlignment="1">
      <alignment horizontal="center" vertical="center" wrapText="1"/>
    </xf>
    <xf numFmtId="167" fontId="36" fillId="15" borderId="4" xfId="0" quotePrefix="1" applyNumberFormat="1" applyFont="1" applyFill="1" applyBorder="1" applyAlignment="1">
      <alignment horizontal="center" vertical="center" wrapText="1"/>
    </xf>
    <xf numFmtId="15" fontId="36" fillId="15" borderId="4" xfId="0" quotePrefix="1" applyNumberFormat="1" applyFont="1" applyFill="1" applyBorder="1" applyAlignment="1">
      <alignment horizontal="center" vertical="center" wrapText="1"/>
    </xf>
    <xf numFmtId="15" fontId="24" fillId="15" borderId="4" xfId="0" quotePrefix="1" applyNumberFormat="1" applyFont="1" applyFill="1" applyBorder="1" applyAlignment="1">
      <alignment horizontal="left" vertical="top" wrapText="1"/>
    </xf>
    <xf numFmtId="15" fontId="36" fillId="15" borderId="4" xfId="0" quotePrefix="1" applyNumberFormat="1" applyFont="1" applyFill="1" applyBorder="1" applyAlignment="1">
      <alignment horizontal="left" vertical="center" wrapText="1"/>
    </xf>
    <xf numFmtId="0" fontId="24" fillId="15" borderId="4" xfId="0" quotePrefix="1" applyFont="1" applyFill="1" applyBorder="1" applyAlignment="1">
      <alignment horizontal="left" vertical="top" wrapText="1"/>
    </xf>
    <xf numFmtId="15" fontId="24" fillId="15" borderId="4" xfId="0" quotePrefix="1" applyNumberFormat="1" applyFont="1" applyFill="1" applyBorder="1" applyAlignment="1">
      <alignment horizontal="left" vertical="center" wrapText="1"/>
    </xf>
    <xf numFmtId="15" fontId="36" fillId="15" borderId="4" xfId="0" quotePrefix="1" applyNumberFormat="1" applyFont="1" applyFill="1" applyBorder="1" applyAlignment="1">
      <alignment horizontal="left" vertical="top" wrapText="1"/>
    </xf>
    <xf numFmtId="0" fontId="36" fillId="15" borderId="4" xfId="0" quotePrefix="1" applyFont="1" applyFill="1" applyBorder="1" applyAlignment="1">
      <alignment horizontal="left" vertical="center" wrapText="1"/>
    </xf>
    <xf numFmtId="14" fontId="24" fillId="15" borderId="4" xfId="0" quotePrefix="1" applyNumberFormat="1" applyFont="1" applyFill="1" applyBorder="1" applyAlignment="1">
      <alignment horizontal="center" vertical="center" wrapText="1"/>
    </xf>
    <xf numFmtId="167" fontId="24" fillId="15" borderId="4" xfId="0" quotePrefix="1" applyNumberFormat="1" applyFont="1" applyFill="1" applyBorder="1" applyAlignment="1">
      <alignment horizontal="center" vertical="center" wrapText="1"/>
    </xf>
    <xf numFmtId="15" fontId="24" fillId="15" borderId="4" xfId="0" quotePrefix="1" applyNumberFormat="1" applyFont="1" applyFill="1" applyBorder="1" applyAlignment="1">
      <alignment horizontal="center" vertical="center" wrapText="1"/>
    </xf>
    <xf numFmtId="0" fontId="24" fillId="14" borderId="4" xfId="0" quotePrefix="1" applyFont="1" applyFill="1" applyBorder="1" applyAlignment="1">
      <alignment horizontal="left" vertical="center" wrapText="1"/>
    </xf>
    <xf numFmtId="14" fontId="36" fillId="14" borderId="4" xfId="0" quotePrefix="1" applyNumberFormat="1" applyFont="1" applyFill="1" applyBorder="1" applyAlignment="1">
      <alignment horizontal="center" vertical="center" wrapText="1"/>
    </xf>
    <xf numFmtId="167" fontId="36" fillId="14" borderId="4" xfId="0" quotePrefix="1" applyNumberFormat="1" applyFont="1" applyFill="1" applyBorder="1" applyAlignment="1">
      <alignment horizontal="center" vertical="center" wrapText="1"/>
    </xf>
    <xf numFmtId="15" fontId="36" fillId="14" borderId="4" xfId="0" quotePrefix="1" applyNumberFormat="1" applyFont="1" applyFill="1" applyBorder="1" applyAlignment="1">
      <alignment horizontal="center" vertical="center" wrapText="1"/>
    </xf>
    <xf numFmtId="15" fontId="24" fillId="14" borderId="4" xfId="0" quotePrefix="1" applyNumberFormat="1" applyFont="1" applyFill="1" applyBorder="1" applyAlignment="1">
      <alignment horizontal="center" vertical="center" wrapText="1"/>
    </xf>
    <xf numFmtId="15" fontId="36" fillId="14" borderId="4" xfId="0" quotePrefix="1" applyNumberFormat="1" applyFont="1" applyFill="1" applyBorder="1" applyAlignment="1">
      <alignment horizontal="left" vertical="top" wrapText="1"/>
    </xf>
    <xf numFmtId="0" fontId="24" fillId="16" borderId="4" xfId="0" quotePrefix="1" applyFont="1" applyFill="1" applyBorder="1" applyAlignment="1">
      <alignment horizontal="left" vertical="center" wrapText="1"/>
    </xf>
    <xf numFmtId="14" fontId="36" fillId="16" borderId="4" xfId="0" quotePrefix="1" applyNumberFormat="1" applyFont="1" applyFill="1" applyBorder="1" applyAlignment="1">
      <alignment horizontal="center" vertical="center" wrapText="1"/>
    </xf>
    <xf numFmtId="167" fontId="36" fillId="16" borderId="4" xfId="0" quotePrefix="1" applyNumberFormat="1" applyFont="1" applyFill="1" applyBorder="1" applyAlignment="1">
      <alignment horizontal="center" vertical="center" wrapText="1"/>
    </xf>
    <xf numFmtId="15" fontId="36" fillId="16" borderId="4" xfId="0" quotePrefix="1" applyNumberFormat="1" applyFont="1" applyFill="1" applyBorder="1" applyAlignment="1">
      <alignment horizontal="center" vertical="center" wrapText="1"/>
    </xf>
    <xf numFmtId="15" fontId="24" fillId="16" borderId="4" xfId="0" quotePrefix="1" applyNumberFormat="1" applyFont="1" applyFill="1" applyBorder="1" applyAlignment="1">
      <alignment horizontal="center" vertical="center" wrapText="1"/>
    </xf>
    <xf numFmtId="15" fontId="36" fillId="16" borderId="4" xfId="0" quotePrefix="1" applyNumberFormat="1" applyFont="1" applyFill="1" applyBorder="1" applyAlignment="1">
      <alignment horizontal="left" vertical="top" wrapText="1"/>
    </xf>
    <xf numFmtId="0" fontId="36" fillId="14" borderId="4" xfId="0" quotePrefix="1" applyFont="1" applyFill="1" applyBorder="1" applyAlignment="1">
      <alignment horizontal="left" vertical="center" wrapText="1"/>
    </xf>
    <xf numFmtId="15" fontId="24" fillId="14" borderId="4" xfId="0" quotePrefix="1" applyNumberFormat="1" applyFont="1" applyFill="1" applyBorder="1" applyAlignment="1">
      <alignment horizontal="left" vertical="top" wrapText="1"/>
    </xf>
    <xf numFmtId="14" fontId="24" fillId="14" borderId="4" xfId="0" quotePrefix="1" applyNumberFormat="1" applyFont="1" applyFill="1" applyBorder="1" applyAlignment="1">
      <alignment horizontal="center" vertical="center" wrapText="1"/>
    </xf>
    <xf numFmtId="167" fontId="24" fillId="14" borderId="4" xfId="0" quotePrefix="1" applyNumberFormat="1" applyFont="1" applyFill="1" applyBorder="1" applyAlignment="1">
      <alignment horizontal="center" vertical="center" wrapText="1"/>
    </xf>
    <xf numFmtId="15" fontId="24" fillId="14" borderId="4" xfId="0" quotePrefix="1" applyNumberFormat="1" applyFont="1" applyFill="1" applyBorder="1" applyAlignment="1">
      <alignment horizontal="left" vertical="center" wrapText="1"/>
    </xf>
    <xf numFmtId="0" fontId="36" fillId="16" borderId="4" xfId="0" quotePrefix="1" applyFont="1" applyFill="1" applyBorder="1" applyAlignment="1">
      <alignment horizontal="left" vertical="center" wrapText="1"/>
    </xf>
    <xf numFmtId="14" fontId="24" fillId="16" borderId="4" xfId="0" quotePrefix="1" applyNumberFormat="1" applyFont="1" applyFill="1" applyBorder="1" applyAlignment="1">
      <alignment horizontal="center" vertical="center" wrapText="1"/>
    </xf>
    <xf numFmtId="167" fontId="24" fillId="16" borderId="4" xfId="0" quotePrefix="1" applyNumberFormat="1" applyFont="1" applyFill="1" applyBorder="1" applyAlignment="1">
      <alignment horizontal="center" vertical="center" wrapText="1"/>
    </xf>
    <xf numFmtId="15" fontId="24" fillId="16" borderId="4" xfId="0" quotePrefix="1" applyNumberFormat="1" applyFont="1" applyFill="1" applyBorder="1" applyAlignment="1">
      <alignment horizontal="left" vertical="top" wrapText="1"/>
    </xf>
    <xf numFmtId="15" fontId="24" fillId="16" borderId="4" xfId="0" quotePrefix="1" applyNumberFormat="1" applyFont="1" applyFill="1" applyBorder="1" applyAlignment="1">
      <alignment horizontal="left" vertical="center" wrapText="1"/>
    </xf>
    <xf numFmtId="22" fontId="36" fillId="14" borderId="4" xfId="0" quotePrefix="1" applyNumberFormat="1" applyFont="1" applyFill="1" applyBorder="1" applyAlignment="1">
      <alignment horizontal="center" vertical="center" wrapText="1"/>
    </xf>
    <xf numFmtId="0" fontId="36" fillId="14" borderId="4" xfId="0" quotePrefix="1" applyFont="1" applyFill="1" applyBorder="1" applyAlignment="1">
      <alignment horizontal="center" vertical="center" wrapText="1"/>
    </xf>
    <xf numFmtId="165" fontId="44" fillId="14" borderId="4" xfId="0" quotePrefix="1" applyNumberFormat="1" applyFont="1" applyFill="1" applyBorder="1" applyAlignment="1">
      <alignment horizontal="left" vertical="center" wrapText="1"/>
    </xf>
    <xf numFmtId="165" fontId="36" fillId="14" borderId="4" xfId="0" quotePrefix="1" applyNumberFormat="1" applyFont="1" applyFill="1" applyBorder="1" applyAlignment="1">
      <alignment horizontal="left" vertical="top" wrapText="1"/>
    </xf>
    <xf numFmtId="15" fontId="36" fillId="14" borderId="4" xfId="0" quotePrefix="1" applyNumberFormat="1" applyFont="1" applyFill="1" applyBorder="1" applyAlignment="1">
      <alignment vertical="top" wrapText="1"/>
    </xf>
    <xf numFmtId="3" fontId="57" fillId="14" borderId="4" xfId="0" quotePrefix="1" applyNumberFormat="1" applyFont="1" applyFill="1" applyBorder="1" applyAlignment="1">
      <alignment horizontal="center" vertical="center" wrapText="1"/>
    </xf>
    <xf numFmtId="165" fontId="36" fillId="14" borderId="4" xfId="0" quotePrefix="1" applyNumberFormat="1" applyFont="1" applyFill="1" applyBorder="1" applyAlignment="1">
      <alignment horizontal="left" vertical="center" wrapText="1"/>
    </xf>
    <xf numFmtId="15" fontId="44" fillId="14" borderId="4" xfId="0" quotePrefix="1" applyNumberFormat="1" applyFont="1" applyFill="1" applyBorder="1" applyAlignment="1">
      <alignment horizontal="left" vertical="top" wrapText="1"/>
    </xf>
    <xf numFmtId="0" fontId="36" fillId="14" borderId="4" xfId="0" quotePrefix="1" applyFont="1" applyFill="1" applyBorder="1" applyAlignment="1">
      <alignment horizontal="left" vertical="top" wrapText="1"/>
    </xf>
    <xf numFmtId="22" fontId="36" fillId="14" borderId="4" xfId="0" quotePrefix="1" applyNumberFormat="1" applyFont="1" applyFill="1" applyBorder="1" applyAlignment="1">
      <alignment horizontal="center" vertical="top" wrapText="1"/>
    </xf>
    <xf numFmtId="167" fontId="36" fillId="14" borderId="4" xfId="0" quotePrefix="1" applyNumberFormat="1" applyFont="1" applyFill="1" applyBorder="1" applyAlignment="1">
      <alignment horizontal="center" vertical="top" wrapText="1"/>
    </xf>
    <xf numFmtId="15" fontId="24" fillId="14" borderId="4" xfId="0" quotePrefix="1" applyNumberFormat="1" applyFont="1" applyFill="1" applyBorder="1" applyAlignment="1">
      <alignment horizontal="center" vertical="top" wrapText="1"/>
    </xf>
    <xf numFmtId="15" fontId="36" fillId="14" borderId="4" xfId="0" quotePrefix="1" applyNumberFormat="1" applyFont="1" applyFill="1" applyBorder="1" applyAlignment="1">
      <alignment horizontal="center" vertical="top" wrapText="1"/>
    </xf>
    <xf numFmtId="0" fontId="24" fillId="16" borderId="4" xfId="0" quotePrefix="1" applyFont="1" applyFill="1" applyBorder="1" applyAlignment="1">
      <alignment horizontal="center" vertical="center" wrapText="1"/>
    </xf>
    <xf numFmtId="165" fontId="43" fillId="16" borderId="4" xfId="0" quotePrefix="1" applyNumberFormat="1" applyFont="1" applyFill="1" applyBorder="1" applyAlignment="1">
      <alignment horizontal="left" vertical="top" wrapText="1"/>
    </xf>
    <xf numFmtId="15" fontId="44" fillId="16" borderId="4" xfId="0" quotePrefix="1" applyNumberFormat="1" applyFont="1" applyFill="1" applyBorder="1" applyAlignment="1">
      <alignment horizontal="left" vertical="top" wrapText="1"/>
    </xf>
    <xf numFmtId="0" fontId="24" fillId="14" borderId="4" xfId="0" quotePrefix="1" applyFont="1" applyFill="1" applyBorder="1" applyAlignment="1">
      <alignment horizontal="center" vertical="center" wrapText="1"/>
    </xf>
    <xf numFmtId="165" fontId="43" fillId="14" borderId="4" xfId="0" quotePrefix="1" applyNumberFormat="1" applyFont="1" applyFill="1" applyBorder="1" applyAlignment="1">
      <alignment horizontal="center" vertical="center" wrapText="1"/>
    </xf>
    <xf numFmtId="15" fontId="44" fillId="14" borderId="4" xfId="0" quotePrefix="1" applyNumberFormat="1" applyFont="1" applyFill="1" applyBorder="1" applyAlignment="1">
      <alignment horizontal="center" vertical="center" wrapText="1"/>
    </xf>
    <xf numFmtId="15" fontId="44" fillId="14" borderId="4" xfId="0" quotePrefix="1" applyNumberFormat="1" applyFont="1" applyFill="1" applyBorder="1" applyAlignment="1">
      <alignment horizontal="left" wrapText="1"/>
    </xf>
    <xf numFmtId="22" fontId="24" fillId="14" borderId="4" xfId="0" quotePrefix="1" applyNumberFormat="1" applyFont="1" applyFill="1" applyBorder="1" applyAlignment="1">
      <alignment horizontal="center" vertical="center" wrapText="1"/>
    </xf>
    <xf numFmtId="0" fontId="36" fillId="16" borderId="4" xfId="0" quotePrefix="1" applyFont="1" applyFill="1" applyBorder="1" applyAlignment="1">
      <alignment horizontal="left" vertical="top" wrapText="1"/>
    </xf>
    <xf numFmtId="22" fontId="24" fillId="16" borderId="4" xfId="0" quotePrefix="1" applyNumberFormat="1" applyFont="1" applyFill="1" applyBorder="1" applyAlignment="1">
      <alignment horizontal="center" vertical="center" wrapText="1"/>
    </xf>
    <xf numFmtId="15" fontId="24" fillId="16" borderId="4" xfId="0" quotePrefix="1" applyNumberFormat="1" applyFont="1" applyFill="1" applyBorder="1" applyAlignment="1">
      <alignment horizontal="center" vertical="top" wrapText="1"/>
    </xf>
    <xf numFmtId="0" fontId="36" fillId="15" borderId="4" xfId="0" quotePrefix="1" applyFont="1" applyFill="1" applyBorder="1" applyAlignment="1">
      <alignment horizontal="left" vertical="top" wrapText="1"/>
    </xf>
    <xf numFmtId="0" fontId="24" fillId="15" borderId="4" xfId="0" quotePrefix="1" applyFont="1" applyFill="1" applyBorder="1" applyAlignment="1">
      <alignment horizontal="center" vertical="center" wrapText="1"/>
    </xf>
    <xf numFmtId="15" fontId="24" fillId="15" borderId="4" xfId="0" quotePrefix="1" applyNumberFormat="1" applyFont="1" applyFill="1" applyBorder="1" applyAlignment="1">
      <alignment horizontal="center" vertical="top" wrapText="1"/>
    </xf>
    <xf numFmtId="165" fontId="24" fillId="14" borderId="4" xfId="0" quotePrefix="1" applyNumberFormat="1" applyFont="1" applyFill="1" applyBorder="1" applyAlignment="1">
      <alignment horizontal="left" vertical="top" wrapText="1"/>
    </xf>
    <xf numFmtId="15" fontId="36" fillId="14" borderId="4" xfId="0" quotePrefix="1" applyNumberFormat="1" applyFont="1" applyFill="1" applyBorder="1" applyAlignment="1">
      <alignment horizontal="left" vertical="center" wrapText="1"/>
    </xf>
    <xf numFmtId="0" fontId="42" fillId="16" borderId="4" xfId="0" quotePrefix="1" applyFont="1" applyFill="1" applyBorder="1" applyAlignment="1">
      <alignment horizontal="left" vertical="top" wrapText="1"/>
    </xf>
    <xf numFmtId="0" fontId="41" fillId="16" borderId="4" xfId="0" quotePrefix="1" applyFont="1" applyFill="1" applyBorder="1" applyAlignment="1">
      <alignment horizontal="center" vertical="center" wrapText="1"/>
    </xf>
    <xf numFmtId="167" fontId="41" fillId="16" borderId="4" xfId="0" quotePrefix="1" applyNumberFormat="1" applyFont="1" applyFill="1" applyBorder="1" applyAlignment="1">
      <alignment horizontal="center" vertical="center" wrapText="1"/>
    </xf>
    <xf numFmtId="15" fontId="41" fillId="16" borderId="4" xfId="0" quotePrefix="1" applyNumberFormat="1" applyFont="1" applyFill="1" applyBorder="1" applyAlignment="1">
      <alignment horizontal="center" vertical="top" wrapText="1"/>
    </xf>
    <xf numFmtId="15" fontId="41" fillId="16" borderId="4" xfId="0" quotePrefix="1" applyNumberFormat="1" applyFont="1" applyFill="1" applyBorder="1" applyAlignment="1">
      <alignment horizontal="left" vertical="center" wrapText="1"/>
    </xf>
    <xf numFmtId="15" fontId="42" fillId="16" borderId="4" xfId="0" quotePrefix="1" applyNumberFormat="1" applyFont="1" applyFill="1" applyBorder="1" applyAlignment="1">
      <alignment horizontal="left" vertical="top" wrapText="1"/>
    </xf>
    <xf numFmtId="0" fontId="4" fillId="16" borderId="4" xfId="0" quotePrefix="1" applyFont="1" applyFill="1" applyBorder="1" applyAlignment="1">
      <alignment horizontal="left" vertical="top" wrapText="1"/>
    </xf>
    <xf numFmtId="0" fontId="5" fillId="16" borderId="4" xfId="0" quotePrefix="1" applyFont="1" applyFill="1" applyBorder="1" applyAlignment="1">
      <alignment horizontal="center" vertical="center" wrapText="1"/>
    </xf>
    <xf numFmtId="167" fontId="5" fillId="16" borderId="4" xfId="0" quotePrefix="1" applyNumberFormat="1" applyFont="1" applyFill="1" applyBorder="1" applyAlignment="1">
      <alignment horizontal="center" vertical="center" wrapText="1"/>
    </xf>
    <xf numFmtId="15" fontId="5" fillId="16" borderId="4" xfId="0" quotePrefix="1" applyNumberFormat="1" applyFont="1" applyFill="1" applyBorder="1" applyAlignment="1">
      <alignment horizontal="center" vertical="top" wrapText="1"/>
    </xf>
    <xf numFmtId="15" fontId="5" fillId="16" borderId="4" xfId="0" quotePrefix="1" applyNumberFormat="1" applyFont="1" applyFill="1" applyBorder="1" applyAlignment="1">
      <alignment horizontal="left" vertical="top" wrapText="1"/>
    </xf>
    <xf numFmtId="15" fontId="4" fillId="16" borderId="4" xfId="0" quotePrefix="1" applyNumberFormat="1" applyFont="1" applyFill="1" applyBorder="1" applyAlignment="1">
      <alignment horizontal="left" vertical="top" wrapText="1"/>
    </xf>
    <xf numFmtId="0" fontId="42" fillId="15" borderId="4" xfId="0" quotePrefix="1" applyFont="1" applyFill="1" applyBorder="1" applyAlignment="1">
      <alignment horizontal="left" vertical="top" wrapText="1"/>
    </xf>
    <xf numFmtId="0" fontId="41" fillId="15" borderId="4" xfId="0" quotePrefix="1" applyFont="1" applyFill="1" applyBorder="1" applyAlignment="1">
      <alignment horizontal="center" vertical="center" wrapText="1"/>
    </xf>
    <xf numFmtId="167" fontId="41" fillId="15" borderId="4" xfId="0" quotePrefix="1" applyNumberFormat="1" applyFont="1" applyFill="1" applyBorder="1" applyAlignment="1">
      <alignment horizontal="center" vertical="center" wrapText="1"/>
    </xf>
    <xf numFmtId="15" fontId="41" fillId="15" borderId="4" xfId="0" quotePrefix="1" applyNumberFormat="1" applyFont="1" applyFill="1" applyBorder="1" applyAlignment="1">
      <alignment horizontal="center" vertical="top" wrapText="1"/>
    </xf>
    <xf numFmtId="15" fontId="41" fillId="15" borderId="4" xfId="0" quotePrefix="1" applyNumberFormat="1" applyFont="1" applyFill="1" applyBorder="1" applyAlignment="1">
      <alignment horizontal="left" vertical="top" wrapText="1"/>
    </xf>
    <xf numFmtId="15" fontId="42" fillId="15" borderId="4" xfId="0" quotePrefix="1" applyNumberFormat="1" applyFont="1" applyFill="1" applyBorder="1" applyAlignment="1">
      <alignment horizontal="left" vertical="top" wrapText="1"/>
    </xf>
    <xf numFmtId="0" fontId="42" fillId="14" borderId="4" xfId="0" quotePrefix="1" applyFont="1" applyFill="1" applyBorder="1" applyAlignment="1">
      <alignment horizontal="left" vertical="top" wrapText="1"/>
    </xf>
    <xf numFmtId="22" fontId="41" fillId="14" borderId="4" xfId="0" quotePrefix="1" applyNumberFormat="1" applyFont="1" applyFill="1" applyBorder="1" applyAlignment="1">
      <alignment horizontal="center" vertical="center" wrapText="1"/>
    </xf>
    <xf numFmtId="167" fontId="41" fillId="14" borderId="4" xfId="0" quotePrefix="1" applyNumberFormat="1" applyFont="1" applyFill="1" applyBorder="1" applyAlignment="1">
      <alignment horizontal="center" vertical="center" wrapText="1"/>
    </xf>
    <xf numFmtId="15" fontId="41" fillId="14" borderId="4" xfId="0" quotePrefix="1" applyNumberFormat="1" applyFont="1" applyFill="1" applyBorder="1" applyAlignment="1">
      <alignment horizontal="center" vertical="top" wrapText="1"/>
    </xf>
    <xf numFmtId="15" fontId="41" fillId="14" borderId="4" xfId="0" quotePrefix="1" applyNumberFormat="1" applyFont="1" applyFill="1" applyBorder="1" applyAlignment="1">
      <alignment horizontal="center" vertical="center" wrapText="1"/>
    </xf>
    <xf numFmtId="15" fontId="42" fillId="14" borderId="4" xfId="0" quotePrefix="1" applyNumberFormat="1" applyFont="1" applyFill="1" applyBorder="1" applyAlignment="1">
      <alignment horizontal="left" vertical="top" wrapText="1"/>
    </xf>
    <xf numFmtId="0" fontId="41" fillId="14" borderId="4" xfId="0" quotePrefix="1" applyFont="1" applyFill="1" applyBorder="1" applyAlignment="1">
      <alignment horizontal="center" vertical="center" wrapText="1"/>
    </xf>
    <xf numFmtId="15" fontId="41" fillId="14" borderId="4" xfId="0" quotePrefix="1" applyNumberFormat="1" applyFont="1" applyFill="1" applyBorder="1" applyAlignment="1">
      <alignment horizontal="left" vertical="top" wrapText="1"/>
    </xf>
    <xf numFmtId="0" fontId="48" fillId="14" borderId="4" xfId="0" quotePrefix="1" applyFont="1" applyFill="1" applyBorder="1" applyAlignment="1">
      <alignment horizontal="left" vertical="top" wrapText="1"/>
    </xf>
    <xf numFmtId="0" fontId="45" fillId="14" borderId="4" xfId="0" quotePrefix="1" applyFont="1" applyFill="1" applyBorder="1" applyAlignment="1">
      <alignment horizontal="center" vertical="center" wrapText="1"/>
    </xf>
    <xf numFmtId="167" fontId="45" fillId="14" borderId="4" xfId="0" quotePrefix="1" applyNumberFormat="1" applyFont="1" applyFill="1" applyBorder="1" applyAlignment="1">
      <alignment horizontal="center" vertical="center" wrapText="1"/>
    </xf>
    <xf numFmtId="15" fontId="45" fillId="14" borderId="4" xfId="0" quotePrefix="1" applyNumberFormat="1" applyFont="1" applyFill="1" applyBorder="1" applyAlignment="1">
      <alignment horizontal="center" vertical="center" wrapText="1"/>
    </xf>
    <xf numFmtId="15" fontId="4" fillId="14" borderId="4" xfId="0" quotePrefix="1" applyNumberFormat="1" applyFont="1" applyFill="1" applyBorder="1" applyAlignment="1">
      <alignment horizontal="left" vertical="top" wrapText="1"/>
    </xf>
    <xf numFmtId="22" fontId="45" fillId="14" borderId="4" xfId="0" quotePrefix="1" applyNumberFormat="1" applyFont="1" applyFill="1" applyBorder="1" applyAlignment="1">
      <alignment horizontal="center" vertical="center" wrapText="1"/>
    </xf>
    <xf numFmtId="15" fontId="45" fillId="14" borderId="4" xfId="0" quotePrefix="1" applyNumberFormat="1" applyFont="1" applyFill="1" applyBorder="1" applyAlignment="1">
      <alignment horizontal="center" vertical="top" wrapText="1"/>
    </xf>
    <xf numFmtId="0" fontId="50" fillId="2" borderId="4" xfId="0" quotePrefix="1" applyFont="1" applyFill="1" applyBorder="1" applyAlignment="1">
      <alignment horizontal="left" vertical="top" wrapText="1"/>
    </xf>
    <xf numFmtId="167" fontId="45" fillId="8" borderId="4" xfId="0" quotePrefix="1" applyNumberFormat="1" applyFont="1" applyFill="1" applyBorder="1" applyAlignment="1">
      <alignment horizontal="center" vertical="center" wrapText="1"/>
    </xf>
    <xf numFmtId="15" fontId="45" fillId="2" borderId="4" xfId="0" quotePrefix="1" applyNumberFormat="1" applyFont="1" applyFill="1" applyBorder="1" applyAlignment="1">
      <alignment horizontal="left" vertical="top" wrapText="1"/>
    </xf>
    <xf numFmtId="15" fontId="45" fillId="2" borderId="4" xfId="0" quotePrefix="1" applyNumberFormat="1" applyFont="1" applyFill="1" applyBorder="1" applyAlignment="1">
      <alignment horizontal="center" vertical="center" wrapText="1"/>
    </xf>
    <xf numFmtId="15" fontId="63" fillId="2" borderId="4" xfId="0" quotePrefix="1" applyNumberFormat="1" applyFont="1" applyFill="1" applyBorder="1" applyAlignment="1">
      <alignment horizontal="center" vertical="center" wrapText="1"/>
    </xf>
    <xf numFmtId="0" fontId="45" fillId="18" borderId="4" xfId="0" quotePrefix="1" applyFont="1" applyFill="1" applyBorder="1" applyAlignment="1">
      <alignment horizontal="left" vertical="top" wrapText="1"/>
    </xf>
    <xf numFmtId="167" fontId="45" fillId="2" borderId="4" xfId="0" quotePrefix="1" applyNumberFormat="1" applyFont="1" applyFill="1" applyBorder="1" applyAlignment="1">
      <alignment horizontal="center" vertical="center" wrapText="1"/>
    </xf>
    <xf numFmtId="165" fontId="45" fillId="2" borderId="4" xfId="0" quotePrefix="1" applyNumberFormat="1" applyFont="1" applyFill="1" applyBorder="1" applyAlignment="1">
      <alignment horizontal="left" vertical="center" wrapText="1"/>
    </xf>
    <xf numFmtId="15" fontId="5" fillId="2" borderId="4" xfId="0" quotePrefix="1" applyNumberFormat="1" applyFont="1" applyFill="1" applyBorder="1" applyAlignment="1">
      <alignment horizontal="left" vertical="top" wrapText="1"/>
    </xf>
    <xf numFmtId="0" fontId="45" fillId="21" borderId="4" xfId="0" quotePrefix="1" applyFont="1" applyFill="1" applyBorder="1" applyAlignment="1">
      <alignment horizontal="center" vertical="center" wrapText="1"/>
    </xf>
    <xf numFmtId="22" fontId="45" fillId="21" borderId="4" xfId="0" quotePrefix="1" applyNumberFormat="1" applyFont="1" applyFill="1" applyBorder="1" applyAlignment="1">
      <alignment horizontal="center" vertical="center" wrapText="1"/>
    </xf>
    <xf numFmtId="15" fontId="50" fillId="2" borderId="4" xfId="0" quotePrefix="1" applyNumberFormat="1" applyFont="1" applyFill="1" applyBorder="1" applyAlignment="1">
      <alignment horizontal="center" vertical="center" wrapText="1"/>
    </xf>
    <xf numFmtId="15" fontId="48" fillId="2" borderId="4" xfId="0" quotePrefix="1" applyNumberFormat="1" applyFont="1" applyFill="1" applyBorder="1" applyAlignment="1">
      <alignment horizontal="left" vertical="top" wrapText="1"/>
    </xf>
    <xf numFmtId="0" fontId="59" fillId="2" borderId="4" xfId="0" quotePrefix="1" applyFont="1" applyFill="1" applyBorder="1" applyAlignment="1">
      <alignment horizontal="left" vertical="top" wrapText="1"/>
    </xf>
    <xf numFmtId="15" fontId="15" fillId="2" borderId="4" xfId="0" quotePrefix="1" applyNumberFormat="1" applyFont="1" applyFill="1" applyBorder="1" applyAlignment="1">
      <alignment horizontal="center" vertical="center" wrapText="1"/>
    </xf>
    <xf numFmtId="167" fontId="15" fillId="2" borderId="4" xfId="0" quotePrefix="1" applyNumberFormat="1" applyFont="1" applyFill="1" applyBorder="1" applyAlignment="1">
      <alignment horizontal="center" vertical="center" wrapText="1"/>
    </xf>
    <xf numFmtId="3" fontId="15" fillId="20" borderId="4" xfId="0" quotePrefix="1" applyNumberFormat="1" applyFont="1" applyFill="1" applyBorder="1" applyAlignment="1">
      <alignment horizontal="center" vertical="center" wrapText="1"/>
    </xf>
    <xf numFmtId="15" fontId="15" fillId="2" borderId="4" xfId="0" quotePrefix="1" applyNumberFormat="1" applyFont="1" applyFill="1" applyBorder="1" applyAlignment="1">
      <alignment horizontal="left" vertical="top" wrapText="1"/>
    </xf>
    <xf numFmtId="165" fontId="15" fillId="2" borderId="4" xfId="0" quotePrefix="1" applyNumberFormat="1" applyFont="1" applyFill="1" applyBorder="1" applyAlignment="1">
      <alignment horizontal="left" vertical="top" wrapText="1"/>
    </xf>
    <xf numFmtId="0" fontId="60" fillId="18" borderId="4" xfId="0" quotePrefix="1" applyFont="1" applyFill="1" applyBorder="1" applyAlignment="1">
      <alignment horizontal="left" vertical="top" wrapText="1"/>
    </xf>
    <xf numFmtId="15" fontId="60" fillId="2" borderId="4" xfId="0" quotePrefix="1" applyNumberFormat="1" applyFont="1" applyFill="1" applyBorder="1" applyAlignment="1">
      <alignment horizontal="center" vertical="center" wrapText="1"/>
    </xf>
    <xf numFmtId="0" fontId="60" fillId="2" borderId="4" xfId="0" quotePrefix="1" applyFont="1" applyFill="1" applyBorder="1" applyAlignment="1">
      <alignment horizontal="center" vertical="center" wrapText="1"/>
    </xf>
    <xf numFmtId="167" fontId="60" fillId="8" borderId="4" xfId="0" quotePrefix="1" applyNumberFormat="1" applyFont="1" applyFill="1" applyBorder="1" applyAlignment="1">
      <alignment horizontal="center" vertical="center" wrapText="1"/>
    </xf>
    <xf numFmtId="3" fontId="60" fillId="2" borderId="4" xfId="0" quotePrefix="1" applyNumberFormat="1" applyFont="1" applyFill="1" applyBorder="1" applyAlignment="1">
      <alignment horizontal="center" vertical="center" wrapText="1"/>
    </xf>
    <xf numFmtId="15" fontId="6" fillId="2" borderId="4" xfId="0" quotePrefix="1" applyNumberFormat="1" applyFont="1" applyFill="1" applyBorder="1" applyAlignment="1">
      <alignment horizontal="left" vertical="center" wrapText="1"/>
    </xf>
    <xf numFmtId="165" fontId="60" fillId="2" borderId="4" xfId="0" quotePrefix="1" applyNumberFormat="1" applyFont="1" applyFill="1" applyBorder="1" applyAlignment="1">
      <alignment horizontal="center" vertical="center" wrapText="1"/>
    </xf>
    <xf numFmtId="15" fontId="61" fillId="2" borderId="4" xfId="0" quotePrefix="1" applyNumberFormat="1" applyFont="1" applyFill="1" applyBorder="1" applyAlignment="1">
      <alignment horizontal="left" vertical="top" wrapText="1"/>
    </xf>
    <xf numFmtId="0" fontId="7" fillId="2" borderId="4" xfId="0" quotePrefix="1" applyFont="1" applyFill="1" applyBorder="1" applyAlignment="1">
      <alignment horizontal="left" vertical="top" wrapText="1"/>
    </xf>
    <xf numFmtId="0" fontId="15" fillId="21" borderId="4" xfId="0" quotePrefix="1" applyFont="1" applyFill="1" applyBorder="1" applyAlignment="1">
      <alignment horizontal="center" vertical="center" wrapText="1"/>
    </xf>
    <xf numFmtId="165" fontId="15" fillId="2" borderId="4" xfId="0" quotePrefix="1" applyNumberFormat="1" applyFont="1" applyFill="1" applyBorder="1" applyAlignment="1">
      <alignment horizontal="center" vertical="center" wrapText="1"/>
    </xf>
    <xf numFmtId="15" fontId="64" fillId="2" borderId="4" xfId="0" quotePrefix="1" applyNumberFormat="1" applyFont="1" applyFill="1" applyBorder="1" applyAlignment="1">
      <alignment horizontal="left" vertical="center" wrapText="1"/>
    </xf>
    <xf numFmtId="15" fontId="2" fillId="2" borderId="4" xfId="0" quotePrefix="1" applyNumberFormat="1" applyFont="1" applyFill="1" applyBorder="1" applyAlignment="1">
      <alignment horizontal="center" vertical="center" wrapText="1"/>
    </xf>
    <xf numFmtId="165" fontId="2" fillId="2" borderId="4" xfId="0" quotePrefix="1" applyNumberFormat="1" applyFont="1" applyFill="1" applyBorder="1" applyAlignment="1">
      <alignment horizontal="left" vertical="top" wrapText="1"/>
    </xf>
    <xf numFmtId="0" fontId="15" fillId="20" borderId="4" xfId="0" quotePrefix="1" applyFont="1" applyFill="1" applyBorder="1" applyAlignment="1">
      <alignment horizontal="center" vertical="center" wrapText="1"/>
    </xf>
    <xf numFmtId="0" fontId="62" fillId="18" borderId="4" xfId="0" quotePrefix="1" applyFont="1" applyFill="1" applyBorder="1" applyAlignment="1">
      <alignment horizontal="left" vertical="top" wrapText="1"/>
    </xf>
    <xf numFmtId="22" fontId="61" fillId="21" borderId="4" xfId="0" quotePrefix="1" applyNumberFormat="1" applyFont="1" applyFill="1" applyBorder="1" applyAlignment="1">
      <alignment horizontal="center" vertical="center" wrapText="1"/>
    </xf>
    <xf numFmtId="167" fontId="61" fillId="8" borderId="4" xfId="0" quotePrefix="1" applyNumberFormat="1" applyFont="1" applyFill="1" applyBorder="1" applyAlignment="1">
      <alignment horizontal="center" vertical="center" wrapText="1"/>
    </xf>
    <xf numFmtId="15" fontId="61" fillId="2" borderId="4" xfId="0" quotePrefix="1" applyNumberFormat="1" applyFont="1" applyFill="1" applyBorder="1" applyAlignment="1">
      <alignment horizontal="center" vertical="center" wrapText="1"/>
    </xf>
    <xf numFmtId="0" fontId="32" fillId="11" borderId="2" xfId="0" quotePrefix="1" applyFont="1" applyFill="1" applyBorder="1" applyAlignment="1">
      <alignment horizontal="left" vertical="center" wrapText="1"/>
    </xf>
    <xf numFmtId="14" fontId="32" fillId="11" borderId="2" xfId="0" quotePrefix="1" applyNumberFormat="1" applyFont="1" applyFill="1" applyBorder="1" applyAlignment="1">
      <alignment horizontal="center" vertical="center" wrapText="1"/>
    </xf>
    <xf numFmtId="167" fontId="32" fillId="11" borderId="2" xfId="0" quotePrefix="1" applyNumberFormat="1" applyFont="1" applyFill="1" applyBorder="1" applyAlignment="1">
      <alignment horizontal="center" vertical="center" wrapText="1"/>
    </xf>
    <xf numFmtId="15" fontId="32" fillId="11" borderId="2" xfId="0" quotePrefix="1" applyNumberFormat="1" applyFont="1" applyFill="1" applyBorder="1" applyAlignment="1">
      <alignment horizontal="center" vertical="center" wrapText="1"/>
    </xf>
    <xf numFmtId="15" fontId="20" fillId="11" borderId="2" xfId="0" quotePrefix="1" applyNumberFormat="1" applyFont="1" applyFill="1" applyBorder="1" applyAlignment="1">
      <alignment horizontal="center" vertical="center" wrapText="1"/>
    </xf>
    <xf numFmtId="15" fontId="32" fillId="11" borderId="8" xfId="0" quotePrefix="1" applyNumberFormat="1" applyFont="1" applyFill="1" applyBorder="1" applyAlignment="1">
      <alignment horizontal="left" vertical="center" wrapText="1"/>
    </xf>
    <xf numFmtId="0" fontId="32" fillId="11" borderId="4" xfId="0" quotePrefix="1" applyFont="1" applyFill="1" applyBorder="1" applyAlignment="1">
      <alignment horizontal="left" vertical="center" wrapText="1"/>
    </xf>
    <xf numFmtId="14" fontId="32" fillId="11" borderId="4" xfId="0" quotePrefix="1" applyNumberFormat="1" applyFont="1" applyFill="1" applyBorder="1" applyAlignment="1">
      <alignment horizontal="center" vertical="center" wrapText="1"/>
    </xf>
    <xf numFmtId="15" fontId="32" fillId="11" borderId="4" xfId="0" quotePrefix="1" applyNumberFormat="1" applyFont="1" applyFill="1" applyBorder="1" applyAlignment="1">
      <alignment horizontal="center" vertical="center" wrapText="1"/>
    </xf>
    <xf numFmtId="15" fontId="20" fillId="11" borderId="4" xfId="0" quotePrefix="1" applyNumberFormat="1" applyFont="1" applyFill="1" applyBorder="1" applyAlignment="1">
      <alignment horizontal="left" vertical="center" wrapText="1"/>
    </xf>
    <xf numFmtId="15" fontId="32" fillId="11" borderId="9" xfId="0" quotePrefix="1" applyNumberFormat="1" applyFont="1" applyFill="1" applyBorder="1" applyAlignment="1">
      <alignment horizontal="left" vertical="center" wrapText="1"/>
    </xf>
    <xf numFmtId="0" fontId="32" fillId="11" borderId="21" xfId="0" quotePrefix="1" applyFont="1" applyFill="1" applyBorder="1" applyAlignment="1">
      <alignment horizontal="left" vertical="center" wrapText="1"/>
    </xf>
    <xf numFmtId="14" fontId="32" fillId="11" borderId="21" xfId="0" quotePrefix="1" applyNumberFormat="1" applyFont="1" applyFill="1" applyBorder="1" applyAlignment="1">
      <alignment horizontal="center" vertical="center" wrapText="1"/>
    </xf>
    <xf numFmtId="167" fontId="32" fillId="11" borderId="21" xfId="0" quotePrefix="1" applyNumberFormat="1" applyFont="1" applyFill="1" applyBorder="1" applyAlignment="1">
      <alignment horizontal="center" vertical="center" wrapText="1"/>
    </xf>
    <xf numFmtId="15" fontId="32" fillId="11" borderId="21" xfId="0" quotePrefix="1" applyNumberFormat="1" applyFont="1" applyFill="1" applyBorder="1" applyAlignment="1">
      <alignment horizontal="center" vertical="center" wrapText="1"/>
    </xf>
    <xf numFmtId="15" fontId="20" fillId="11" borderId="21" xfId="0" quotePrefix="1" applyNumberFormat="1" applyFont="1" applyFill="1" applyBorder="1" applyAlignment="1">
      <alignment horizontal="left" vertical="center" wrapText="1"/>
    </xf>
    <xf numFmtId="15" fontId="32" fillId="11" borderId="29" xfId="0" quotePrefix="1" applyNumberFormat="1" applyFont="1" applyFill="1" applyBorder="1" applyAlignment="1">
      <alignment horizontal="left" vertical="center" wrapText="1"/>
    </xf>
    <xf numFmtId="0" fontId="34" fillId="7" borderId="4" xfId="0" quotePrefix="1" applyFont="1" applyFill="1" applyBorder="1" applyAlignment="1">
      <alignment horizontal="left" vertical="center" wrapText="1"/>
    </xf>
    <xf numFmtId="14" fontId="34" fillId="7" borderId="4" xfId="0" quotePrefix="1" applyNumberFormat="1" applyFont="1" applyFill="1" applyBorder="1" applyAlignment="1">
      <alignment horizontal="center" vertical="center" wrapText="1"/>
    </xf>
    <xf numFmtId="15" fontId="34" fillId="7" borderId="4" xfId="0" quotePrefix="1" applyNumberFormat="1" applyFont="1" applyFill="1" applyBorder="1" applyAlignment="1">
      <alignment horizontal="center" vertical="center" wrapText="1"/>
    </xf>
    <xf numFmtId="15" fontId="21" fillId="7" borderId="4" xfId="0" quotePrefix="1" applyNumberFormat="1" applyFont="1" applyFill="1" applyBorder="1" applyAlignment="1">
      <alignment horizontal="left" vertical="top" wrapText="1"/>
    </xf>
    <xf numFmtId="15" fontId="34" fillId="7" borderId="30" xfId="0" quotePrefix="1" applyNumberFormat="1" applyFont="1" applyFill="1" applyBorder="1" applyAlignment="1">
      <alignment horizontal="left" vertical="center" wrapText="1"/>
    </xf>
    <xf numFmtId="0" fontId="34" fillId="7" borderId="24" xfId="0" quotePrefix="1" applyFont="1" applyFill="1" applyBorder="1" applyAlignment="1">
      <alignment horizontal="left" vertical="center" wrapText="1"/>
    </xf>
    <xf numFmtId="14" fontId="21" fillId="7" borderId="24" xfId="0" quotePrefix="1" applyNumberFormat="1" applyFont="1" applyFill="1" applyBorder="1" applyAlignment="1">
      <alignment horizontal="center" vertical="center" wrapText="1"/>
    </xf>
    <xf numFmtId="15" fontId="21" fillId="7" borderId="24" xfId="0" quotePrefix="1" applyNumberFormat="1" applyFont="1" applyFill="1" applyBorder="1" applyAlignment="1">
      <alignment horizontal="center" vertical="center" wrapText="1"/>
    </xf>
    <xf numFmtId="15" fontId="21" fillId="7" borderId="24" xfId="0" quotePrefix="1" applyNumberFormat="1" applyFont="1" applyFill="1" applyBorder="1" applyAlignment="1">
      <alignment horizontal="left" vertical="top" wrapText="1"/>
    </xf>
    <xf numFmtId="15" fontId="34" fillId="7" borderId="30" xfId="0" quotePrefix="1" applyNumberFormat="1" applyFont="1" applyFill="1" applyBorder="1" applyAlignment="1">
      <alignment horizontal="left" vertical="top" wrapText="1"/>
    </xf>
    <xf numFmtId="0" fontId="21" fillId="12" borderId="24" xfId="0" quotePrefix="1" applyFont="1" applyFill="1" applyBorder="1" applyAlignment="1">
      <alignment horizontal="left" vertical="center" wrapText="1"/>
    </xf>
    <xf numFmtId="14" fontId="21" fillId="12" borderId="4" xfId="0" quotePrefix="1" applyNumberFormat="1" applyFont="1" applyFill="1" applyBorder="1" applyAlignment="1">
      <alignment horizontal="center" vertical="center" wrapText="1"/>
    </xf>
    <xf numFmtId="0" fontId="34" fillId="13" borderId="24" xfId="0" quotePrefix="1" applyFont="1" applyFill="1" applyBorder="1" applyAlignment="1">
      <alignment horizontal="left" vertical="center" wrapText="1"/>
    </xf>
    <xf numFmtId="14" fontId="34" fillId="13" borderId="24" xfId="0" quotePrefix="1" applyNumberFormat="1" applyFont="1" applyFill="1" applyBorder="1" applyAlignment="1">
      <alignment horizontal="center" vertical="center" wrapText="1"/>
    </xf>
    <xf numFmtId="15" fontId="21" fillId="13" borderId="24" xfId="0" quotePrefix="1" applyNumberFormat="1" applyFont="1" applyFill="1" applyBorder="1" applyAlignment="1">
      <alignment horizontal="left" vertical="center" wrapText="1"/>
    </xf>
    <xf numFmtId="15" fontId="34" fillId="13" borderId="9" xfId="0" quotePrefix="1" applyNumberFormat="1" applyFont="1" applyFill="1" applyBorder="1" applyAlignment="1">
      <alignment horizontal="left" vertical="center" wrapText="1"/>
    </xf>
    <xf numFmtId="15" fontId="34" fillId="13" borderId="9" xfId="0" quotePrefix="1" applyNumberFormat="1" applyFont="1" applyFill="1" applyBorder="1" applyAlignment="1">
      <alignment horizontal="left" vertical="top" wrapText="1"/>
    </xf>
    <xf numFmtId="0" fontId="34" fillId="7" borderId="25" xfId="0" quotePrefix="1" applyFont="1" applyFill="1" applyBorder="1" applyAlignment="1">
      <alignment horizontal="left" vertical="center" wrapText="1"/>
    </xf>
    <xf numFmtId="14" fontId="34" fillId="7" borderId="25" xfId="0" quotePrefix="1" applyNumberFormat="1" applyFont="1" applyFill="1" applyBorder="1" applyAlignment="1">
      <alignment horizontal="center" vertical="center" wrapText="1"/>
    </xf>
    <xf numFmtId="167" fontId="34" fillId="7" borderId="25" xfId="0" quotePrefix="1" applyNumberFormat="1" applyFont="1" applyFill="1" applyBorder="1" applyAlignment="1">
      <alignment horizontal="center" vertical="center" wrapText="1"/>
    </xf>
    <xf numFmtId="15" fontId="34" fillId="7" borderId="25" xfId="0" quotePrefix="1" applyNumberFormat="1" applyFont="1" applyFill="1" applyBorder="1" applyAlignment="1">
      <alignment horizontal="center" vertical="center" wrapText="1"/>
    </xf>
    <xf numFmtId="15" fontId="21" fillId="7" borderId="25" xfId="0" quotePrefix="1" applyNumberFormat="1" applyFont="1" applyFill="1" applyBorder="1" applyAlignment="1">
      <alignment horizontal="center" vertical="center" wrapText="1"/>
    </xf>
    <xf numFmtId="15" fontId="34" fillId="7" borderId="32" xfId="0" quotePrefix="1" applyNumberFormat="1" applyFont="1" applyFill="1" applyBorder="1" applyAlignment="1">
      <alignment horizontal="left" vertical="top" wrapText="1"/>
    </xf>
    <xf numFmtId="15" fontId="34" fillId="13" borderId="30" xfId="0" quotePrefix="1" applyNumberFormat="1" applyFont="1" applyFill="1" applyBorder="1" applyAlignment="1">
      <alignment horizontal="left" vertical="center" wrapText="1"/>
    </xf>
    <xf numFmtId="0" fontId="21" fillId="7" borderId="24" xfId="0" quotePrefix="1" applyFont="1" applyFill="1" applyBorder="1" applyAlignment="1">
      <alignment horizontal="left" vertical="center" wrapText="1"/>
    </xf>
    <xf numFmtId="14" fontId="34" fillId="7" borderId="24" xfId="0" quotePrefix="1" applyNumberFormat="1" applyFont="1" applyFill="1" applyBorder="1" applyAlignment="1">
      <alignment horizontal="center" vertical="center" wrapText="1"/>
    </xf>
    <xf numFmtId="15" fontId="34" fillId="7" borderId="24" xfId="0" quotePrefix="1" applyNumberFormat="1" applyFont="1" applyFill="1" applyBorder="1" applyAlignment="1">
      <alignment horizontal="center" vertical="center" wrapText="1"/>
    </xf>
    <xf numFmtId="15" fontId="21" fillId="7" borderId="24" xfId="0" quotePrefix="1" applyNumberFormat="1" applyFont="1" applyFill="1" applyBorder="1" applyAlignment="1">
      <alignment horizontal="left" vertical="center" wrapText="1"/>
    </xf>
    <xf numFmtId="15" fontId="34" fillId="7" borderId="9" xfId="0" quotePrefix="1" applyNumberFormat="1" applyFont="1" applyFill="1" applyBorder="1" applyAlignment="1">
      <alignment horizontal="left" vertical="center" wrapText="1"/>
    </xf>
    <xf numFmtId="0" fontId="21" fillId="13" borderId="4" xfId="0" quotePrefix="1" applyFont="1" applyFill="1" applyBorder="1" applyAlignment="1">
      <alignment horizontal="left" vertical="top" wrapText="1"/>
    </xf>
    <xf numFmtId="15" fontId="21" fillId="13" borderId="24" xfId="0" quotePrefix="1" applyNumberFormat="1" applyFont="1" applyFill="1" applyBorder="1" applyAlignment="1">
      <alignment horizontal="center" vertical="center" wrapText="1"/>
    </xf>
    <xf numFmtId="15" fontId="34" fillId="14" borderId="9" xfId="0" quotePrefix="1" applyNumberFormat="1" applyFont="1" applyFill="1" applyBorder="1" applyAlignment="1">
      <alignment horizontal="left" vertical="top" wrapText="1"/>
    </xf>
    <xf numFmtId="15" fontId="21" fillId="15" borderId="24" xfId="0" quotePrefix="1" applyNumberFormat="1" applyFont="1" applyFill="1" applyBorder="1" applyAlignment="1">
      <alignment horizontal="left" vertical="center" wrapText="1"/>
    </xf>
    <xf numFmtId="15" fontId="34" fillId="15" borderId="30" xfId="0" quotePrefix="1" applyNumberFormat="1" applyFont="1" applyFill="1" applyBorder="1" applyAlignment="1">
      <alignment horizontal="left" vertical="center" wrapText="1"/>
    </xf>
    <xf numFmtId="15" fontId="34" fillId="14" borderId="30" xfId="0" quotePrefix="1" applyNumberFormat="1" applyFont="1" applyFill="1" applyBorder="1" applyAlignment="1">
      <alignment horizontal="left" vertical="center" wrapText="1"/>
    </xf>
    <xf numFmtId="15" fontId="21" fillId="15" borderId="24" xfId="0" quotePrefix="1" applyNumberFormat="1" applyFont="1" applyFill="1" applyBorder="1" applyAlignment="1">
      <alignment horizontal="center" vertical="center" wrapText="1"/>
    </xf>
    <xf numFmtId="0" fontId="34" fillId="14" borderId="24" xfId="0" quotePrefix="1" applyFont="1" applyFill="1" applyBorder="1" applyAlignment="1">
      <alignment horizontal="left" vertical="center" wrapText="1"/>
    </xf>
    <xf numFmtId="14" fontId="21" fillId="14" borderId="24" xfId="0" quotePrefix="1" applyNumberFormat="1" applyFont="1" applyFill="1" applyBorder="1" applyAlignment="1">
      <alignment horizontal="center" vertical="center" wrapText="1"/>
    </xf>
    <xf numFmtId="167" fontId="21" fillId="14" borderId="24" xfId="0" quotePrefix="1" applyNumberFormat="1" applyFont="1" applyFill="1" applyBorder="1" applyAlignment="1">
      <alignment horizontal="center" vertical="center" wrapText="1"/>
    </xf>
    <xf numFmtId="15" fontId="21" fillId="14" borderId="24" xfId="0" quotePrefix="1" applyNumberFormat="1" applyFont="1" applyFill="1" applyBorder="1" applyAlignment="1">
      <alignment horizontal="center" vertical="center" wrapText="1"/>
    </xf>
    <xf numFmtId="15" fontId="34" fillId="14" borderId="9" xfId="0" quotePrefix="1" applyNumberFormat="1" applyFont="1" applyFill="1" applyBorder="1" applyAlignment="1">
      <alignment horizontal="left" vertical="center" wrapText="1"/>
    </xf>
    <xf numFmtId="15" fontId="34" fillId="14" borderId="30" xfId="0" quotePrefix="1" applyNumberFormat="1" applyFont="1" applyFill="1" applyBorder="1" applyAlignment="1">
      <alignment horizontal="left" vertical="top" wrapText="1"/>
    </xf>
    <xf numFmtId="9" fontId="34" fillId="15" borderId="4" xfId="1" quotePrefix="1" applyNumberFormat="1" applyFont="1" applyFill="1" applyBorder="1" applyAlignment="1">
      <alignment horizontal="center" vertical="center" wrapText="1"/>
    </xf>
    <xf numFmtId="4" fontId="21" fillId="15" borderId="4" xfId="1" quotePrefix="1" applyNumberFormat="1" applyFont="1" applyFill="1" applyBorder="1" applyAlignment="1">
      <alignment horizontal="center" vertical="center" wrapText="1"/>
    </xf>
    <xf numFmtId="15" fontId="36" fillId="15" borderId="9" xfId="0" quotePrefix="1" applyNumberFormat="1" applyFont="1" applyFill="1" applyBorder="1" applyAlignment="1">
      <alignment horizontal="left" vertical="top" wrapText="1"/>
    </xf>
    <xf numFmtId="15" fontId="24" fillId="15" borderId="24" xfId="0" quotePrefix="1" applyNumberFormat="1" applyFont="1" applyFill="1" applyBorder="1" applyAlignment="1">
      <alignment horizontal="left" vertical="center" wrapText="1"/>
    </xf>
    <xf numFmtId="15" fontId="36" fillId="14" borderId="9" xfId="0" quotePrefix="1" applyNumberFormat="1" applyFont="1" applyFill="1" applyBorder="1" applyAlignment="1">
      <alignment horizontal="left" vertical="top" wrapText="1"/>
    </xf>
    <xf numFmtId="9" fontId="36" fillId="15" borderId="4" xfId="1" quotePrefix="1" applyNumberFormat="1" applyFont="1" applyFill="1" applyBorder="1" applyAlignment="1">
      <alignment horizontal="center" vertical="center" wrapText="1"/>
    </xf>
    <xf numFmtId="167" fontId="24" fillId="14" borderId="24" xfId="0" quotePrefix="1" applyNumberFormat="1" applyFont="1" applyFill="1" applyBorder="1" applyAlignment="1">
      <alignment horizontal="center" vertical="center" wrapText="1"/>
    </xf>
    <xf numFmtId="15" fontId="36" fillId="14" borderId="24" xfId="0" quotePrefix="1" applyNumberFormat="1" applyFont="1" applyFill="1" applyBorder="1" applyAlignment="1">
      <alignment horizontal="center" vertical="center" wrapText="1"/>
    </xf>
    <xf numFmtId="14" fontId="24" fillId="14" borderId="24" xfId="0" quotePrefix="1" applyNumberFormat="1" applyFont="1" applyFill="1" applyBorder="1" applyAlignment="1">
      <alignment horizontal="center" vertical="center" wrapText="1"/>
    </xf>
    <xf numFmtId="15" fontId="24" fillId="14" borderId="24" xfId="0" quotePrefix="1" applyNumberFormat="1" applyFont="1" applyFill="1" applyBorder="1" applyAlignment="1">
      <alignment horizontal="center" vertical="center" wrapText="1"/>
    </xf>
    <xf numFmtId="15" fontId="24" fillId="15" borderId="24" xfId="0" quotePrefix="1" applyNumberFormat="1" applyFont="1" applyFill="1" applyBorder="1" applyAlignment="1">
      <alignment horizontal="center" vertical="center" wrapText="1"/>
    </xf>
    <xf numFmtId="15" fontId="36" fillId="15" borderId="10" xfId="0" quotePrefix="1" applyNumberFormat="1" applyFont="1" applyFill="1" applyBorder="1" applyAlignment="1">
      <alignment horizontal="left" vertical="top" wrapText="1"/>
    </xf>
    <xf numFmtId="0" fontId="36" fillId="15" borderId="25" xfId="0" quotePrefix="1" applyFont="1" applyFill="1" applyBorder="1" applyAlignment="1">
      <alignment horizontal="left" vertical="center" wrapText="1"/>
    </xf>
    <xf numFmtId="15" fontId="36" fillId="15" borderId="25" xfId="0" quotePrefix="1" applyNumberFormat="1" applyFont="1" applyFill="1" applyBorder="1" applyAlignment="1">
      <alignment horizontal="center" vertical="center" wrapText="1"/>
    </xf>
    <xf numFmtId="15" fontId="36" fillId="14" borderId="11" xfId="0" quotePrefix="1" applyNumberFormat="1" applyFont="1" applyFill="1" applyBorder="1" applyAlignment="1">
      <alignment horizontal="left" vertical="top" wrapText="1"/>
    </xf>
    <xf numFmtId="15" fontId="36" fillId="14" borderId="34" xfId="0" quotePrefix="1" applyNumberFormat="1" applyFont="1" applyFill="1" applyBorder="1" applyAlignment="1">
      <alignment horizontal="left" vertical="top" wrapText="1"/>
    </xf>
    <xf numFmtId="0" fontId="36" fillId="15" borderId="6" xfId="0" quotePrefix="1" applyFont="1" applyFill="1" applyBorder="1" applyAlignment="1">
      <alignment horizontal="left" vertical="center" wrapText="1"/>
    </xf>
    <xf numFmtId="167" fontId="36" fillId="15" borderId="6" xfId="0" quotePrefix="1" applyNumberFormat="1" applyFont="1" applyFill="1" applyBorder="1" applyAlignment="1">
      <alignment horizontal="center" vertical="center" wrapText="1"/>
    </xf>
    <xf numFmtId="15" fontId="36" fillId="15" borderId="6" xfId="0" quotePrefix="1" applyNumberFormat="1" applyFont="1" applyFill="1" applyBorder="1" applyAlignment="1">
      <alignment horizontal="center" vertical="center" wrapText="1"/>
    </xf>
    <xf numFmtId="15" fontId="36" fillId="15" borderId="35" xfId="0" quotePrefix="1" applyNumberFormat="1" applyFont="1" applyFill="1" applyBorder="1" applyAlignment="1">
      <alignment horizontal="left" vertical="top" wrapText="1"/>
    </xf>
    <xf numFmtId="15" fontId="36" fillId="15" borderId="11" xfId="0" quotePrefix="1" applyNumberFormat="1" applyFont="1" applyFill="1" applyBorder="1" applyAlignment="1">
      <alignment horizontal="left" vertical="top" wrapText="1"/>
    </xf>
    <xf numFmtId="0" fontId="36" fillId="15" borderId="24" xfId="0" quotePrefix="1" applyFont="1" applyFill="1" applyBorder="1" applyAlignment="1">
      <alignment horizontal="left" vertical="center" wrapText="1"/>
    </xf>
    <xf numFmtId="14" fontId="36" fillId="15" borderId="24" xfId="0" quotePrefix="1" applyNumberFormat="1" applyFont="1" applyFill="1" applyBorder="1" applyAlignment="1">
      <alignment horizontal="center" vertical="center" wrapText="1"/>
    </xf>
    <xf numFmtId="167" fontId="36" fillId="15" borderId="24" xfId="0" quotePrefix="1" applyNumberFormat="1" applyFont="1" applyFill="1" applyBorder="1" applyAlignment="1">
      <alignment horizontal="center" vertical="center" wrapText="1"/>
    </xf>
    <xf numFmtId="15" fontId="36" fillId="15" borderId="24" xfId="0" quotePrefix="1" applyNumberFormat="1" applyFont="1" applyFill="1" applyBorder="1" applyAlignment="1">
      <alignment horizontal="center" vertical="center" wrapText="1"/>
    </xf>
    <xf numFmtId="15" fontId="24" fillId="15" borderId="24" xfId="0" quotePrefix="1" applyNumberFormat="1" applyFont="1" applyFill="1" applyBorder="1" applyAlignment="1">
      <alignment horizontal="left" vertical="top" wrapText="1"/>
    </xf>
    <xf numFmtId="15" fontId="36" fillId="15" borderId="34" xfId="0" quotePrefix="1" applyNumberFormat="1" applyFont="1" applyFill="1" applyBorder="1" applyAlignment="1">
      <alignment vertical="top" wrapText="1"/>
    </xf>
    <xf numFmtId="0" fontId="36" fillId="15" borderId="25" xfId="0" quotePrefix="1" applyFont="1" applyFill="1" applyBorder="1" applyAlignment="1">
      <alignment horizontal="center" vertical="center" wrapText="1"/>
    </xf>
    <xf numFmtId="15" fontId="36" fillId="14" borderId="9" xfId="0" quotePrefix="1" applyNumberFormat="1" applyFont="1" applyFill="1" applyBorder="1" applyAlignment="1">
      <alignment vertical="center" wrapText="1"/>
    </xf>
    <xf numFmtId="0" fontId="36" fillId="14" borderId="24" xfId="0" quotePrefix="1" applyFont="1" applyFill="1" applyBorder="1" applyAlignment="1">
      <alignment horizontal="left" vertical="center" wrapText="1"/>
    </xf>
    <xf numFmtId="15" fontId="36" fillId="14" borderId="30" xfId="0" quotePrefix="1" applyNumberFormat="1" applyFont="1" applyFill="1" applyBorder="1" applyAlignment="1">
      <alignment horizontal="left" vertical="top" wrapText="1"/>
    </xf>
    <xf numFmtId="14" fontId="24" fillId="14" borderId="6" xfId="0" quotePrefix="1" applyNumberFormat="1" applyFont="1" applyFill="1" applyBorder="1" applyAlignment="1">
      <alignment horizontal="center" vertical="center" wrapText="1"/>
    </xf>
    <xf numFmtId="15" fontId="36" fillId="16" borderId="9" xfId="0" quotePrefix="1" applyNumberFormat="1" applyFont="1" applyFill="1" applyBorder="1" applyAlignment="1">
      <alignment horizontal="left" vertical="top" wrapText="1"/>
    </xf>
    <xf numFmtId="14" fontId="24" fillId="15" borderId="6" xfId="0" quotePrefix="1" applyNumberFormat="1" applyFont="1" applyFill="1" applyBorder="1" applyAlignment="1">
      <alignment horizontal="center" vertical="center" wrapText="1"/>
    </xf>
    <xf numFmtId="167" fontId="24" fillId="15" borderId="6" xfId="0" quotePrefix="1" applyNumberFormat="1" applyFont="1" applyFill="1" applyBorder="1" applyAlignment="1">
      <alignment horizontal="center" vertical="center" wrapText="1"/>
    </xf>
    <xf numFmtId="15" fontId="24" fillId="15" borderId="6" xfId="0" quotePrefix="1" applyNumberFormat="1" applyFont="1" applyFill="1" applyBorder="1" applyAlignment="1">
      <alignment horizontal="center" vertical="center" wrapText="1"/>
    </xf>
    <xf numFmtId="15" fontId="24" fillId="15" borderId="6" xfId="0" quotePrefix="1" applyNumberFormat="1" applyFont="1" applyFill="1" applyBorder="1" applyAlignment="1">
      <alignment horizontal="left" vertical="top" wrapText="1"/>
    </xf>
    <xf numFmtId="0" fontId="36" fillId="14" borderId="6" xfId="0" quotePrefix="1" applyFont="1" applyFill="1" applyBorder="1" applyAlignment="1">
      <alignment horizontal="left" vertical="center" wrapText="1"/>
    </xf>
    <xf numFmtId="167" fontId="24" fillId="14" borderId="6" xfId="0" quotePrefix="1" applyNumberFormat="1" applyFont="1" applyFill="1" applyBorder="1" applyAlignment="1">
      <alignment horizontal="center" vertical="center" wrapText="1"/>
    </xf>
    <xf numFmtId="15" fontId="24" fillId="14" borderId="6" xfId="0" quotePrefix="1" applyNumberFormat="1" applyFont="1" applyFill="1" applyBorder="1" applyAlignment="1">
      <alignment horizontal="center" vertical="center" wrapText="1"/>
    </xf>
    <xf numFmtId="0" fontId="36" fillId="16" borderId="6" xfId="0" quotePrefix="1" applyFont="1" applyFill="1" applyBorder="1" applyAlignment="1">
      <alignment horizontal="left" vertical="center" wrapText="1"/>
    </xf>
    <xf numFmtId="14" fontId="24" fillId="16" borderId="6" xfId="0" quotePrefix="1" applyNumberFormat="1" applyFont="1" applyFill="1" applyBorder="1" applyAlignment="1">
      <alignment horizontal="center" vertical="center" wrapText="1"/>
    </xf>
    <xf numFmtId="0" fontId="24" fillId="16" borderId="6" xfId="0" quotePrefix="1" applyFont="1" applyFill="1" applyBorder="1" applyAlignment="1">
      <alignment horizontal="center" vertical="center" wrapText="1"/>
    </xf>
    <xf numFmtId="167" fontId="24" fillId="16" borderId="6" xfId="0" quotePrefix="1" applyNumberFormat="1" applyFont="1" applyFill="1" applyBorder="1" applyAlignment="1">
      <alignment horizontal="center" vertical="center" wrapText="1"/>
    </xf>
    <xf numFmtId="15" fontId="24" fillId="16" borderId="6" xfId="0" quotePrefix="1" applyNumberFormat="1" applyFont="1" applyFill="1" applyBorder="1" applyAlignment="1">
      <alignment horizontal="center" vertical="center" wrapText="1"/>
    </xf>
    <xf numFmtId="15" fontId="36" fillId="16" borderId="10" xfId="0" quotePrefix="1" applyNumberFormat="1" applyFont="1" applyFill="1" applyBorder="1" applyAlignment="1">
      <alignment horizontal="left" vertical="top" wrapText="1"/>
    </xf>
    <xf numFmtId="22" fontId="36" fillId="14" borderId="24" xfId="0" quotePrefix="1" applyNumberFormat="1" applyFont="1" applyFill="1" applyBorder="1" applyAlignment="1">
      <alignment horizontal="center" vertical="center" wrapText="1"/>
    </xf>
    <xf numFmtId="167" fontId="36" fillId="14" borderId="24" xfId="0" quotePrefix="1" applyNumberFormat="1" applyFont="1" applyFill="1" applyBorder="1" applyAlignment="1">
      <alignment horizontal="center" vertical="center" wrapText="1"/>
    </xf>
    <xf numFmtId="15" fontId="36" fillId="14" borderId="24" xfId="0" quotePrefix="1" applyNumberFormat="1" applyFont="1" applyFill="1" applyBorder="1" applyAlignment="1">
      <alignment horizontal="center" vertical="top" wrapText="1"/>
    </xf>
    <xf numFmtId="15" fontId="36" fillId="14" borderId="24" xfId="0" quotePrefix="1" applyNumberFormat="1" applyFont="1" applyFill="1" applyBorder="1" applyAlignment="1">
      <alignment horizontal="left" vertical="top" wrapText="1"/>
    </xf>
    <xf numFmtId="22" fontId="24" fillId="15" borderId="24" xfId="0" quotePrefix="1" applyNumberFormat="1" applyFont="1" applyFill="1" applyBorder="1" applyAlignment="1">
      <alignment horizontal="center" vertical="center" wrapText="1"/>
    </xf>
    <xf numFmtId="167" fontId="24" fillId="15" borderId="24" xfId="0" quotePrefix="1" applyNumberFormat="1" applyFont="1" applyFill="1" applyBorder="1" applyAlignment="1">
      <alignment horizontal="center" vertical="center" wrapText="1"/>
    </xf>
    <xf numFmtId="165" fontId="24" fillId="15" borderId="24" xfId="0" quotePrefix="1" applyNumberFormat="1" applyFont="1" applyFill="1" applyBorder="1" applyAlignment="1">
      <alignment horizontal="left" vertical="top" wrapText="1"/>
    </xf>
    <xf numFmtId="15" fontId="36" fillId="15" borderId="30" xfId="0" quotePrefix="1" applyNumberFormat="1" applyFont="1" applyFill="1" applyBorder="1" applyAlignment="1">
      <alignment horizontal="left" vertical="top" wrapText="1"/>
    </xf>
    <xf numFmtId="165" fontId="43" fillId="15" borderId="4" xfId="0" quotePrefix="1" applyNumberFormat="1" applyFont="1" applyFill="1" applyBorder="1" applyAlignment="1">
      <alignment horizontal="left" vertical="center" wrapText="1"/>
    </xf>
    <xf numFmtId="15" fontId="44" fillId="15" borderId="9" xfId="0" quotePrefix="1" applyNumberFormat="1" applyFont="1" applyFill="1" applyBorder="1" applyAlignment="1">
      <alignment horizontal="left" vertical="top" wrapText="1"/>
    </xf>
    <xf numFmtId="0" fontId="36" fillId="16" borderId="24" xfId="0" quotePrefix="1" applyFont="1" applyFill="1" applyBorder="1" applyAlignment="1">
      <alignment horizontal="left" vertical="center" wrapText="1"/>
    </xf>
    <xf numFmtId="0" fontId="24" fillId="16" borderId="24" xfId="0" quotePrefix="1" applyFont="1" applyFill="1" applyBorder="1" applyAlignment="1">
      <alignment horizontal="center" vertical="center" wrapText="1"/>
    </xf>
    <xf numFmtId="167" fontId="24" fillId="16" borderId="24" xfId="0" quotePrefix="1" applyNumberFormat="1" applyFont="1" applyFill="1" applyBorder="1" applyAlignment="1">
      <alignment horizontal="center" vertical="center" wrapText="1"/>
    </xf>
    <xf numFmtId="15" fontId="24" fillId="16" borderId="24" xfId="0" quotePrefix="1" applyNumberFormat="1" applyFont="1" applyFill="1" applyBorder="1" applyAlignment="1">
      <alignment horizontal="center" vertical="center" wrapText="1"/>
    </xf>
    <xf numFmtId="15" fontId="24" fillId="16" borderId="24" xfId="0" quotePrefix="1" applyNumberFormat="1" applyFont="1" applyFill="1" applyBorder="1" applyAlignment="1">
      <alignment horizontal="left" vertical="top" wrapText="1"/>
    </xf>
    <xf numFmtId="15" fontId="36" fillId="16" borderId="30" xfId="0" quotePrefix="1" applyNumberFormat="1" applyFont="1" applyFill="1" applyBorder="1" applyAlignment="1">
      <alignment horizontal="left" vertical="top" wrapText="1"/>
    </xf>
    <xf numFmtId="15" fontId="24" fillId="16" borderId="24" xfId="0" quotePrefix="1" applyNumberFormat="1" applyFont="1" applyFill="1" applyBorder="1" applyAlignment="1">
      <alignment horizontal="left" wrapText="1"/>
    </xf>
    <xf numFmtId="0" fontId="37" fillId="14" borderId="4" xfId="0" quotePrefix="1" applyFont="1" applyFill="1" applyBorder="1" applyAlignment="1">
      <alignment horizontal="center" vertical="center" wrapText="1"/>
    </xf>
    <xf numFmtId="165" fontId="43" fillId="14" borderId="4" xfId="0" quotePrefix="1" applyNumberFormat="1" applyFont="1" applyFill="1" applyBorder="1" applyAlignment="1">
      <alignment horizontal="left" vertical="center" wrapText="1"/>
    </xf>
    <xf numFmtId="165" fontId="24" fillId="16" borderId="24" xfId="0" quotePrefix="1" applyNumberFormat="1" applyFont="1" applyFill="1" applyBorder="1" applyAlignment="1">
      <alignment horizontal="left" vertical="top" wrapText="1"/>
    </xf>
    <xf numFmtId="0" fontId="36" fillId="15" borderId="2" xfId="0" quotePrefix="1" applyFont="1" applyFill="1" applyBorder="1" applyAlignment="1">
      <alignment horizontal="left" vertical="top" wrapText="1"/>
    </xf>
    <xf numFmtId="167" fontId="24" fillId="15" borderId="2" xfId="0" quotePrefix="1" applyNumberFormat="1" applyFont="1" applyFill="1" applyBorder="1" applyAlignment="1">
      <alignment horizontal="center" vertical="top" wrapText="1"/>
    </xf>
    <xf numFmtId="15" fontId="24" fillId="15" borderId="2" xfId="0" quotePrefix="1" applyNumberFormat="1" applyFont="1" applyFill="1" applyBorder="1" applyAlignment="1">
      <alignment horizontal="left" vertical="top" wrapText="1"/>
    </xf>
    <xf numFmtId="15" fontId="36" fillId="15" borderId="8" xfId="0" quotePrefix="1" applyNumberFormat="1" applyFont="1" applyFill="1" applyBorder="1" applyAlignment="1">
      <alignment horizontal="left" vertical="top" wrapText="1"/>
    </xf>
    <xf numFmtId="14" fontId="24" fillId="16" borderId="24" xfId="0" quotePrefix="1" applyNumberFormat="1" applyFont="1" applyFill="1" applyBorder="1" applyAlignment="1">
      <alignment horizontal="center" vertical="center" wrapText="1"/>
    </xf>
    <xf numFmtId="165" fontId="43" fillId="16" borderId="24" xfId="0" quotePrefix="1" applyNumberFormat="1" applyFont="1" applyFill="1" applyBorder="1" applyAlignment="1">
      <alignment horizontal="center" vertical="center" wrapText="1"/>
    </xf>
    <xf numFmtId="0" fontId="24" fillId="15" borderId="25" xfId="0" quotePrefix="1" applyFont="1" applyFill="1" applyBorder="1" applyAlignment="1">
      <alignment horizontal="center" vertical="center" wrapText="1"/>
    </xf>
    <xf numFmtId="167" fontId="24" fillId="15" borderId="25" xfId="0" quotePrefix="1" applyNumberFormat="1" applyFont="1" applyFill="1" applyBorder="1" applyAlignment="1">
      <alignment horizontal="center" vertical="center" wrapText="1"/>
    </xf>
    <xf numFmtId="15" fontId="24" fillId="15" borderId="25" xfId="0" quotePrefix="1" applyNumberFormat="1" applyFont="1" applyFill="1" applyBorder="1" applyAlignment="1">
      <alignment horizontal="center" vertical="top" wrapText="1"/>
    </xf>
    <xf numFmtId="15" fontId="24" fillId="15" borderId="25" xfId="0" quotePrefix="1" applyNumberFormat="1" applyFont="1" applyFill="1" applyBorder="1" applyAlignment="1">
      <alignment horizontal="center" vertical="center" wrapText="1"/>
    </xf>
    <xf numFmtId="15" fontId="36" fillId="15" borderId="32" xfId="0" quotePrefix="1" applyNumberFormat="1" applyFont="1" applyFill="1" applyBorder="1" applyAlignment="1">
      <alignment horizontal="left" vertical="top" wrapText="1"/>
    </xf>
    <xf numFmtId="0" fontId="36" fillId="16" borderId="21" xfId="0" quotePrefix="1" applyFont="1" applyFill="1" applyBorder="1" applyAlignment="1">
      <alignment horizontal="left" vertical="center" wrapText="1"/>
    </xf>
    <xf numFmtId="22" fontId="24" fillId="16" borderId="21" xfId="0" quotePrefix="1" applyNumberFormat="1" applyFont="1" applyFill="1" applyBorder="1" applyAlignment="1">
      <alignment horizontal="center" vertical="center" wrapText="1"/>
    </xf>
    <xf numFmtId="167" fontId="24" fillId="16" borderId="21" xfId="0" quotePrefix="1" applyNumberFormat="1" applyFont="1" applyFill="1" applyBorder="1" applyAlignment="1">
      <alignment horizontal="center" vertical="center" wrapText="1"/>
    </xf>
    <xf numFmtId="15" fontId="24" fillId="16" borderId="21" xfId="0" quotePrefix="1" applyNumberFormat="1" applyFont="1" applyFill="1" applyBorder="1" applyAlignment="1">
      <alignment horizontal="left" vertical="center" wrapText="1"/>
    </xf>
    <xf numFmtId="15" fontId="36" fillId="16" borderId="29" xfId="0" quotePrefix="1" applyNumberFormat="1" applyFont="1" applyFill="1" applyBorder="1" applyAlignment="1">
      <alignment horizontal="left" vertical="top" wrapText="1"/>
    </xf>
    <xf numFmtId="0" fontId="42" fillId="16" borderId="4" xfId="0" quotePrefix="1" applyFont="1" applyFill="1" applyBorder="1" applyAlignment="1">
      <alignment horizontal="left" vertical="center" wrapText="1"/>
    </xf>
    <xf numFmtId="15" fontId="41" fillId="16" borderId="4" xfId="0" quotePrefix="1" applyNumberFormat="1" applyFont="1" applyFill="1" applyBorder="1" applyAlignment="1">
      <alignment horizontal="center" vertical="center" wrapText="1"/>
    </xf>
    <xf numFmtId="15" fontId="42" fillId="16" borderId="9" xfId="0" quotePrefix="1" applyNumberFormat="1" applyFont="1" applyFill="1" applyBorder="1" applyAlignment="1">
      <alignment horizontal="left" vertical="top" wrapText="1"/>
    </xf>
    <xf numFmtId="0" fontId="44" fillId="2" borderId="4" xfId="0" quotePrefix="1" applyFont="1" applyFill="1" applyBorder="1" applyAlignment="1">
      <alignment horizontal="left" vertical="center" wrapText="1"/>
    </xf>
    <xf numFmtId="15" fontId="43" fillId="2" borderId="4" xfId="0" quotePrefix="1" applyNumberFormat="1" applyFont="1" applyFill="1" applyBorder="1" applyAlignment="1">
      <alignment horizontal="center" vertical="center" wrapText="1"/>
    </xf>
    <xf numFmtId="167" fontId="43" fillId="2" borderId="4" xfId="0" quotePrefix="1" applyNumberFormat="1" applyFont="1" applyFill="1" applyBorder="1" applyAlignment="1">
      <alignment horizontal="center" vertical="center" wrapText="1"/>
    </xf>
    <xf numFmtId="0" fontId="43" fillId="2" borderId="4" xfId="0" quotePrefix="1" applyFont="1" applyFill="1" applyBorder="1" applyAlignment="1">
      <alignment horizontal="center" vertical="center" wrapText="1"/>
    </xf>
    <xf numFmtId="167" fontId="43" fillId="8" borderId="4" xfId="0" quotePrefix="1" applyNumberFormat="1" applyFont="1" applyFill="1" applyBorder="1" applyAlignment="1">
      <alignment horizontal="center" vertical="center" wrapText="1"/>
    </xf>
    <xf numFmtId="15" fontId="43" fillId="2" borderId="4" xfId="0" quotePrefix="1" applyNumberFormat="1" applyFont="1" applyFill="1" applyBorder="1" applyAlignment="1">
      <alignment horizontal="left" vertical="top" wrapText="1"/>
    </xf>
    <xf numFmtId="165" fontId="41" fillId="2" borderId="4" xfId="0" quotePrefix="1" applyNumberFormat="1" applyFont="1" applyFill="1" applyBorder="1" applyAlignment="1">
      <alignment horizontal="left" vertical="top" wrapText="1"/>
    </xf>
    <xf numFmtId="15" fontId="41" fillId="2" borderId="9" xfId="0" quotePrefix="1" applyNumberFormat="1" applyFont="1" applyFill="1" applyBorder="1" applyAlignment="1">
      <alignment horizontal="left" vertical="top" wrapText="1"/>
    </xf>
    <xf numFmtId="0" fontId="45" fillId="20" borderId="4" xfId="0" quotePrefix="1" applyFont="1" applyFill="1" applyBorder="1" applyAlignment="1">
      <alignment horizontal="center" vertical="center" wrapText="1"/>
    </xf>
    <xf numFmtId="15" fontId="2" fillId="2" borderId="4" xfId="0" quotePrefix="1" applyNumberFormat="1" applyFont="1" applyFill="1" applyBorder="1" applyAlignment="1">
      <alignment horizontal="left" vertical="center" wrapText="1"/>
    </xf>
    <xf numFmtId="15" fontId="50" fillId="2" borderId="9" xfId="0" quotePrefix="1" applyNumberFormat="1" applyFont="1" applyFill="1" applyBorder="1" applyAlignment="1">
      <alignment horizontal="left" vertical="center" wrapText="1"/>
    </xf>
    <xf numFmtId="0" fontId="46" fillId="18" borderId="4" xfId="0" quotePrefix="1" applyFont="1" applyFill="1" applyBorder="1" applyAlignment="1">
      <alignment horizontal="left" vertical="center" wrapText="1"/>
    </xf>
    <xf numFmtId="167" fontId="45" fillId="21" borderId="4" xfId="0" quotePrefix="1" applyNumberFormat="1" applyFont="1" applyFill="1" applyBorder="1" applyAlignment="1">
      <alignment horizontal="center" vertical="center" wrapText="1"/>
    </xf>
    <xf numFmtId="15" fontId="46" fillId="2" borderId="9" xfId="0" quotePrefix="1" applyNumberFormat="1" applyFont="1" applyFill="1" applyBorder="1" applyAlignment="1">
      <alignment horizontal="left" vertical="center" wrapText="1"/>
    </xf>
    <xf numFmtId="0" fontId="45" fillId="2" borderId="4" xfId="0" quotePrefix="1" applyFont="1" applyFill="1" applyBorder="1" applyAlignment="1">
      <alignment horizontal="left" vertical="center" wrapText="1"/>
    </xf>
    <xf numFmtId="165" fontId="45" fillId="2" borderId="4" xfId="0" quotePrefix="1" applyNumberFormat="1" applyFont="1" applyFill="1" applyBorder="1" applyAlignment="1">
      <alignment horizontal="left" vertical="top" wrapText="1"/>
    </xf>
    <xf numFmtId="15" fontId="45" fillId="2" borderId="9" xfId="0" quotePrefix="1" applyNumberFormat="1" applyFont="1" applyFill="1" applyBorder="1" applyAlignment="1">
      <alignment horizontal="left" vertical="center" wrapText="1"/>
    </xf>
    <xf numFmtId="0" fontId="47" fillId="18" borderId="4" xfId="0" quotePrefix="1" applyFont="1" applyFill="1" applyBorder="1" applyAlignment="1">
      <alignment horizontal="left" vertical="center" wrapText="1"/>
    </xf>
    <xf numFmtId="22" fontId="45" fillId="2" borderId="4" xfId="0" quotePrefix="1" applyNumberFormat="1" applyFont="1" applyFill="1" applyBorder="1" applyAlignment="1">
      <alignment horizontal="center" vertical="center" wrapText="1"/>
    </xf>
    <xf numFmtId="15" fontId="2" fillId="2" borderId="4" xfId="0" quotePrefix="1" applyNumberFormat="1" applyFont="1" applyFill="1" applyBorder="1" applyAlignment="1">
      <alignment horizontal="left" vertical="top" wrapText="1"/>
    </xf>
    <xf numFmtId="15" fontId="50" fillId="2" borderId="9" xfId="0" quotePrefix="1" applyNumberFormat="1" applyFont="1" applyFill="1" applyBorder="1" applyAlignment="1">
      <alignment horizontal="center" vertical="center" wrapText="1"/>
    </xf>
    <xf numFmtId="0" fontId="48" fillId="18" borderId="4" xfId="0" quotePrefix="1" applyFont="1" applyFill="1" applyBorder="1" applyAlignment="1">
      <alignment horizontal="left" vertical="center" wrapText="1"/>
    </xf>
    <xf numFmtId="0" fontId="45" fillId="18" borderId="4" xfId="0" quotePrefix="1" applyFont="1" applyFill="1" applyBorder="1" applyAlignment="1">
      <alignment horizontal="left" vertical="center" wrapText="1"/>
    </xf>
    <xf numFmtId="15" fontId="45" fillId="2" borderId="9" xfId="0" quotePrefix="1" applyNumberFormat="1" applyFont="1" applyFill="1" applyBorder="1" applyAlignment="1">
      <alignment horizontal="left" vertical="top" wrapText="1"/>
    </xf>
    <xf numFmtId="0" fontId="48" fillId="2" borderId="4" xfId="0" quotePrefix="1" applyFont="1" applyFill="1" applyBorder="1" applyAlignment="1">
      <alignment horizontal="left" vertical="center" wrapText="1"/>
    </xf>
    <xf numFmtId="0" fontId="48" fillId="2" borderId="24" xfId="0" quotePrefix="1" applyFont="1" applyFill="1" applyBorder="1" applyAlignment="1">
      <alignment horizontal="left" vertical="center" wrapText="1"/>
    </xf>
    <xf numFmtId="0" fontId="45" fillId="2" borderId="24" xfId="0" quotePrefix="1" applyFont="1" applyFill="1" applyBorder="1" applyAlignment="1">
      <alignment horizontal="center" vertical="center" wrapText="1"/>
    </xf>
    <xf numFmtId="167" fontId="45" fillId="2" borderId="24" xfId="0" quotePrefix="1" applyNumberFormat="1" applyFont="1" applyFill="1" applyBorder="1" applyAlignment="1">
      <alignment horizontal="center" vertical="center" wrapText="1"/>
    </xf>
    <xf numFmtId="167" fontId="45" fillId="8" borderId="24" xfId="0" quotePrefix="1" applyNumberFormat="1" applyFont="1" applyFill="1" applyBorder="1" applyAlignment="1">
      <alignment horizontal="center" vertical="center" wrapText="1"/>
    </xf>
    <xf numFmtId="0" fontId="45" fillId="20" borderId="24" xfId="0" quotePrefix="1" applyFont="1" applyFill="1" applyBorder="1" applyAlignment="1">
      <alignment horizontal="center" vertical="center" wrapText="1"/>
    </xf>
    <xf numFmtId="15" fontId="45" fillId="2" borderId="24" xfId="0" quotePrefix="1" applyNumberFormat="1" applyFont="1" applyFill="1" applyBorder="1" applyAlignment="1">
      <alignment horizontal="left" vertical="top" wrapText="1"/>
    </xf>
    <xf numFmtId="165" fontId="2" fillId="2" borderId="24" xfId="0" quotePrefix="1" applyNumberFormat="1" applyFont="1" applyFill="1" applyBorder="1" applyAlignment="1">
      <alignment horizontal="left" vertical="top" wrapText="1"/>
    </xf>
    <xf numFmtId="15" fontId="45" fillId="2" borderId="30" xfId="0" quotePrefix="1" applyNumberFormat="1" applyFont="1" applyFill="1" applyBorder="1" applyAlignment="1">
      <alignment horizontal="left" vertical="center" wrapText="1"/>
    </xf>
    <xf numFmtId="0" fontId="49" fillId="2" borderId="21" xfId="0" quotePrefix="1" applyFont="1" applyFill="1" applyBorder="1" applyAlignment="1">
      <alignment horizontal="left" vertical="center" wrapText="1"/>
    </xf>
    <xf numFmtId="167" fontId="45" fillId="2" borderId="21" xfId="0" quotePrefix="1" applyNumberFormat="1" applyFont="1" applyFill="1" applyBorder="1" applyAlignment="1">
      <alignment horizontal="center" vertical="center" wrapText="1"/>
    </xf>
    <xf numFmtId="0" fontId="45" fillId="2" borderId="21" xfId="0" quotePrefix="1" applyFont="1" applyFill="1" applyBorder="1" applyAlignment="1">
      <alignment horizontal="center" vertical="center" wrapText="1"/>
    </xf>
    <xf numFmtId="167" fontId="45" fillId="8" borderId="21" xfId="0" quotePrefix="1" applyNumberFormat="1" applyFont="1" applyFill="1" applyBorder="1" applyAlignment="1">
      <alignment horizontal="center" vertical="center" wrapText="1"/>
    </xf>
    <xf numFmtId="15" fontId="45" fillId="2" borderId="21" xfId="0" quotePrefix="1" applyNumberFormat="1" applyFont="1" applyFill="1" applyBorder="1" applyAlignment="1">
      <alignment horizontal="left" vertical="top" wrapText="1"/>
    </xf>
    <xf numFmtId="15" fontId="2" fillId="2" borderId="21" xfId="0" quotePrefix="1" applyNumberFormat="1" applyFont="1" applyFill="1" applyBorder="1" applyAlignment="1">
      <alignment horizontal="left" vertical="top" wrapText="1"/>
    </xf>
    <xf numFmtId="15" fontId="45" fillId="2" borderId="29" xfId="0" quotePrefix="1" applyNumberFormat="1" applyFont="1" applyFill="1" applyBorder="1" applyAlignment="1">
      <alignment horizontal="left" vertical="top" wrapText="1"/>
    </xf>
    <xf numFmtId="0" fontId="5" fillId="2" borderId="4" xfId="0" quotePrefix="1" applyFont="1" applyFill="1" applyBorder="1" applyAlignment="1">
      <alignment horizontal="left" vertical="center" wrapText="1"/>
    </xf>
    <xf numFmtId="15" fontId="5" fillId="2" borderId="4" xfId="0" quotePrefix="1" applyNumberFormat="1" applyFont="1" applyFill="1" applyBorder="1" applyAlignment="1">
      <alignment horizontal="center" vertical="center" wrapText="1"/>
    </xf>
    <xf numFmtId="167" fontId="5" fillId="2" borderId="4" xfId="0" quotePrefix="1" applyNumberFormat="1" applyFont="1" applyFill="1" applyBorder="1" applyAlignment="1">
      <alignment horizontal="center" vertical="center" wrapText="1"/>
    </xf>
    <xf numFmtId="167" fontId="5" fillId="8" borderId="4" xfId="0" quotePrefix="1" applyNumberFormat="1" applyFont="1" applyFill="1" applyBorder="1" applyAlignment="1">
      <alignment horizontal="center" vertical="center" wrapText="1"/>
    </xf>
    <xf numFmtId="167" fontId="5" fillId="8" borderId="24" xfId="0" quotePrefix="1" applyNumberFormat="1" applyFont="1" applyFill="1" applyBorder="1" applyAlignment="1">
      <alignment horizontal="center" vertical="center" wrapText="1"/>
    </xf>
    <xf numFmtId="15" fontId="5" fillId="2" borderId="15" xfId="0" quotePrefix="1" applyNumberFormat="1" applyFont="1" applyFill="1" applyBorder="1" applyAlignment="1">
      <alignment horizontal="left" vertical="top" wrapText="1"/>
    </xf>
    <xf numFmtId="15" fontId="5" fillId="2" borderId="9" xfId="0" quotePrefix="1" applyNumberFormat="1" applyFont="1" applyFill="1" applyBorder="1" applyAlignment="1">
      <alignment horizontal="left" vertical="top" wrapText="1"/>
    </xf>
    <xf numFmtId="0" fontId="4" fillId="6" borderId="4" xfId="0" quotePrefix="1" applyFont="1" applyFill="1" applyBorder="1" applyAlignment="1">
      <alignment horizontal="center" vertical="center" wrapText="1"/>
    </xf>
    <xf numFmtId="0" fontId="7" fillId="2" borderId="5" xfId="0" quotePrefix="1" applyFont="1" applyFill="1" applyBorder="1" applyAlignment="1">
      <alignment horizontal="center" vertical="center" wrapText="1"/>
    </xf>
    <xf numFmtId="0" fontId="4" fillId="2" borderId="6" xfId="0" quotePrefix="1" applyFont="1" applyFill="1" applyBorder="1" applyAlignment="1">
      <alignment horizontal="center" vertical="center" wrapText="1"/>
    </xf>
    <xf numFmtId="15" fontId="4" fillId="3" borderId="6" xfId="0" quotePrefix="1" applyNumberFormat="1" applyFont="1" applyFill="1" applyBorder="1" applyAlignment="1">
      <alignment horizontal="center" vertical="center" wrapText="1"/>
    </xf>
    <xf numFmtId="4" fontId="4" fillId="7" borderId="4" xfId="1" quotePrefix="1" applyNumberFormat="1" applyFont="1" applyFill="1" applyBorder="1" applyAlignment="1">
      <alignment horizontal="center" vertical="center" wrapText="1"/>
    </xf>
    <xf numFmtId="0" fontId="15" fillId="8" borderId="4" xfId="0" quotePrefix="1" applyFont="1" applyFill="1" applyBorder="1" applyAlignment="1">
      <alignment horizontal="center" vertical="center" wrapText="1"/>
    </xf>
    <xf numFmtId="0" fontId="7" fillId="8" borderId="4" xfId="0" quotePrefix="1" applyFont="1" applyFill="1" applyBorder="1" applyAlignment="1">
      <alignment horizontal="center" vertical="center" wrapText="1"/>
    </xf>
    <xf numFmtId="22" fontId="15" fillId="8" borderId="4" xfId="0" quotePrefix="1" applyNumberFormat="1" applyFont="1" applyFill="1" applyBorder="1" applyAlignment="1">
      <alignment horizontal="center" vertical="center" wrapText="1"/>
    </xf>
    <xf numFmtId="0" fontId="7" fillId="8" borderId="4" xfId="0" quotePrefix="1" applyFont="1" applyFill="1" applyBorder="1" applyAlignment="1">
      <alignment vertical="center" wrapText="1"/>
    </xf>
    <xf numFmtId="0" fontId="4" fillId="3" borderId="10" xfId="0" quotePrefix="1" applyFont="1" applyFill="1" applyBorder="1" applyAlignment="1">
      <alignment horizontal="left" vertical="center" wrapText="1"/>
    </xf>
    <xf numFmtId="0" fontId="118" fillId="0" borderId="4" xfId="0" applyFont="1" applyBorder="1" applyAlignment="1">
      <alignment horizontal="left" vertical="top" wrapText="1"/>
    </xf>
    <xf numFmtId="0" fontId="118" fillId="0" borderId="0" xfId="0" applyFont="1"/>
    <xf numFmtId="0" fontId="118" fillId="2" borderId="3" xfId="0" applyFont="1" applyFill="1" applyBorder="1" applyAlignment="1">
      <alignment horizontal="center" vertical="center" wrapText="1"/>
    </xf>
    <xf numFmtId="0" fontId="119" fillId="2" borderId="4" xfId="0" quotePrefix="1" applyFont="1" applyFill="1" applyBorder="1" applyAlignment="1">
      <alignment horizontal="center" vertical="center" wrapText="1"/>
    </xf>
    <xf numFmtId="0" fontId="119" fillId="3" borderId="4" xfId="0" applyFont="1" applyFill="1" applyBorder="1" applyAlignment="1">
      <alignment horizontal="left" vertical="center" wrapText="1"/>
    </xf>
    <xf numFmtId="0" fontId="118" fillId="3" borderId="4" xfId="0" quotePrefix="1" applyFont="1" applyFill="1" applyBorder="1" applyAlignment="1">
      <alignment horizontal="center" vertical="center" wrapText="1"/>
    </xf>
    <xf numFmtId="166" fontId="118" fillId="3" borderId="4" xfId="2" applyNumberFormat="1" applyFont="1" applyFill="1" applyBorder="1" applyAlignment="1">
      <alignment horizontal="center" vertical="center" wrapText="1"/>
    </xf>
    <xf numFmtId="9" fontId="119" fillId="3" borderId="4" xfId="0" applyNumberFormat="1" applyFont="1" applyFill="1" applyBorder="1" applyAlignment="1">
      <alignment horizontal="center" vertical="center"/>
    </xf>
    <xf numFmtId="0" fontId="119" fillId="3" borderId="4" xfId="0" applyFont="1" applyFill="1" applyBorder="1" applyAlignment="1">
      <alignment horizontal="center" vertical="center"/>
    </xf>
    <xf numFmtId="0" fontId="118" fillId="3" borderId="9" xfId="0" quotePrefix="1" applyFont="1" applyFill="1" applyBorder="1" applyAlignment="1">
      <alignment horizontal="left" vertical="center" wrapText="1"/>
    </xf>
    <xf numFmtId="4" fontId="118" fillId="2" borderId="5" xfId="0" applyNumberFormat="1" applyFont="1" applyFill="1" applyBorder="1" applyAlignment="1">
      <alignment horizontal="center" vertical="center" wrapText="1"/>
    </xf>
    <xf numFmtId="4" fontId="118" fillId="2" borderId="4" xfId="0" applyNumberFormat="1" applyFont="1" applyFill="1" applyBorder="1" applyAlignment="1">
      <alignment vertical="center" wrapText="1"/>
    </xf>
    <xf numFmtId="4" fontId="118" fillId="2" borderId="4" xfId="0" applyNumberFormat="1" applyFont="1" applyFill="1" applyBorder="1" applyAlignment="1">
      <alignment horizontal="center" vertical="center" wrapText="1"/>
    </xf>
    <xf numFmtId="0" fontId="119" fillId="0" borderId="4" xfId="0" applyFont="1" applyBorder="1" applyAlignment="1">
      <alignment horizontal="left" vertical="top" wrapText="1"/>
    </xf>
    <xf numFmtId="166" fontId="119" fillId="0" borderId="0" xfId="0" applyNumberFormat="1" applyFont="1" applyAlignment="1">
      <alignment vertical="center"/>
    </xf>
    <xf numFmtId="0" fontId="119" fillId="0" borderId="0" xfId="0" applyFont="1" applyAlignment="1">
      <alignment vertical="center"/>
    </xf>
    <xf numFmtId="0" fontId="120" fillId="3" borderId="4" xfId="0" applyFont="1" applyFill="1" applyBorder="1" applyAlignment="1">
      <alignment horizontal="center" vertical="center" wrapText="1"/>
    </xf>
    <xf numFmtId="22" fontId="119" fillId="3" borderId="4" xfId="0" applyNumberFormat="1" applyFont="1" applyFill="1" applyBorder="1" applyAlignment="1">
      <alignment horizontal="center" vertical="center" wrapText="1"/>
    </xf>
    <xf numFmtId="22" fontId="118" fillId="3" borderId="4" xfId="0" quotePrefix="1" applyNumberFormat="1" applyFont="1" applyFill="1" applyBorder="1" applyAlignment="1">
      <alignment horizontal="center" vertical="center" wrapText="1"/>
    </xf>
    <xf numFmtId="0" fontId="119" fillId="2" borderId="4" xfId="0" applyFont="1" applyFill="1" applyBorder="1" applyAlignment="1">
      <alignment horizontal="left" vertical="center" wrapText="1"/>
    </xf>
    <xf numFmtId="0" fontId="118" fillId="0" borderId="0" xfId="0" applyFont="1" applyAlignment="1">
      <alignment horizontal="center" vertical="center"/>
    </xf>
    <xf numFmtId="0" fontId="118" fillId="0" borderId="0" xfId="0" applyFont="1" applyAlignment="1">
      <alignment horizontal="center" vertical="center" wrapText="1"/>
    </xf>
    <xf numFmtId="0" fontId="118" fillId="0" borderId="0" xfId="0" applyFont="1" applyAlignment="1">
      <alignment horizontal="left" vertical="top" wrapText="1"/>
    </xf>
    <xf numFmtId="166" fontId="118" fillId="0" borderId="0" xfId="0" applyNumberFormat="1" applyFont="1" applyAlignment="1">
      <alignment horizontal="center" vertical="center"/>
    </xf>
    <xf numFmtId="0" fontId="118" fillId="0" borderId="0" xfId="0" applyFont="1" applyAlignment="1">
      <alignment wrapText="1"/>
    </xf>
    <xf numFmtId="0" fontId="4" fillId="0" borderId="0" xfId="0" applyFont="1" applyAlignment="1">
      <alignment horizontal="center" vertical="center"/>
    </xf>
    <xf numFmtId="166" fontId="4" fillId="0" borderId="0" xfId="0" applyNumberFormat="1" applyFont="1" applyAlignment="1">
      <alignment horizontal="center" vertical="center"/>
    </xf>
    <xf numFmtId="0" fontId="48" fillId="3" borderId="4" xfId="0" applyFont="1" applyFill="1" applyBorder="1" applyAlignment="1">
      <alignment horizontal="center" vertical="center" wrapText="1"/>
    </xf>
    <xf numFmtId="4" fontId="48" fillId="2" borderId="5" xfId="0" applyNumberFormat="1" applyFont="1" applyFill="1" applyBorder="1" applyAlignment="1">
      <alignment horizontal="center" vertical="center" wrapText="1"/>
    </xf>
    <xf numFmtId="4" fontId="48" fillId="2" borderId="4" xfId="0" applyNumberFormat="1" applyFont="1" applyFill="1" applyBorder="1" applyAlignment="1">
      <alignment vertical="center" wrapText="1"/>
    </xf>
    <xf numFmtId="4" fontId="48" fillId="2" borderId="4" xfId="0" applyNumberFormat="1" applyFont="1" applyFill="1" applyBorder="1" applyAlignment="1">
      <alignment horizontal="center" vertical="center" wrapText="1"/>
    </xf>
    <xf numFmtId="0" fontId="45" fillId="0" borderId="4" xfId="0" applyFont="1" applyBorder="1" applyAlignment="1">
      <alignment horizontal="left" vertical="top" wrapText="1"/>
    </xf>
    <xf numFmtId="166" fontId="48" fillId="7" borderId="4" xfId="2" applyNumberFormat="1" applyFont="1" applyFill="1" applyBorder="1" applyAlignment="1">
      <alignment horizontal="center" vertical="center" wrapText="1"/>
    </xf>
    <xf numFmtId="0" fontId="48" fillId="2" borderId="4" xfId="0" quotePrefix="1" applyFont="1" applyFill="1" applyBorder="1" applyAlignment="1">
      <alignment horizontal="center" vertical="center" wrapText="1"/>
    </xf>
    <xf numFmtId="0" fontId="121" fillId="3" borderId="4" xfId="0" applyFont="1" applyFill="1" applyBorder="1" applyAlignment="1">
      <alignment horizontal="center" vertical="center" wrapText="1"/>
    </xf>
    <xf numFmtId="22" fontId="48" fillId="3" borderId="4" xfId="0" quotePrefix="1" applyNumberFormat="1" applyFont="1" applyFill="1" applyBorder="1" applyAlignment="1">
      <alignment horizontal="center" vertical="center" wrapText="1"/>
    </xf>
    <xf numFmtId="0" fontId="121" fillId="7" borderId="4" xfId="0" applyFont="1" applyFill="1" applyBorder="1" applyAlignment="1">
      <alignment horizontal="center" vertical="center" wrapText="1"/>
    </xf>
    <xf numFmtId="0" fontId="122" fillId="7" borderId="4" xfId="0" applyFont="1" applyFill="1" applyBorder="1" applyAlignment="1">
      <alignment horizontal="left" vertical="center" wrapText="1"/>
    </xf>
    <xf numFmtId="0" fontId="45" fillId="7" borderId="4" xfId="0" applyFont="1" applyFill="1" applyBorder="1" applyAlignment="1">
      <alignment horizontal="center" vertical="center" wrapText="1"/>
    </xf>
    <xf numFmtId="0" fontId="48" fillId="7" borderId="4" xfId="0" quotePrefix="1" applyFont="1" applyFill="1" applyBorder="1" applyAlignment="1">
      <alignment horizontal="center" vertical="center" wrapText="1"/>
    </xf>
    <xf numFmtId="22" fontId="48" fillId="7" borderId="4" xfId="0" quotePrefix="1" applyNumberFormat="1" applyFont="1" applyFill="1" applyBorder="1" applyAlignment="1">
      <alignment horizontal="center" vertical="center" wrapText="1"/>
    </xf>
    <xf numFmtId="9" fontId="45" fillId="7" borderId="4" xfId="0" applyNumberFormat="1" applyFont="1" applyFill="1" applyBorder="1" applyAlignment="1">
      <alignment horizontal="center" vertical="center"/>
    </xf>
    <xf numFmtId="0" fontId="45" fillId="7" borderId="4" xfId="0" applyFont="1" applyFill="1" applyBorder="1" applyAlignment="1">
      <alignment horizontal="center" vertical="center"/>
    </xf>
    <xf numFmtId="0" fontId="48" fillId="7" borderId="9" xfId="0" quotePrefix="1" applyFont="1" applyFill="1" applyBorder="1" applyAlignment="1">
      <alignment horizontal="left" vertical="center" wrapText="1"/>
    </xf>
    <xf numFmtId="0" fontId="5" fillId="2" borderId="2" xfId="0" applyFont="1" applyFill="1" applyBorder="1" applyAlignment="1">
      <alignment horizontal="center" vertical="center" wrapText="1"/>
    </xf>
    <xf numFmtId="4" fontId="4" fillId="2" borderId="4" xfId="0" applyNumberFormat="1" applyFont="1" applyFill="1" applyBorder="1" applyAlignment="1">
      <alignment vertical="top" wrapText="1"/>
    </xf>
    <xf numFmtId="0" fontId="14" fillId="7" borderId="4" xfId="0" quotePrefix="1" applyFont="1" applyFill="1" applyBorder="1" applyAlignment="1">
      <alignment horizontal="left" vertical="center" wrapText="1"/>
    </xf>
    <xf numFmtId="0" fontId="4" fillId="7" borderId="4" xfId="1" applyNumberFormat="1"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vertical="top" wrapText="1"/>
    </xf>
    <xf numFmtId="0" fontId="14" fillId="8" borderId="4" xfId="0" applyFont="1" applyFill="1" applyBorder="1" applyAlignment="1">
      <alignment horizontal="center" vertical="center" wrapText="1"/>
    </xf>
    <xf numFmtId="0" fontId="4" fillId="8" borderId="9" xfId="0" quotePrefix="1" applyFont="1" applyFill="1" applyBorder="1" applyAlignment="1">
      <alignment horizontal="left" vertical="center" wrapText="1"/>
    </xf>
    <xf numFmtId="9" fontId="4" fillId="8" borderId="4" xfId="0" applyNumberFormat="1" applyFont="1" applyFill="1" applyBorder="1" applyAlignment="1">
      <alignment horizontal="center" vertical="center" wrapText="1"/>
    </xf>
    <xf numFmtId="0" fontId="4" fillId="8" borderId="8" xfId="0" quotePrefix="1" applyFont="1" applyFill="1" applyBorder="1" applyAlignment="1">
      <alignment horizontal="left" vertical="center" wrapText="1"/>
    </xf>
    <xf numFmtId="0" fontId="5" fillId="8" borderId="4" xfId="0" applyFont="1" applyFill="1" applyBorder="1" applyAlignment="1">
      <alignment horizontal="left" vertical="center" wrapText="1"/>
    </xf>
    <xf numFmtId="168" fontId="4" fillId="8" borderId="4" xfId="0" applyNumberFormat="1" applyFont="1" applyFill="1" applyBorder="1" applyAlignment="1">
      <alignment horizontal="center" vertical="center" wrapText="1"/>
    </xf>
    <xf numFmtId="0" fontId="4" fillId="8" borderId="9" xfId="0" applyFont="1" applyFill="1" applyBorder="1" applyAlignment="1">
      <alignment horizontal="left" vertical="center" wrapText="1"/>
    </xf>
    <xf numFmtId="0" fontId="4" fillId="3" borderId="11" xfId="0" quotePrefix="1" applyFont="1" applyFill="1" applyBorder="1" applyAlignment="1">
      <alignment horizontal="center" vertical="center" wrapText="1"/>
    </xf>
    <xf numFmtId="15" fontId="4" fillId="7" borderId="11" xfId="0" quotePrefix="1" applyNumberFormat="1" applyFont="1" applyFill="1" applyBorder="1" applyAlignment="1">
      <alignment horizontal="center" vertical="center" wrapText="1"/>
    </xf>
    <xf numFmtId="0" fontId="4" fillId="7" borderId="11" xfId="0" quotePrefix="1" applyFont="1" applyFill="1" applyBorder="1" applyAlignment="1">
      <alignment horizontal="center" vertical="center" wrapText="1"/>
    </xf>
    <xf numFmtId="166" fontId="4" fillId="3" borderId="4" xfId="2" applyNumberFormat="1" applyFont="1" applyFill="1" applyBorder="1" applyAlignment="1">
      <alignment horizontal="right" vertical="center" wrapText="1"/>
    </xf>
    <xf numFmtId="9" fontId="4" fillId="3" borderId="4" xfId="0" quotePrefix="1" applyNumberFormat="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4" fillId="8" borderId="2" xfId="0" applyFont="1" applyFill="1" applyBorder="1" applyAlignment="1">
      <alignment horizontal="center" vertical="center" wrapText="1"/>
    </xf>
    <xf numFmtId="0" fontId="104" fillId="8" borderId="2" xfId="0" applyFont="1" applyFill="1" applyBorder="1" applyAlignment="1">
      <alignment horizontal="left" vertical="center" wrapText="1"/>
    </xf>
    <xf numFmtId="0" fontId="5" fillId="8" borderId="2" xfId="0" quotePrefix="1" applyFont="1" applyFill="1" applyBorder="1" applyAlignment="1">
      <alignment horizontal="center" vertical="center" wrapText="1"/>
    </xf>
    <xf numFmtId="0" fontId="4" fillId="8" borderId="2" xfId="0" quotePrefix="1" applyFont="1" applyFill="1" applyBorder="1" applyAlignment="1">
      <alignment horizontal="center" vertical="center" wrapText="1"/>
    </xf>
    <xf numFmtId="166" fontId="4" fillId="8" borderId="2" xfId="2" applyNumberFormat="1" applyFont="1" applyFill="1" applyBorder="1" applyAlignment="1">
      <alignment horizontal="right" vertical="center" wrapText="1"/>
    </xf>
    <xf numFmtId="9" fontId="4" fillId="8" borderId="2" xfId="0" applyNumberFormat="1" applyFont="1" applyFill="1" applyBorder="1" applyAlignment="1">
      <alignment horizontal="center" vertical="center" wrapText="1"/>
    </xf>
    <xf numFmtId="0" fontId="4" fillId="0" borderId="0" xfId="0" applyFont="1" applyAlignment="1">
      <alignment vertical="top" wrapText="1"/>
    </xf>
    <xf numFmtId="0" fontId="4" fillId="0" borderId="0" xfId="0" applyFont="1" applyAlignment="1">
      <alignment vertical="center" wrapText="1"/>
    </xf>
    <xf numFmtId="0" fontId="4" fillId="8" borderId="2" xfId="0" quotePrefix="1" applyFont="1" applyFill="1" applyBorder="1" applyAlignment="1">
      <alignment vertical="center" wrapText="1"/>
    </xf>
    <xf numFmtId="0" fontId="76" fillId="10" borderId="43" xfId="0" applyFont="1" applyFill="1" applyBorder="1" applyAlignment="1">
      <alignment horizontal="center" vertical="center" wrapText="1"/>
    </xf>
    <xf numFmtId="15" fontId="12" fillId="7" borderId="11" xfId="0" quotePrefix="1" applyNumberFormat="1" applyFont="1" applyFill="1" applyBorder="1" applyAlignment="1">
      <alignment horizontal="center" vertical="center" wrapText="1"/>
    </xf>
    <xf numFmtId="15" fontId="12" fillId="3" borderId="11" xfId="0" quotePrefix="1" applyNumberFormat="1" applyFont="1" applyFill="1" applyBorder="1" applyAlignment="1">
      <alignment horizontal="left" vertical="center" wrapText="1"/>
    </xf>
    <xf numFmtId="15" fontId="4" fillId="27" borderId="11" xfId="0" quotePrefix="1" applyNumberFormat="1" applyFont="1" applyFill="1" applyBorder="1" applyAlignment="1">
      <alignment horizontal="left" vertical="center" wrapText="1"/>
    </xf>
    <xf numFmtId="15" fontId="4" fillId="7" borderId="11" xfId="0" quotePrefix="1" applyNumberFormat="1" applyFont="1" applyFill="1" applyBorder="1" applyAlignment="1">
      <alignment horizontal="left" vertical="center" wrapText="1"/>
    </xf>
    <xf numFmtId="15" fontId="12" fillId="7" borderId="35" xfId="0" quotePrefix="1" applyNumberFormat="1" applyFont="1" applyFill="1" applyBorder="1" applyAlignment="1">
      <alignment horizontal="center" vertical="center" wrapText="1"/>
    </xf>
    <xf numFmtId="15" fontId="12" fillId="3" borderId="11" xfId="0" quotePrefix="1" applyNumberFormat="1" applyFont="1" applyFill="1" applyBorder="1" applyAlignment="1">
      <alignment horizontal="center" vertical="center" wrapText="1"/>
    </xf>
    <xf numFmtId="15" fontId="12" fillId="29" borderId="11" xfId="0" quotePrefix="1" applyNumberFormat="1" applyFont="1" applyFill="1" applyBorder="1" applyAlignment="1">
      <alignment horizontal="center" vertical="center" wrapText="1"/>
    </xf>
    <xf numFmtId="15" fontId="12" fillId="3" borderId="35" xfId="0" quotePrefix="1" applyNumberFormat="1" applyFont="1" applyFill="1" applyBorder="1" applyAlignment="1">
      <alignment horizontal="left" vertical="center" wrapText="1"/>
    </xf>
    <xf numFmtId="15" fontId="2" fillId="3" borderId="11" xfId="0" quotePrefix="1" applyNumberFormat="1" applyFont="1" applyFill="1" applyBorder="1" applyAlignment="1">
      <alignment horizontal="center" vertical="center" wrapText="1"/>
    </xf>
    <xf numFmtId="15" fontId="2" fillId="3" borderId="11" xfId="0" quotePrefix="1" applyNumberFormat="1" applyFont="1" applyFill="1" applyBorder="1" applyAlignment="1">
      <alignment horizontal="left" vertical="center" wrapText="1"/>
    </xf>
    <xf numFmtId="15" fontId="12" fillId="7" borderId="11" xfId="0" quotePrefix="1" applyNumberFormat="1" applyFont="1" applyFill="1" applyBorder="1" applyAlignment="1">
      <alignment horizontal="left" vertical="center" wrapText="1"/>
    </xf>
    <xf numFmtId="15" fontId="2" fillId="7" borderId="11" xfId="0" quotePrefix="1" applyNumberFormat="1" applyFont="1" applyFill="1" applyBorder="1" applyAlignment="1">
      <alignment horizontal="left" vertical="center" wrapText="1"/>
    </xf>
    <xf numFmtId="0" fontId="12" fillId="3" borderId="11" xfId="0" quotePrefix="1" applyFont="1" applyFill="1" applyBorder="1" applyAlignment="1">
      <alignment horizontal="center" vertical="center" wrapText="1"/>
    </xf>
    <xf numFmtId="0" fontId="12" fillId="3" borderId="35" xfId="0" quotePrefix="1" applyFont="1" applyFill="1" applyBorder="1" applyAlignment="1">
      <alignment horizontal="center" vertical="center" wrapText="1"/>
    </xf>
    <xf numFmtId="15" fontId="2" fillId="27" borderId="11" xfId="0" quotePrefix="1" applyNumberFormat="1" applyFont="1" applyFill="1" applyBorder="1" applyAlignment="1">
      <alignment horizontal="left" vertical="center" wrapText="1"/>
    </xf>
    <xf numFmtId="0" fontId="12" fillId="3" borderId="35" xfId="0" quotePrefix="1" applyFont="1" applyFill="1" applyBorder="1" applyAlignment="1">
      <alignment horizontal="left" vertical="center" wrapText="1"/>
    </xf>
    <xf numFmtId="15" fontId="2" fillId="3" borderId="34" xfId="0" quotePrefix="1" applyNumberFormat="1" applyFont="1" applyFill="1" applyBorder="1" applyAlignment="1">
      <alignment horizontal="left" vertical="center" wrapText="1"/>
    </xf>
    <xf numFmtId="0" fontId="4" fillId="6" borderId="11" xfId="0" applyFont="1" applyFill="1" applyBorder="1" applyAlignment="1">
      <alignment horizontal="center" vertical="center" wrapText="1"/>
    </xf>
    <xf numFmtId="15" fontId="7" fillId="3" borderId="11" xfId="0" quotePrefix="1" applyNumberFormat="1" applyFont="1" applyFill="1" applyBorder="1" applyAlignment="1">
      <alignment horizontal="center" vertical="center" wrapText="1"/>
    </xf>
    <xf numFmtId="15" fontId="4" fillId="7" borderId="11" xfId="0" applyNumberFormat="1" applyFont="1" applyFill="1" applyBorder="1" applyAlignment="1">
      <alignment horizontal="left" vertical="center" wrapText="1"/>
    </xf>
    <xf numFmtId="15" fontId="4" fillId="3" borderId="11" xfId="0" quotePrefix="1" applyNumberFormat="1" applyFont="1" applyFill="1" applyBorder="1" applyAlignment="1">
      <alignment horizontal="center" vertical="center" wrapText="1"/>
    </xf>
    <xf numFmtId="15" fontId="4" fillId="3" borderId="11" xfId="0" quotePrefix="1" applyNumberFormat="1" applyFont="1" applyFill="1" applyBorder="1" applyAlignment="1">
      <alignment horizontal="left" vertical="center" wrapText="1"/>
    </xf>
    <xf numFmtId="15" fontId="4" fillId="3" borderId="11" xfId="0" quotePrefix="1" applyNumberFormat="1" applyFont="1" applyFill="1" applyBorder="1" applyAlignment="1">
      <alignment horizontal="left" vertical="top" wrapText="1"/>
    </xf>
    <xf numFmtId="15" fontId="4" fillId="3" borderId="35" xfId="0" quotePrefix="1" applyNumberFormat="1" applyFont="1" applyFill="1" applyBorder="1" applyAlignment="1">
      <alignment horizontal="center" vertical="center" wrapText="1"/>
    </xf>
    <xf numFmtId="15" fontId="7" fillId="3" borderId="11" xfId="0" quotePrefix="1" applyNumberFormat="1" applyFont="1" applyFill="1" applyBorder="1" applyAlignment="1">
      <alignment horizontal="left" vertical="center" wrapText="1"/>
    </xf>
    <xf numFmtId="0" fontId="66" fillId="10" borderId="52" xfId="0" applyFont="1" applyFill="1" applyBorder="1" applyAlignment="1">
      <alignment horizontal="center" vertical="center" wrapText="1"/>
    </xf>
    <xf numFmtId="0" fontId="4" fillId="8" borderId="50" xfId="0" quotePrefix="1" applyFont="1" applyFill="1" applyBorder="1" applyAlignment="1">
      <alignment vertical="center" wrapText="1"/>
    </xf>
    <xf numFmtId="15" fontId="4" fillId="7" borderId="11" xfId="0" quotePrefix="1" applyNumberFormat="1" applyFont="1" applyFill="1" applyBorder="1" applyAlignment="1">
      <alignment horizontal="left" vertical="top" wrapText="1"/>
    </xf>
    <xf numFmtId="0" fontId="4" fillId="8" borderId="11" xfId="0" quotePrefix="1" applyFont="1" applyFill="1" applyBorder="1" applyAlignment="1">
      <alignment horizontal="center" vertical="center" wrapText="1"/>
    </xf>
    <xf numFmtId="0" fontId="48" fillId="3" borderId="11" xfId="0" quotePrefix="1" applyFont="1" applyFill="1" applyBorder="1" applyAlignment="1">
      <alignment horizontal="left" vertical="top" wrapText="1"/>
    </xf>
    <xf numFmtId="0" fontId="48" fillId="7" borderId="11" xfId="0" quotePrefix="1" applyFont="1" applyFill="1" applyBorder="1" applyAlignment="1">
      <alignment horizontal="center" vertical="center" wrapText="1"/>
    </xf>
    <xf numFmtId="0" fontId="48" fillId="3" borderId="11" xfId="0" quotePrefix="1" applyFont="1" applyFill="1" applyBorder="1" applyAlignment="1">
      <alignment horizontal="center" vertical="center" wrapText="1"/>
    </xf>
    <xf numFmtId="0" fontId="12" fillId="3" borderId="11" xfId="0" quotePrefix="1" applyFont="1" applyFill="1" applyBorder="1" applyAlignment="1">
      <alignment horizontal="left" vertical="top" wrapText="1"/>
    </xf>
    <xf numFmtId="0" fontId="12" fillId="8" borderId="11" xfId="0" quotePrefix="1" applyFont="1" applyFill="1" applyBorder="1" applyAlignment="1">
      <alignment horizontal="left" vertical="center" wrapText="1"/>
    </xf>
    <xf numFmtId="0" fontId="4" fillId="8" borderId="34" xfId="0" quotePrefix="1" applyFont="1" applyFill="1" applyBorder="1" applyAlignment="1">
      <alignment horizontal="left" vertical="top" wrapText="1"/>
    </xf>
    <xf numFmtId="0" fontId="12" fillId="7" borderId="34" xfId="0" quotePrefix="1" applyFont="1" applyFill="1" applyBorder="1" applyAlignment="1">
      <alignment horizontal="left" vertical="center" wrapText="1"/>
    </xf>
    <xf numFmtId="15" fontId="12" fillId="27" borderId="11" xfId="0" quotePrefix="1" applyNumberFormat="1" applyFont="1" applyFill="1" applyBorder="1" applyAlignment="1">
      <alignment horizontal="left" vertical="top" wrapText="1"/>
    </xf>
    <xf numFmtId="15" fontId="12" fillId="3" borderId="11" xfId="0" quotePrefix="1" applyNumberFormat="1" applyFont="1" applyFill="1" applyBorder="1" applyAlignment="1">
      <alignment horizontal="left" vertical="top" wrapText="1"/>
    </xf>
    <xf numFmtId="0" fontId="7" fillId="7" borderId="11" xfId="0" quotePrefix="1" applyFont="1" applyFill="1" applyBorder="1" applyAlignment="1">
      <alignment horizontal="left" vertical="center" wrapText="1"/>
    </xf>
    <xf numFmtId="0" fontId="7" fillId="3" borderId="11" xfId="0" quotePrefix="1" applyFont="1" applyFill="1" applyBorder="1" applyAlignment="1">
      <alignment horizontal="left" vertical="center" wrapText="1"/>
    </xf>
    <xf numFmtId="15" fontId="7" fillId="27" borderId="11" xfId="0" quotePrefix="1" applyNumberFormat="1" applyFont="1" applyFill="1" applyBorder="1" applyAlignment="1">
      <alignment horizontal="left" vertical="center" wrapText="1"/>
    </xf>
    <xf numFmtId="15" fontId="7" fillId="3" borderId="11" xfId="0" quotePrefix="1" applyNumberFormat="1" applyFont="1" applyFill="1" applyBorder="1" applyAlignment="1">
      <alignment horizontal="left" vertical="top" wrapText="1"/>
    </xf>
    <xf numFmtId="15" fontId="7" fillId="7" borderId="11" xfId="0" quotePrefix="1" applyNumberFormat="1" applyFont="1" applyFill="1" applyBorder="1" applyAlignment="1">
      <alignment horizontal="center" vertical="center" wrapText="1"/>
    </xf>
    <xf numFmtId="15" fontId="7" fillId="7" borderId="34" xfId="0" quotePrefix="1" applyNumberFormat="1" applyFont="1" applyFill="1" applyBorder="1" applyAlignment="1">
      <alignment horizontal="center" vertical="center" wrapText="1"/>
    </xf>
    <xf numFmtId="15" fontId="7" fillId="3" borderId="35" xfId="0" quotePrefix="1" applyNumberFormat="1" applyFont="1" applyFill="1" applyBorder="1" applyAlignment="1">
      <alignment horizontal="left" vertical="center" wrapText="1"/>
    </xf>
    <xf numFmtId="15" fontId="7" fillId="7" borderId="11" xfId="0" quotePrefix="1" applyNumberFormat="1" applyFont="1" applyFill="1" applyBorder="1" applyAlignment="1">
      <alignment horizontal="left" vertical="center" wrapText="1"/>
    </xf>
    <xf numFmtId="15" fontId="7" fillId="7" borderId="50" xfId="0" quotePrefix="1" applyNumberFormat="1" applyFont="1" applyFill="1" applyBorder="1" applyAlignment="1">
      <alignment horizontal="center" vertical="center" wrapText="1"/>
    </xf>
    <xf numFmtId="15" fontId="7" fillId="27" borderId="11" xfId="0" quotePrefix="1" applyNumberFormat="1" applyFont="1" applyFill="1" applyBorder="1" applyAlignment="1">
      <alignment horizontal="center" vertical="center" wrapText="1"/>
    </xf>
    <xf numFmtId="15" fontId="7" fillId="29" borderId="11" xfId="0" quotePrefix="1" applyNumberFormat="1" applyFont="1" applyFill="1" applyBorder="1" applyAlignment="1">
      <alignment horizontal="center" vertical="center" wrapText="1"/>
    </xf>
    <xf numFmtId="15" fontId="7" fillId="29" borderId="34" xfId="0" quotePrefix="1" applyNumberFormat="1" applyFont="1" applyFill="1" applyBorder="1" applyAlignment="1">
      <alignment horizontal="left" vertical="center" wrapText="1"/>
    </xf>
    <xf numFmtId="15" fontId="15" fillId="3" borderId="11" xfId="0" quotePrefix="1" applyNumberFormat="1" applyFont="1" applyFill="1" applyBorder="1" applyAlignment="1">
      <alignment horizontal="left" vertical="center" wrapText="1"/>
    </xf>
    <xf numFmtId="15" fontId="15" fillId="27" borderId="11" xfId="0" quotePrefix="1" applyNumberFormat="1" applyFont="1" applyFill="1" applyBorder="1" applyAlignment="1">
      <alignment horizontal="left" vertical="center" wrapText="1"/>
    </xf>
    <xf numFmtId="15" fontId="15" fillId="7" borderId="11" xfId="0" quotePrefix="1" applyNumberFormat="1" applyFont="1" applyFill="1" applyBorder="1" applyAlignment="1">
      <alignment horizontal="left" vertical="center" wrapText="1"/>
    </xf>
    <xf numFmtId="0" fontId="7" fillId="3" borderId="11" xfId="0" quotePrefix="1" applyFont="1" applyFill="1" applyBorder="1" applyAlignment="1">
      <alignment horizontal="center" vertical="center" wrapText="1"/>
    </xf>
    <xf numFmtId="15" fontId="15" fillId="7" borderId="34" xfId="0" quotePrefix="1" applyNumberFormat="1" applyFont="1" applyFill="1" applyBorder="1" applyAlignment="1">
      <alignment horizontal="center" vertical="center" wrapText="1"/>
    </xf>
    <xf numFmtId="15" fontId="15" fillId="3" borderId="11" xfId="0" quotePrefix="1" applyNumberFormat="1" applyFont="1" applyFill="1" applyBorder="1" applyAlignment="1">
      <alignment horizontal="center" vertical="center" wrapText="1"/>
    </xf>
    <xf numFmtId="0" fontId="15" fillId="19" borderId="11" xfId="0" applyFont="1" applyFill="1" applyBorder="1" applyAlignment="1">
      <alignment horizontal="left" vertical="center" wrapText="1"/>
    </xf>
    <xf numFmtId="0" fontId="7" fillId="19" borderId="11" xfId="0" quotePrefix="1" applyFont="1" applyFill="1" applyBorder="1" applyAlignment="1">
      <alignment horizontal="center" vertical="center" wrapText="1"/>
    </xf>
    <xf numFmtId="0" fontId="7" fillId="19" borderId="11" xfId="0" quotePrefix="1" applyFont="1" applyFill="1" applyBorder="1" applyAlignment="1">
      <alignment horizontal="left" vertical="center" wrapText="1"/>
    </xf>
    <xf numFmtId="0" fontId="7" fillId="19" borderId="35" xfId="0" quotePrefix="1" applyFont="1" applyFill="1" applyBorder="1" applyAlignment="1">
      <alignment horizontal="center" vertical="center" wrapText="1"/>
    </xf>
    <xf numFmtId="15" fontId="15" fillId="19" borderId="11" xfId="0" quotePrefix="1" applyNumberFormat="1" applyFont="1" applyFill="1" applyBorder="1" applyAlignment="1">
      <alignment horizontal="left" vertical="center" wrapText="1"/>
    </xf>
    <xf numFmtId="0" fontId="7" fillId="19" borderId="35" xfId="0" quotePrefix="1" applyFont="1" applyFill="1" applyBorder="1" applyAlignment="1">
      <alignment horizontal="left" vertical="center" wrapText="1"/>
    </xf>
    <xf numFmtId="15" fontId="15" fillId="19" borderId="11" xfId="0" quotePrefix="1" applyNumberFormat="1" applyFont="1" applyFill="1" applyBorder="1" applyAlignment="1">
      <alignment horizontal="center" vertical="center" wrapText="1"/>
    </xf>
    <xf numFmtId="15" fontId="15" fillId="19" borderId="49" xfId="0" quotePrefix="1" applyNumberFormat="1" applyFont="1" applyFill="1" applyBorder="1" applyAlignment="1">
      <alignment horizontal="left" vertical="center" wrapText="1"/>
    </xf>
    <xf numFmtId="15" fontId="15" fillId="7" borderId="69" xfId="0" quotePrefix="1" applyNumberFormat="1" applyFont="1" applyFill="1" applyBorder="1" applyAlignment="1">
      <alignment horizontal="left" vertical="top" wrapText="1"/>
    </xf>
    <xf numFmtId="15" fontId="15" fillId="3" borderId="11" xfId="0" quotePrefix="1" applyNumberFormat="1" applyFont="1" applyFill="1" applyBorder="1" applyAlignment="1">
      <alignment horizontal="left" vertical="top" wrapText="1"/>
    </xf>
    <xf numFmtId="15" fontId="15" fillId="12" borderId="34" xfId="0" quotePrefix="1" applyNumberFormat="1" applyFont="1" applyFill="1" applyBorder="1" applyAlignment="1">
      <alignment horizontal="left" vertical="center" wrapText="1"/>
    </xf>
    <xf numFmtId="15" fontId="15" fillId="7" borderId="34" xfId="0" quotePrefix="1" applyNumberFormat="1" applyFont="1" applyFill="1" applyBorder="1" applyAlignment="1">
      <alignment horizontal="left" vertical="center" wrapText="1"/>
    </xf>
    <xf numFmtId="15" fontId="15" fillId="3" borderId="34" xfId="0" quotePrefix="1" applyNumberFormat="1" applyFont="1" applyFill="1" applyBorder="1" applyAlignment="1">
      <alignment horizontal="left" vertical="center" wrapText="1"/>
    </xf>
    <xf numFmtId="0" fontId="48" fillId="7" borderId="4" xfId="0" applyFont="1" applyFill="1" applyBorder="1" applyAlignment="1">
      <alignment horizontal="center" vertical="center" wrapText="1"/>
    </xf>
    <xf numFmtId="0" fontId="45" fillId="2" borderId="4" xfId="0" applyFont="1" applyFill="1" applyBorder="1" applyAlignment="1">
      <alignment vertical="top" wrapText="1"/>
    </xf>
    <xf numFmtId="0" fontId="45" fillId="2" borderId="4" xfId="0" applyFont="1" applyFill="1" applyBorder="1" applyAlignment="1">
      <alignment horizontal="left" vertical="center" wrapText="1"/>
    </xf>
    <xf numFmtId="0" fontId="48" fillId="0" borderId="0" xfId="0" applyFont="1"/>
    <xf numFmtId="0" fontId="45" fillId="3" borderId="4" xfId="0" quotePrefix="1" applyFont="1" applyFill="1" applyBorder="1" applyAlignment="1">
      <alignment horizontal="left" vertical="center" wrapText="1"/>
    </xf>
    <xf numFmtId="0" fontId="48" fillId="7" borderId="4" xfId="0" quotePrefix="1" applyFont="1" applyFill="1" applyBorder="1" applyAlignment="1">
      <alignment horizontal="left" vertical="center" wrapText="1"/>
    </xf>
    <xf numFmtId="0" fontId="45" fillId="7" borderId="4" xfId="0" quotePrefix="1" applyFont="1" applyFill="1" applyBorder="1" applyAlignment="1">
      <alignment horizontal="center" vertical="center" wrapText="1"/>
    </xf>
    <xf numFmtId="0" fontId="45" fillId="0" borderId="0" xfId="0" applyFont="1" applyAlignment="1">
      <alignment horizontal="left" vertical="top" wrapText="1"/>
    </xf>
    <xf numFmtId="0" fontId="48" fillId="0" borderId="0" xfId="0" applyFont="1" applyAlignment="1">
      <alignment horizontal="center" vertical="center"/>
    </xf>
    <xf numFmtId="0" fontId="48" fillId="0" borderId="0" xfId="0" applyFont="1" applyAlignment="1">
      <alignment horizontal="center" vertical="center" wrapText="1"/>
    </xf>
    <xf numFmtId="0" fontId="48" fillId="0" borderId="0" xfId="0" applyFont="1" applyAlignment="1">
      <alignment wrapText="1"/>
    </xf>
    <xf numFmtId="0" fontId="48" fillId="2" borderId="1" xfId="0" applyFont="1" applyFill="1" applyBorder="1" applyAlignment="1">
      <alignment horizontal="center" vertical="center" wrapText="1"/>
    </xf>
    <xf numFmtId="0" fontId="45" fillId="2" borderId="2" xfId="0" quotePrefix="1" applyFont="1" applyFill="1" applyBorder="1" applyAlignment="1">
      <alignment horizontal="center" vertical="center" wrapText="1"/>
    </xf>
    <xf numFmtId="0" fontId="45" fillId="2" borderId="2" xfId="0" applyFont="1" applyFill="1" applyBorder="1" applyAlignment="1">
      <alignment horizontal="center" vertical="center" wrapText="1"/>
    </xf>
    <xf numFmtId="0" fontId="121" fillId="8" borderId="2" xfId="0" applyFont="1" applyFill="1" applyBorder="1" applyAlignment="1">
      <alignment horizontal="center" vertical="center" wrapText="1"/>
    </xf>
    <xf numFmtId="0" fontId="121" fillId="8" borderId="2" xfId="0" quotePrefix="1" applyFont="1" applyFill="1" applyBorder="1" applyAlignment="1">
      <alignment horizontal="left" vertical="center" wrapText="1"/>
    </xf>
    <xf numFmtId="22" fontId="45" fillId="8" borderId="2" xfId="0" quotePrefix="1" applyNumberFormat="1" applyFont="1" applyFill="1" applyBorder="1" applyAlignment="1">
      <alignment horizontal="center" vertical="center" wrapText="1"/>
    </xf>
    <xf numFmtId="14" fontId="48" fillId="8" borderId="2" xfId="0" quotePrefix="1" applyNumberFormat="1" applyFont="1" applyFill="1" applyBorder="1" applyAlignment="1">
      <alignment horizontal="center" vertical="center" wrapText="1"/>
    </xf>
    <xf numFmtId="166" fontId="48" fillId="8" borderId="2" xfId="2" applyNumberFormat="1" applyFont="1" applyFill="1" applyBorder="1" applyAlignment="1">
      <alignment horizontal="center" vertical="center" wrapText="1"/>
    </xf>
    <xf numFmtId="9" fontId="48" fillId="8" borderId="2" xfId="1" applyNumberFormat="1" applyFont="1" applyFill="1" applyBorder="1" applyAlignment="1">
      <alignment horizontal="center" vertical="center" wrapText="1"/>
    </xf>
    <xf numFmtId="3" fontId="48" fillId="8" borderId="2" xfId="1" applyNumberFormat="1" applyFont="1" applyFill="1" applyBorder="1" applyAlignment="1">
      <alignment horizontal="center" vertical="center" wrapText="1"/>
    </xf>
    <xf numFmtId="15" fontId="48" fillId="8" borderId="2" xfId="0" quotePrefix="1" applyNumberFormat="1" applyFont="1" applyFill="1" applyBorder="1" applyAlignment="1">
      <alignment horizontal="center" vertical="center" wrapText="1"/>
    </xf>
    <xf numFmtId="0" fontId="48" fillId="8" borderId="8" xfId="0" quotePrefix="1" applyFont="1" applyFill="1" applyBorder="1" applyAlignment="1">
      <alignment horizontal="left" vertical="center" wrapText="1"/>
    </xf>
    <xf numFmtId="0" fontId="48" fillId="0" borderId="4" xfId="0" applyFont="1" applyBorder="1" applyAlignment="1">
      <alignment wrapText="1"/>
    </xf>
    <xf numFmtId="0" fontId="48" fillId="0" borderId="4" xfId="0" applyFont="1" applyBorder="1"/>
    <xf numFmtId="0" fontId="45" fillId="8" borderId="21" xfId="0" quotePrefix="1" applyFont="1" applyFill="1" applyBorder="1" applyAlignment="1">
      <alignment horizontal="center" vertical="center" wrapText="1"/>
    </xf>
    <xf numFmtId="0" fontId="45" fillId="0" borderId="0" xfId="0" applyFont="1" applyAlignment="1">
      <alignment horizontal="center" vertical="center" wrapText="1"/>
    </xf>
    <xf numFmtId="0" fontId="48" fillId="2" borderId="2" xfId="0" quotePrefix="1" applyFont="1" applyFill="1" applyBorder="1" applyAlignment="1">
      <alignment horizontal="center" vertical="center" wrapText="1"/>
    </xf>
    <xf numFmtId="0" fontId="121" fillId="43" borderId="2" xfId="0" applyFont="1" applyFill="1" applyBorder="1" applyAlignment="1">
      <alignment horizontal="center" vertical="center" wrapText="1"/>
    </xf>
    <xf numFmtId="0" fontId="45" fillId="43" borderId="2" xfId="0" applyFont="1" applyFill="1" applyBorder="1" applyAlignment="1">
      <alignment horizontal="left" vertical="center" wrapText="1"/>
    </xf>
    <xf numFmtId="0" fontId="45" fillId="43" borderId="2" xfId="0" quotePrefix="1" applyFont="1" applyFill="1" applyBorder="1" applyAlignment="1">
      <alignment horizontal="center" vertical="center" wrapText="1"/>
    </xf>
    <xf numFmtId="0" fontId="48" fillId="43" borderId="2" xfId="0" quotePrefix="1" applyFont="1" applyFill="1" applyBorder="1" applyAlignment="1">
      <alignment horizontal="center" vertical="center" wrapText="1"/>
    </xf>
    <xf numFmtId="22" fontId="48" fillId="43" borderId="2" xfId="0" quotePrefix="1" applyNumberFormat="1" applyFont="1" applyFill="1" applyBorder="1" applyAlignment="1">
      <alignment horizontal="center" vertical="center" wrapText="1"/>
    </xf>
    <xf numFmtId="166" fontId="48" fillId="43" borderId="2" xfId="2" applyNumberFormat="1" applyFont="1" applyFill="1" applyBorder="1" applyAlignment="1">
      <alignment horizontal="center" vertical="center" wrapText="1"/>
    </xf>
    <xf numFmtId="9" fontId="45" fillId="43" borderId="2" xfId="0" applyNumberFormat="1" applyFont="1" applyFill="1" applyBorder="1" applyAlignment="1">
      <alignment horizontal="center" vertical="center"/>
    </xf>
    <xf numFmtId="0" fontId="45" fillId="43" borderId="2" xfId="0" applyFont="1" applyFill="1" applyBorder="1" applyAlignment="1">
      <alignment horizontal="center" vertical="center"/>
    </xf>
    <xf numFmtId="0" fontId="48" fillId="43" borderId="2" xfId="0" quotePrefix="1" applyFont="1" applyFill="1" applyBorder="1" applyAlignment="1">
      <alignment horizontal="left" vertical="center" wrapText="1"/>
    </xf>
    <xf numFmtId="0" fontId="48" fillId="43" borderId="50" xfId="0" quotePrefix="1" applyFont="1" applyFill="1" applyBorder="1" applyAlignment="1">
      <alignment horizontal="center" vertical="center" wrapText="1"/>
    </xf>
    <xf numFmtId="0" fontId="48" fillId="43" borderId="8" xfId="0" quotePrefix="1" applyFont="1" applyFill="1" applyBorder="1" applyAlignment="1">
      <alignment horizontal="left" vertical="center" wrapText="1"/>
    </xf>
    <xf numFmtId="0" fontId="48" fillId="0" borderId="0" xfId="0" applyFont="1" applyAlignment="1">
      <alignment vertical="top" wrapText="1"/>
    </xf>
    <xf numFmtId="0" fontId="9" fillId="0" borderId="0" xfId="0" applyFont="1" applyAlignment="1">
      <alignment horizontal="center" vertical="center"/>
    </xf>
    <xf numFmtId="166" fontId="48" fillId="3" borderId="4" xfId="2" applyNumberFormat="1" applyFont="1" applyFill="1" applyBorder="1" applyAlignment="1">
      <alignment horizontal="right" vertical="center" wrapText="1"/>
    </xf>
    <xf numFmtId="0" fontId="122" fillId="7" borderId="4" xfId="0" quotePrefix="1" applyFont="1" applyFill="1" applyBorder="1" applyAlignment="1">
      <alignment horizontal="left" vertical="center" wrapText="1"/>
    </xf>
    <xf numFmtId="0" fontId="16" fillId="43" borderId="6" xfId="0" applyFont="1" applyFill="1" applyBorder="1" applyAlignment="1">
      <alignment horizontal="center" vertical="center" wrapText="1"/>
    </xf>
    <xf numFmtId="0" fontId="2" fillId="43" borderId="6" xfId="0" applyFont="1" applyFill="1" applyBorder="1" applyAlignment="1">
      <alignment horizontal="left" vertical="center" wrapText="1"/>
    </xf>
    <xf numFmtId="0" fontId="2" fillId="43" borderId="6" xfId="0" applyFont="1" applyFill="1" applyBorder="1" applyAlignment="1">
      <alignment horizontal="center" vertical="center" wrapText="1"/>
    </xf>
    <xf numFmtId="0" fontId="12" fillId="43" borderId="6" xfId="0" quotePrefix="1" applyFont="1" applyFill="1" applyBorder="1" applyAlignment="1">
      <alignment horizontal="center" vertical="center" wrapText="1"/>
    </xf>
    <xf numFmtId="22" fontId="12" fillId="43" borderId="6" xfId="0" quotePrefix="1" applyNumberFormat="1" applyFont="1" applyFill="1" applyBorder="1" applyAlignment="1">
      <alignment horizontal="center" vertical="center" wrapText="1"/>
    </xf>
    <xf numFmtId="166" fontId="12" fillId="43" borderId="6" xfId="2" applyNumberFormat="1" applyFont="1" applyFill="1" applyBorder="1" applyAlignment="1">
      <alignment horizontal="center" vertical="center" wrapText="1"/>
    </xf>
    <xf numFmtId="9" fontId="2" fillId="43" borderId="6" xfId="0" applyNumberFormat="1" applyFont="1" applyFill="1" applyBorder="1" applyAlignment="1">
      <alignment horizontal="center" vertical="center"/>
    </xf>
    <xf numFmtId="0" fontId="2" fillId="43" borderId="6" xfId="0" applyFont="1" applyFill="1" applyBorder="1" applyAlignment="1">
      <alignment horizontal="center" vertical="center"/>
    </xf>
    <xf numFmtId="0" fontId="12" fillId="43" borderId="6" xfId="0" quotePrefix="1" applyFont="1" applyFill="1" applyBorder="1" applyAlignment="1">
      <alignment horizontal="left" vertical="center" wrapText="1"/>
    </xf>
    <xf numFmtId="0" fontId="12" fillId="43" borderId="35" xfId="0" quotePrefix="1" applyFont="1" applyFill="1" applyBorder="1" applyAlignment="1">
      <alignment horizontal="left" vertical="center" wrapText="1"/>
    </xf>
    <xf numFmtId="0" fontId="12" fillId="43" borderId="10" xfId="0" quotePrefix="1" applyFont="1" applyFill="1" applyBorder="1" applyAlignment="1">
      <alignment horizontal="left" vertical="center" wrapText="1"/>
    </xf>
    <xf numFmtId="0" fontId="2" fillId="43" borderId="24" xfId="0" applyFont="1" applyFill="1" applyBorder="1" applyAlignment="1">
      <alignment horizontal="center" vertical="center"/>
    </xf>
    <xf numFmtId="0" fontId="2" fillId="43" borderId="24" xfId="0" applyFont="1" applyFill="1" applyBorder="1" applyAlignment="1">
      <alignment horizontal="left" vertical="center" wrapText="1"/>
    </xf>
    <xf numFmtId="0" fontId="2" fillId="43" borderId="24" xfId="0" quotePrefix="1" applyFont="1" applyFill="1" applyBorder="1" applyAlignment="1">
      <alignment horizontal="center" vertical="center" wrapText="1"/>
    </xf>
    <xf numFmtId="22" fontId="12" fillId="43" borderId="24" xfId="0" quotePrefix="1" applyNumberFormat="1" applyFont="1" applyFill="1" applyBorder="1" applyAlignment="1">
      <alignment horizontal="center" vertical="center" wrapText="1"/>
    </xf>
    <xf numFmtId="22" fontId="2" fillId="43" borderId="24" xfId="0" quotePrefix="1" applyNumberFormat="1" applyFont="1" applyFill="1" applyBorder="1" applyAlignment="1">
      <alignment horizontal="center" vertical="center" wrapText="1"/>
    </xf>
    <xf numFmtId="166" fontId="12" fillId="43" borderId="24" xfId="2" applyNumberFormat="1" applyFont="1" applyFill="1" applyBorder="1" applyAlignment="1">
      <alignment horizontal="center" vertical="center" wrapText="1"/>
    </xf>
    <xf numFmtId="9" fontId="2" fillId="43" borderId="24" xfId="0" applyNumberFormat="1" applyFont="1" applyFill="1" applyBorder="1" applyAlignment="1">
      <alignment horizontal="center" vertical="center"/>
    </xf>
    <xf numFmtId="0" fontId="12" fillId="43" borderId="24" xfId="0" quotePrefix="1" applyFont="1" applyFill="1" applyBorder="1" applyAlignment="1">
      <alignment horizontal="center" vertical="center" wrapText="1"/>
    </xf>
    <xf numFmtId="0" fontId="12" fillId="43" borderId="24" xfId="0" quotePrefix="1" applyFont="1" applyFill="1" applyBorder="1" applyAlignment="1">
      <alignment horizontal="left" vertical="center" wrapText="1"/>
    </xf>
    <xf numFmtId="0" fontId="12" fillId="43" borderId="34" xfId="0" quotePrefix="1" applyFont="1" applyFill="1" applyBorder="1" applyAlignment="1">
      <alignment horizontal="left" vertical="center" wrapText="1"/>
    </xf>
    <xf numFmtId="0" fontId="12" fillId="43" borderId="30" xfId="0" quotePrefix="1" applyFont="1" applyFill="1" applyBorder="1" applyAlignment="1">
      <alignment horizontal="left" vertical="top" wrapText="1"/>
    </xf>
    <xf numFmtId="0" fontId="120" fillId="43" borderId="4" xfId="0" applyFont="1" applyFill="1" applyBorder="1" applyAlignment="1">
      <alignment horizontal="center" vertical="center" wrapText="1"/>
    </xf>
    <xf numFmtId="0" fontId="5" fillId="43" borderId="4" xfId="0" applyFont="1" applyFill="1" applyBorder="1" applyAlignment="1">
      <alignment horizontal="left" vertical="center" wrapText="1"/>
    </xf>
    <xf numFmtId="0" fontId="119" fillId="43" borderId="4" xfId="0" applyFont="1" applyFill="1" applyBorder="1" applyAlignment="1">
      <alignment horizontal="center" vertical="center" wrapText="1"/>
    </xf>
    <xf numFmtId="0" fontId="118" fillId="43" borderId="4" xfId="0" quotePrefix="1" applyFont="1" applyFill="1" applyBorder="1" applyAlignment="1">
      <alignment horizontal="center" vertical="center" wrapText="1"/>
    </xf>
    <xf numFmtId="22" fontId="118" fillId="43" borderId="4" xfId="0" quotePrefix="1" applyNumberFormat="1" applyFont="1" applyFill="1" applyBorder="1" applyAlignment="1">
      <alignment horizontal="center" vertical="center" wrapText="1"/>
    </xf>
    <xf numFmtId="166" fontId="118" fillId="43" borderId="4" xfId="2" applyNumberFormat="1" applyFont="1" applyFill="1" applyBorder="1" applyAlignment="1">
      <alignment horizontal="center" vertical="center" wrapText="1"/>
    </xf>
    <xf numFmtId="9" fontId="119" fillId="43" borderId="4" xfId="0" applyNumberFormat="1" applyFont="1" applyFill="1" applyBorder="1" applyAlignment="1">
      <alignment horizontal="center" vertical="center"/>
    </xf>
    <xf numFmtId="0" fontId="119" fillId="43" borderId="4" xfId="0" applyFont="1" applyFill="1" applyBorder="1" applyAlignment="1">
      <alignment horizontal="center" vertical="center"/>
    </xf>
    <xf numFmtId="0" fontId="118" fillId="43" borderId="4" xfId="0" quotePrefix="1" applyFont="1" applyFill="1" applyBorder="1" applyAlignment="1">
      <alignment horizontal="left" vertical="top" wrapText="1"/>
    </xf>
    <xf numFmtId="0" fontId="118" fillId="43" borderId="11" xfId="0" quotePrefix="1" applyFont="1" applyFill="1" applyBorder="1" applyAlignment="1">
      <alignment horizontal="left" vertical="top" wrapText="1"/>
    </xf>
    <xf numFmtId="0" fontId="118" fillId="43" borderId="9" xfId="0" quotePrefix="1" applyFont="1" applyFill="1" applyBorder="1" applyAlignment="1">
      <alignment horizontal="left" vertical="center" wrapText="1"/>
    </xf>
    <xf numFmtId="0" fontId="118" fillId="43" borderId="4" xfId="0" applyFont="1" applyFill="1" applyBorder="1" applyAlignment="1">
      <alignment horizontal="center" vertical="center" wrapText="1"/>
    </xf>
    <xf numFmtId="0" fontId="118" fillId="43" borderId="4" xfId="0" quotePrefix="1" applyFont="1" applyFill="1" applyBorder="1" applyAlignment="1">
      <alignment horizontal="left" vertical="center" wrapText="1"/>
    </xf>
    <xf numFmtId="22" fontId="118" fillId="43" borderId="6" xfId="0" quotePrefix="1" applyNumberFormat="1" applyFont="1" applyFill="1" applyBorder="1" applyAlignment="1">
      <alignment horizontal="center" vertical="center" wrapText="1"/>
    </xf>
    <xf numFmtId="9" fontId="118" fillId="43" borderId="4" xfId="1" applyNumberFormat="1" applyFont="1" applyFill="1" applyBorder="1" applyAlignment="1">
      <alignment horizontal="center" vertical="center" wrapText="1"/>
    </xf>
    <xf numFmtId="0" fontId="118" fillId="43" borderId="4" xfId="1" applyNumberFormat="1" applyFont="1" applyFill="1" applyBorder="1" applyAlignment="1">
      <alignment horizontal="center" vertical="center" wrapText="1"/>
    </xf>
    <xf numFmtId="0" fontId="118" fillId="43" borderId="11" xfId="0" quotePrefix="1" applyFont="1" applyFill="1" applyBorder="1" applyAlignment="1">
      <alignment horizontal="center" vertical="center" wrapText="1"/>
    </xf>
    <xf numFmtId="0" fontId="48" fillId="43" borderId="2" xfId="0" applyFont="1" applyFill="1" applyBorder="1" applyAlignment="1">
      <alignment horizontal="center" vertical="center" wrapText="1"/>
    </xf>
    <xf numFmtId="0" fontId="45" fillId="43" borderId="2" xfId="0" applyFont="1" applyFill="1" applyBorder="1" applyAlignment="1">
      <alignment horizontal="center" vertical="center" wrapText="1"/>
    </xf>
    <xf numFmtId="0" fontId="48" fillId="43" borderId="2" xfId="0" quotePrefix="1" applyFont="1" applyFill="1" applyBorder="1" applyAlignment="1">
      <alignment horizontal="left" vertical="top" wrapText="1"/>
    </xf>
    <xf numFmtId="0" fontId="48" fillId="8" borderId="2" xfId="0" applyFont="1" applyFill="1" applyBorder="1" applyAlignment="1">
      <alignment horizontal="center" vertical="center" wrapText="1"/>
    </xf>
    <xf numFmtId="0" fontId="122" fillId="8" borderId="2" xfId="0" applyFont="1" applyFill="1" applyBorder="1" applyAlignment="1">
      <alignment horizontal="left" vertical="center" wrapText="1"/>
    </xf>
    <xf numFmtId="0" fontId="45" fillId="8" borderId="2" xfId="0" applyFont="1" applyFill="1" applyBorder="1" applyAlignment="1">
      <alignment horizontal="center" vertical="center" wrapText="1"/>
    </xf>
    <xf numFmtId="0" fontId="48" fillId="8" borderId="2" xfId="0" quotePrefix="1" applyFont="1" applyFill="1" applyBorder="1" applyAlignment="1">
      <alignment horizontal="center" vertical="center" wrapText="1"/>
    </xf>
    <xf numFmtId="166" fontId="48" fillId="8" borderId="2" xfId="2" applyNumberFormat="1" applyFont="1" applyFill="1" applyBorder="1" applyAlignment="1">
      <alignment horizontal="right" vertical="center" wrapText="1"/>
    </xf>
    <xf numFmtId="9" fontId="45" fillId="8" borderId="2" xfId="0" applyNumberFormat="1" applyFont="1" applyFill="1" applyBorder="1" applyAlignment="1">
      <alignment horizontal="center" vertical="center"/>
    </xf>
    <xf numFmtId="0" fontId="45" fillId="8" borderId="2" xfId="0" applyFont="1" applyFill="1" applyBorder="1" applyAlignment="1">
      <alignment horizontal="center" vertical="center"/>
    </xf>
    <xf numFmtId="0" fontId="15" fillId="0" borderId="4" xfId="0" quotePrefix="1" applyFont="1" applyBorder="1" applyAlignment="1">
      <alignment horizontal="center" vertical="center" wrapText="1"/>
    </xf>
    <xf numFmtId="0" fontId="2" fillId="8" borderId="4" xfId="0" quotePrefix="1" applyFont="1" applyFill="1" applyBorder="1" applyAlignment="1">
      <alignment horizontal="left" vertical="center" wrapText="1"/>
    </xf>
    <xf numFmtId="0" fontId="105" fillId="8" borderId="4" xfId="0" applyFont="1" applyFill="1" applyBorder="1" applyAlignment="1">
      <alignment horizontal="center" vertical="center" wrapText="1"/>
    </xf>
    <xf numFmtId="22" fontId="7" fillId="8" borderId="4" xfId="0" quotePrefix="1" applyNumberFormat="1" applyFont="1" applyFill="1" applyBorder="1" applyAlignment="1">
      <alignment horizontal="center" vertical="center" wrapText="1"/>
    </xf>
    <xf numFmtId="166" fontId="48" fillId="43" borderId="2" xfId="2" applyNumberFormat="1" applyFont="1" applyFill="1" applyBorder="1" applyAlignment="1">
      <alignment horizontal="right" vertical="center" wrapText="1"/>
    </xf>
    <xf numFmtId="9" fontId="48" fillId="43" borderId="2" xfId="0" quotePrefix="1" applyNumberFormat="1" applyFont="1" applyFill="1" applyBorder="1" applyAlignment="1">
      <alignment horizontal="center" vertical="center" wrapText="1"/>
    </xf>
    <xf numFmtId="22" fontId="2" fillId="8" borderId="4" xfId="0" applyNumberFormat="1" applyFont="1" applyFill="1" applyBorder="1" applyAlignment="1">
      <alignment horizontal="center" vertical="center" wrapText="1"/>
    </xf>
    <xf numFmtId="9" fontId="12" fillId="8" borderId="4" xfId="0" quotePrefix="1" applyNumberFormat="1" applyFont="1" applyFill="1" applyBorder="1" applyAlignment="1">
      <alignment horizontal="center" vertical="center" wrapText="1"/>
    </xf>
    <xf numFmtId="0" fontId="12" fillId="0" borderId="0" xfId="0" applyFont="1" applyAlignment="1">
      <alignment wrapText="1"/>
    </xf>
    <xf numFmtId="0" fontId="2" fillId="0" borderId="0" xfId="0" applyFont="1" applyAlignment="1">
      <alignment horizontal="left" vertical="top" wrapText="1"/>
    </xf>
    <xf numFmtId="0" fontId="12" fillId="8" borderId="4" xfId="0" quotePrefix="1" applyFont="1" applyFill="1" applyBorder="1" applyAlignment="1">
      <alignment vertical="center" wrapText="1"/>
    </xf>
    <xf numFmtId="0" fontId="1" fillId="0" borderId="0" xfId="0" quotePrefix="1" applyFont="1" applyAlignment="1">
      <alignment horizontal="center" vertical="center"/>
    </xf>
    <xf numFmtId="0" fontId="122" fillId="3" borderId="4" xfId="0" applyFont="1" applyFill="1" applyBorder="1" applyAlignment="1">
      <alignment horizontal="center" vertical="center"/>
    </xf>
    <xf numFmtId="168" fontId="48" fillId="3" borderId="4" xfId="0" quotePrefix="1" applyNumberFormat="1" applyFont="1" applyFill="1" applyBorder="1" applyAlignment="1">
      <alignment horizontal="center" vertical="center" wrapText="1"/>
    </xf>
    <xf numFmtId="9" fontId="48" fillId="3" borderId="4" xfId="0" quotePrefix="1" applyNumberFormat="1" applyFont="1" applyFill="1" applyBorder="1" applyAlignment="1">
      <alignment horizontal="center" vertical="center" wrapText="1"/>
    </xf>
    <xf numFmtId="0" fontId="121" fillId="3" borderId="4" xfId="0" quotePrefix="1" applyFont="1" applyFill="1" applyBorder="1" applyAlignment="1">
      <alignment horizontal="center" vertical="center" wrapText="1"/>
    </xf>
    <xf numFmtId="0" fontId="48" fillId="3" borderId="4" xfId="0" quotePrefix="1" applyFont="1" applyFill="1" applyBorder="1" applyAlignment="1">
      <alignment vertical="center" wrapText="1"/>
    </xf>
    <xf numFmtId="0" fontId="48" fillId="2" borderId="0" xfId="0" applyFont="1" applyFill="1" applyAlignment="1">
      <alignment horizontal="center" vertical="center" wrapText="1"/>
    </xf>
    <xf numFmtId="0" fontId="48" fillId="0" borderId="4" xfId="0" applyFont="1" applyBorder="1" applyAlignment="1">
      <alignment horizontal="center" vertical="center" wrapText="1"/>
    </xf>
    <xf numFmtId="4" fontId="48" fillId="2" borderId="4" xfId="0" applyNumberFormat="1" applyFont="1" applyFill="1" applyBorder="1" applyAlignment="1">
      <alignment vertical="top" wrapText="1"/>
    </xf>
    <xf numFmtId="166" fontId="45" fillId="0" borderId="0" xfId="0" applyNumberFormat="1" applyFont="1" applyAlignment="1">
      <alignment vertical="center"/>
    </xf>
    <xf numFmtId="0" fontId="45" fillId="0" borderId="0" xfId="0" applyFont="1" applyAlignment="1">
      <alignment vertical="center"/>
    </xf>
    <xf numFmtId="0" fontId="48" fillId="2" borderId="4" xfId="0" applyFont="1" applyFill="1" applyBorder="1" applyAlignment="1">
      <alignment horizontal="center" vertical="center"/>
    </xf>
    <xf numFmtId="0" fontId="48" fillId="0" borderId="0" xfId="0" applyFont="1" applyAlignment="1">
      <alignment horizontal="left" vertical="top" wrapText="1"/>
    </xf>
    <xf numFmtId="166" fontId="48" fillId="0" borderId="0" xfId="0" applyNumberFormat="1" applyFont="1" applyAlignment="1">
      <alignment horizontal="center" vertical="center"/>
    </xf>
    <xf numFmtId="0" fontId="48" fillId="0" borderId="4" xfId="0" applyFont="1" applyBorder="1" applyAlignment="1">
      <alignment vertical="top" wrapText="1"/>
    </xf>
    <xf numFmtId="0" fontId="48" fillId="0" borderId="4" xfId="0" applyFont="1" applyBorder="1" applyAlignment="1">
      <alignment horizontal="center" vertical="center"/>
    </xf>
    <xf numFmtId="166" fontId="45" fillId="0" borderId="0" xfId="0" applyNumberFormat="1" applyFont="1" applyAlignment="1">
      <alignment horizontal="center" vertical="center"/>
    </xf>
    <xf numFmtId="0" fontId="45" fillId="0" borderId="0" xfId="0" applyFont="1" applyAlignment="1">
      <alignment horizontal="center" vertical="center"/>
    </xf>
    <xf numFmtId="0" fontId="48" fillId="0" borderId="70" xfId="0" applyFont="1" applyBorder="1" applyAlignment="1">
      <alignment horizontal="center" vertical="center"/>
    </xf>
    <xf numFmtId="0" fontId="48" fillId="3" borderId="21" xfId="0" applyFont="1" applyFill="1" applyBorder="1" applyAlignment="1">
      <alignment horizontal="center" vertical="center"/>
    </xf>
    <xf numFmtId="0" fontId="48" fillId="3" borderId="21" xfId="0" quotePrefix="1" applyFont="1" applyFill="1" applyBorder="1" applyAlignment="1">
      <alignment horizontal="center" vertical="center"/>
    </xf>
    <xf numFmtId="0" fontId="48" fillId="0" borderId="0" xfId="0" applyFont="1" applyAlignment="1">
      <alignment horizontal="left" vertical="top"/>
    </xf>
    <xf numFmtId="166" fontId="48" fillId="0" borderId="0" xfId="0" applyNumberFormat="1" applyFont="1"/>
    <xf numFmtId="0" fontId="48" fillId="2" borderId="0" xfId="0" applyFont="1" applyFill="1"/>
    <xf numFmtId="0" fontId="48" fillId="2" borderId="0" xfId="0" applyFont="1" applyFill="1" applyAlignment="1">
      <alignment horizontal="left" vertical="top" wrapText="1"/>
    </xf>
    <xf numFmtId="0" fontId="48" fillId="0" borderId="20" xfId="0" applyFont="1" applyBorder="1" applyAlignment="1">
      <alignment vertical="center" wrapText="1"/>
    </xf>
    <xf numFmtId="0" fontId="48" fillId="3" borderId="45" xfId="0" applyFont="1" applyFill="1" applyBorder="1" applyAlignment="1">
      <alignment vertical="center"/>
    </xf>
    <xf numFmtId="0" fontId="48" fillId="0" borderId="20" xfId="0" applyFont="1" applyBorder="1" applyAlignment="1">
      <alignment horizontal="center" vertical="center"/>
    </xf>
    <xf numFmtId="0" fontId="121" fillId="3" borderId="4" xfId="0" quotePrefix="1" applyFont="1" applyFill="1" applyBorder="1" applyAlignment="1">
      <alignment horizontal="left" vertical="center" wrapText="1"/>
    </xf>
    <xf numFmtId="14" fontId="48" fillId="3" borderId="4" xfId="0" quotePrefix="1" applyNumberFormat="1" applyFont="1" applyFill="1" applyBorder="1" applyAlignment="1">
      <alignment horizontal="center" vertical="center" wrapText="1"/>
    </xf>
    <xf numFmtId="9" fontId="48" fillId="3" borderId="4" xfId="1" applyNumberFormat="1" applyFont="1" applyFill="1" applyBorder="1" applyAlignment="1">
      <alignment horizontal="center" vertical="center" wrapText="1"/>
    </xf>
    <xf numFmtId="4" fontId="48" fillId="3" borderId="4" xfId="1" applyNumberFormat="1" applyFont="1" applyFill="1" applyBorder="1" applyAlignment="1">
      <alignment horizontal="center" vertical="center" wrapText="1"/>
    </xf>
    <xf numFmtId="15" fontId="48" fillId="3" borderId="4" xfId="0" quotePrefix="1" applyNumberFormat="1" applyFont="1" applyFill="1" applyBorder="1" applyAlignment="1">
      <alignment horizontal="center" vertical="center" wrapText="1"/>
    </xf>
    <xf numFmtId="0" fontId="45" fillId="2" borderId="6" xfId="0" applyFont="1" applyFill="1" applyBorder="1" applyAlignment="1">
      <alignment horizontal="center" vertical="center" wrapText="1"/>
    </xf>
    <xf numFmtId="0" fontId="48" fillId="8" borderId="6" xfId="0" quotePrefix="1" applyFont="1" applyFill="1" applyBorder="1" applyAlignment="1">
      <alignment horizontal="center" vertical="center" wrapText="1"/>
    </xf>
    <xf numFmtId="0" fontId="45" fillId="8" borderId="6" xfId="0" applyFont="1" applyFill="1" applyBorder="1" applyAlignment="1">
      <alignment horizontal="left" vertical="center" wrapText="1"/>
    </xf>
    <xf numFmtId="9" fontId="48" fillId="8" borderId="6" xfId="0" quotePrefix="1" applyNumberFormat="1" applyFont="1" applyFill="1" applyBorder="1" applyAlignment="1">
      <alignment horizontal="center" vertical="center" wrapText="1"/>
    </xf>
    <xf numFmtId="0" fontId="48" fillId="8" borderId="10" xfId="0" quotePrefix="1" applyFont="1" applyFill="1" applyBorder="1" applyAlignment="1">
      <alignment horizontal="left" vertical="center" wrapText="1"/>
    </xf>
    <xf numFmtId="168" fontId="48" fillId="8" borderId="6" xfId="0" quotePrefix="1" applyNumberFormat="1" applyFont="1" applyFill="1" applyBorder="1" applyAlignment="1">
      <alignment horizontal="center" vertical="center" wrapText="1"/>
    </xf>
    <xf numFmtId="0" fontId="121" fillId="8" borderId="6" xfId="0" quotePrefix="1" applyFont="1" applyFill="1" applyBorder="1" applyAlignment="1">
      <alignment horizontal="center" vertical="center" wrapText="1"/>
    </xf>
    <xf numFmtId="0" fontId="45" fillId="8" borderId="6" xfId="0" quotePrefix="1" applyFont="1" applyFill="1" applyBorder="1" applyAlignment="1">
      <alignment horizontal="center" vertical="center" wrapText="1"/>
    </xf>
    <xf numFmtId="0" fontId="48" fillId="8" borderId="21" xfId="0" applyFont="1" applyFill="1" applyBorder="1" applyAlignment="1">
      <alignment horizontal="center" vertical="center"/>
    </xf>
    <xf numFmtId="0" fontId="48" fillId="8" borderId="21" xfId="0" quotePrefix="1" applyFont="1" applyFill="1" applyBorder="1" applyAlignment="1">
      <alignment horizontal="center" vertical="center"/>
    </xf>
    <xf numFmtId="0" fontId="4" fillId="7" borderId="6" xfId="0" applyFont="1" applyFill="1" applyBorder="1" applyAlignment="1">
      <alignment horizontal="center" vertical="center" wrapText="1"/>
    </xf>
    <xf numFmtId="0" fontId="14" fillId="7" borderId="6" xfId="0" quotePrefix="1" applyFont="1" applyFill="1" applyBorder="1" applyAlignment="1">
      <alignment horizontal="left" vertical="center" wrapText="1"/>
    </xf>
    <xf numFmtId="14" fontId="4" fillId="7" borderId="6" xfId="0" quotePrefix="1" applyNumberFormat="1" applyFont="1" applyFill="1" applyBorder="1" applyAlignment="1">
      <alignment horizontal="center" vertical="center" wrapText="1"/>
    </xf>
    <xf numFmtId="9" fontId="4" fillId="7" borderId="6" xfId="1" applyNumberFormat="1" applyFont="1" applyFill="1" applyBorder="1" applyAlignment="1">
      <alignment horizontal="center" vertical="center" wrapText="1"/>
    </xf>
    <xf numFmtId="0" fontId="4" fillId="7" borderId="6" xfId="1" applyNumberFormat="1" applyFont="1" applyFill="1" applyBorder="1" applyAlignment="1">
      <alignment horizontal="center" vertical="center" wrapText="1"/>
    </xf>
    <xf numFmtId="15" fontId="4" fillId="7" borderId="6" xfId="0" quotePrefix="1" applyNumberFormat="1" applyFont="1" applyFill="1" applyBorder="1" applyAlignment="1">
      <alignment horizontal="center" vertical="center" wrapText="1"/>
    </xf>
    <xf numFmtId="15" fontId="4" fillId="7" borderId="6" xfId="0" quotePrefix="1" applyNumberFormat="1" applyFont="1" applyFill="1" applyBorder="1" applyAlignment="1">
      <alignment horizontal="left" vertical="top" wrapText="1"/>
    </xf>
    <xf numFmtId="15" fontId="4" fillId="7" borderId="35" xfId="0" quotePrefix="1" applyNumberFormat="1" applyFont="1" applyFill="1" applyBorder="1" applyAlignment="1">
      <alignment horizontal="left" vertical="top" wrapText="1"/>
    </xf>
    <xf numFmtId="15" fontId="4" fillId="7" borderId="10" xfId="0" quotePrefix="1" applyNumberFormat="1" applyFont="1" applyFill="1" applyBorder="1" applyAlignment="1">
      <alignment horizontal="left" vertical="center" wrapText="1"/>
    </xf>
    <xf numFmtId="0" fontId="5" fillId="2" borderId="0" xfId="0" applyFont="1" applyFill="1" applyAlignment="1">
      <alignment horizontal="left" vertical="center" wrapText="1"/>
    </xf>
    <xf numFmtId="0" fontId="48" fillId="2" borderId="7" xfId="0" applyFont="1" applyFill="1" applyBorder="1" applyAlignment="1">
      <alignment horizontal="center" vertical="center" wrapText="1"/>
    </xf>
    <xf numFmtId="0" fontId="121" fillId="3" borderId="6" xfId="0" quotePrefix="1" applyFont="1" applyFill="1" applyBorder="1" applyAlignment="1">
      <alignment horizontal="center" vertical="center" wrapText="1"/>
    </xf>
    <xf numFmtId="0" fontId="45" fillId="3" borderId="6" xfId="0" quotePrefix="1" applyFont="1" applyFill="1" applyBorder="1" applyAlignment="1">
      <alignment horizontal="left" vertical="center" wrapText="1"/>
    </xf>
    <xf numFmtId="0" fontId="45" fillId="3" borderId="6" xfId="0" quotePrefix="1" applyFont="1" applyFill="1" applyBorder="1" applyAlignment="1">
      <alignment horizontal="center" vertical="center" wrapText="1"/>
    </xf>
    <xf numFmtId="0" fontId="48" fillId="3" borderId="6" xfId="0" quotePrefix="1" applyFont="1" applyFill="1" applyBorder="1" applyAlignment="1">
      <alignment horizontal="center" vertical="center" wrapText="1"/>
    </xf>
    <xf numFmtId="168" fontId="48" fillId="3" borderId="6" xfId="0" quotePrefix="1" applyNumberFormat="1" applyFont="1" applyFill="1" applyBorder="1" applyAlignment="1">
      <alignment horizontal="center" vertical="center" wrapText="1"/>
    </xf>
    <xf numFmtId="9" fontId="48" fillId="3" borderId="6" xfId="0" quotePrefix="1" applyNumberFormat="1" applyFont="1" applyFill="1" applyBorder="1" applyAlignment="1">
      <alignment horizontal="center" vertical="center" wrapText="1"/>
    </xf>
    <xf numFmtId="0" fontId="48" fillId="3" borderId="10" xfId="0" quotePrefix="1" applyFont="1" applyFill="1" applyBorder="1" applyAlignment="1">
      <alignment horizontal="left" vertical="center" wrapText="1"/>
    </xf>
    <xf numFmtId="0" fontId="48" fillId="3" borderId="11" xfId="0" quotePrefix="1" applyFont="1" applyFill="1" applyBorder="1" applyAlignment="1">
      <alignment vertical="center" wrapText="1"/>
    </xf>
    <xf numFmtId="0" fontId="122" fillId="8" borderId="6" xfId="0" applyFont="1" applyFill="1" applyBorder="1" applyAlignment="1">
      <alignment horizontal="left" vertical="center" wrapText="1"/>
    </xf>
    <xf numFmtId="0" fontId="48" fillId="8" borderId="26" xfId="0" quotePrefix="1" applyFont="1" applyFill="1" applyBorder="1" applyAlignment="1">
      <alignment horizontal="left" vertical="center" wrapText="1"/>
    </xf>
    <xf numFmtId="22" fontId="48" fillId="8" borderId="6" xfId="0" quotePrefix="1" applyNumberFormat="1" applyFont="1" applyFill="1" applyBorder="1" applyAlignment="1">
      <alignment horizontal="center" vertical="center" wrapText="1"/>
    </xf>
    <xf numFmtId="0" fontId="48" fillId="8" borderId="35" xfId="0" quotePrefix="1" applyFont="1" applyFill="1" applyBorder="1" applyAlignment="1">
      <alignment horizontal="center" vertical="center" wrapText="1"/>
    </xf>
    <xf numFmtId="22" fontId="48" fillId="8" borderId="21" xfId="0" quotePrefix="1" applyNumberFormat="1" applyFont="1" applyFill="1" applyBorder="1" applyAlignment="1">
      <alignment horizontal="center" vertical="center" wrapText="1"/>
    </xf>
    <xf numFmtId="0" fontId="48" fillId="8" borderId="4" xfId="0" applyFont="1" applyFill="1" applyBorder="1" applyAlignment="1">
      <alignment horizontal="center" vertical="center" wrapText="1"/>
    </xf>
    <xf numFmtId="0" fontId="121" fillId="8" borderId="4" xfId="0" quotePrefix="1" applyFont="1" applyFill="1" applyBorder="1" applyAlignment="1">
      <alignment horizontal="left" vertical="center" wrapText="1"/>
    </xf>
    <xf numFmtId="14" fontId="48" fillId="8" borderId="4" xfId="0" quotePrefix="1" applyNumberFormat="1" applyFont="1" applyFill="1" applyBorder="1" applyAlignment="1">
      <alignment horizontal="center" vertical="center" wrapText="1"/>
    </xf>
    <xf numFmtId="166" fontId="48" fillId="8" borderId="4" xfId="2" applyNumberFormat="1" applyFont="1" applyFill="1" applyBorder="1" applyAlignment="1">
      <alignment horizontal="center" vertical="center" wrapText="1"/>
    </xf>
    <xf numFmtId="9" fontId="48" fillId="8" borderId="4" xfId="1" applyNumberFormat="1" applyFont="1" applyFill="1" applyBorder="1" applyAlignment="1">
      <alignment horizontal="center" vertical="center" wrapText="1"/>
    </xf>
    <xf numFmtId="0" fontId="48" fillId="8" borderId="4" xfId="1" applyNumberFormat="1" applyFont="1" applyFill="1" applyBorder="1" applyAlignment="1">
      <alignment horizontal="center" vertical="center" wrapText="1"/>
    </xf>
    <xf numFmtId="15" fontId="48" fillId="8" borderId="4" xfId="0" quotePrefix="1" applyNumberFormat="1" applyFont="1" applyFill="1" applyBorder="1" applyAlignment="1">
      <alignment horizontal="center" vertical="center" wrapText="1"/>
    </xf>
    <xf numFmtId="15" fontId="48" fillId="8" borderId="4" xfId="0" quotePrefix="1" applyNumberFormat="1" applyFont="1" applyFill="1" applyBorder="1" applyAlignment="1">
      <alignment horizontal="left" vertical="center" wrapText="1"/>
    </xf>
    <xf numFmtId="0" fontId="45" fillId="8" borderId="4" xfId="0" applyFont="1" applyFill="1" applyBorder="1" applyAlignment="1">
      <alignment horizontal="left" vertical="center" wrapText="1"/>
    </xf>
    <xf numFmtId="0" fontId="45" fillId="8" borderId="4" xfId="0" applyFont="1" applyFill="1" applyBorder="1" applyAlignment="1">
      <alignment horizontal="center" vertical="center" wrapText="1"/>
    </xf>
    <xf numFmtId="0" fontId="48" fillId="8" borderId="4" xfId="0" quotePrefix="1" applyFont="1" applyFill="1" applyBorder="1" applyAlignment="1">
      <alignment horizontal="center" vertical="center" wrapText="1"/>
    </xf>
    <xf numFmtId="9" fontId="45" fillId="8" borderId="4" xfId="0" applyNumberFormat="1" applyFont="1" applyFill="1" applyBorder="1" applyAlignment="1">
      <alignment horizontal="center" vertical="center"/>
    </xf>
    <xf numFmtId="0" fontId="45" fillId="8" borderId="4" xfId="0" applyFont="1" applyFill="1" applyBorder="1" applyAlignment="1">
      <alignment horizontal="center" vertical="center"/>
    </xf>
    <xf numFmtId="0" fontId="48" fillId="8" borderId="4" xfId="0" quotePrefix="1" applyFont="1" applyFill="1" applyBorder="1" applyAlignment="1">
      <alignment horizontal="left" vertical="center" wrapText="1"/>
    </xf>
    <xf numFmtId="0" fontId="48" fillId="8" borderId="9" xfId="0" quotePrefix="1" applyFont="1" applyFill="1" applyBorder="1" applyAlignment="1">
      <alignment horizontal="left" vertical="center" wrapText="1"/>
    </xf>
    <xf numFmtId="4" fontId="48" fillId="2" borderId="0" xfId="0" applyNumberFormat="1" applyFont="1" applyFill="1" applyAlignment="1">
      <alignment horizontal="center" vertical="center" wrapText="1"/>
    </xf>
    <xf numFmtId="4" fontId="48" fillId="2" borderId="0" xfId="0" applyNumberFormat="1" applyFont="1" applyFill="1" applyAlignment="1">
      <alignment vertical="top" wrapText="1"/>
    </xf>
    <xf numFmtId="0" fontId="45" fillId="8" borderId="4" xfId="0" quotePrefix="1" applyFont="1" applyFill="1" applyBorder="1" applyAlignment="1">
      <alignment horizontal="center" vertical="center" wrapText="1"/>
    </xf>
    <xf numFmtId="9" fontId="48" fillId="8" borderId="4" xfId="0" quotePrefix="1" applyNumberFormat="1" applyFont="1" applyFill="1" applyBorder="1" applyAlignment="1">
      <alignment horizontal="center" vertical="center" wrapText="1"/>
    </xf>
    <xf numFmtId="0" fontId="121" fillId="8" borderId="4" xfId="0" applyFont="1" applyFill="1" applyBorder="1" applyAlignment="1">
      <alignment horizontal="center" vertical="center" wrapText="1"/>
    </xf>
    <xf numFmtId="0" fontId="122" fillId="8" borderId="4" xfId="0" applyFont="1" applyFill="1" applyBorder="1" applyAlignment="1">
      <alignment horizontal="left" vertical="center" wrapText="1"/>
    </xf>
    <xf numFmtId="165" fontId="4" fillId="4" borderId="12" xfId="0" applyNumberFormat="1" applyFont="1" applyFill="1" applyBorder="1" applyAlignment="1">
      <alignment horizontal="center" vertical="center"/>
    </xf>
    <xf numFmtId="0" fontId="11" fillId="5" borderId="12" xfId="0" applyFont="1" applyFill="1" applyBorder="1" applyAlignment="1">
      <alignment horizontal="center" vertical="center" wrapText="1"/>
    </xf>
    <xf numFmtId="0" fontId="48" fillId="0" borderId="0" xfId="0" applyFont="1" applyAlignment="1">
      <alignment horizontal="center"/>
    </xf>
    <xf numFmtId="0" fontId="48" fillId="0" borderId="0" xfId="0" applyFont="1" applyAlignment="1">
      <alignment horizontal="center" wrapText="1"/>
    </xf>
    <xf numFmtId="0" fontId="48" fillId="0" borderId="5" xfId="0" applyFont="1" applyBorder="1" applyAlignment="1">
      <alignment horizontal="center"/>
    </xf>
    <xf numFmtId="0" fontId="12" fillId="0" borderId="0" xfId="0" quotePrefix="1" applyFont="1" applyAlignment="1">
      <alignment horizontal="center"/>
    </xf>
    <xf numFmtId="0" fontId="5" fillId="0" borderId="0" xfId="0" applyFont="1" applyAlignment="1">
      <alignment horizontal="center" vertical="center"/>
    </xf>
    <xf numFmtId="0" fontId="5" fillId="2" borderId="5" xfId="0" applyFont="1" applyFill="1" applyBorder="1" applyAlignment="1">
      <alignment horizontal="center" vertical="center" wrapText="1"/>
    </xf>
    <xf numFmtId="0" fontId="4" fillId="0" borderId="0" xfId="0" quotePrefix="1" applyFont="1" applyAlignment="1">
      <alignment horizontal="center" wrapText="1"/>
    </xf>
    <xf numFmtId="4" fontId="4" fillId="2" borderId="4" xfId="0" quotePrefix="1" applyNumberFormat="1" applyFont="1" applyFill="1" applyBorder="1" applyAlignment="1">
      <alignment horizontal="center" vertical="center" wrapText="1"/>
    </xf>
    <xf numFmtId="0" fontId="4" fillId="0" borderId="0" xfId="0" quotePrefix="1" applyFont="1" applyAlignment="1">
      <alignment horizontal="center" vertical="center" wrapText="1"/>
    </xf>
    <xf numFmtId="0" fontId="4" fillId="0" borderId="0" xfId="0" quotePrefix="1" applyFont="1" applyAlignment="1">
      <alignment horizontal="center" vertical="center"/>
    </xf>
    <xf numFmtId="0" fontId="2" fillId="0" borderId="0" xfId="0" quotePrefix="1" applyFont="1" applyAlignment="1">
      <alignment horizontal="center" vertical="center"/>
    </xf>
    <xf numFmtId="0" fontId="5" fillId="0" borderId="0" xfId="0" quotePrefix="1" applyFont="1" applyAlignment="1">
      <alignment horizontal="center" vertical="center"/>
    </xf>
    <xf numFmtId="0" fontId="12" fillId="0" borderId="0" xfId="0" applyFont="1" applyAlignment="1">
      <alignment horizontal="center"/>
    </xf>
    <xf numFmtId="0" fontId="7" fillId="2" borderId="14" xfId="0" quotePrefix="1"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7" fillId="8" borderId="5" xfId="0" quotePrefix="1" applyFont="1" applyFill="1" applyBorder="1" applyAlignment="1">
      <alignment horizontal="center" vertical="center" wrapText="1"/>
    </xf>
    <xf numFmtId="0" fontId="7" fillId="2" borderId="15" xfId="0" applyFont="1" applyFill="1" applyBorder="1" applyAlignment="1">
      <alignment horizontal="center" vertical="center" wrapText="1"/>
    </xf>
    <xf numFmtId="0" fontId="9" fillId="0" borderId="0" xfId="0" applyFont="1" applyAlignment="1">
      <alignment horizontal="center"/>
    </xf>
    <xf numFmtId="0" fontId="124" fillId="35" borderId="18" xfId="0" applyFont="1" applyFill="1" applyBorder="1" applyAlignment="1">
      <alignment horizontal="center" vertical="center" wrapText="1"/>
    </xf>
    <xf numFmtId="0" fontId="125" fillId="35" borderId="19" xfId="0" applyFont="1" applyFill="1" applyBorder="1" applyAlignment="1">
      <alignment horizontal="center" vertical="center"/>
    </xf>
    <xf numFmtId="0" fontId="124" fillId="0" borderId="27" xfId="0" applyFont="1" applyBorder="1" applyAlignment="1">
      <alignment horizontal="center" vertical="center"/>
    </xf>
    <xf numFmtId="0" fontId="124" fillId="0" borderId="0" xfId="0" applyFont="1"/>
    <xf numFmtId="0" fontId="124" fillId="0" borderId="64" xfId="0" applyFont="1" applyBorder="1" applyAlignment="1">
      <alignment horizontal="center" vertical="center" wrapText="1"/>
    </xf>
    <xf numFmtId="0" fontId="124" fillId="0" borderId="4" xfId="0" applyFont="1" applyBorder="1" applyAlignment="1">
      <alignment horizontal="center" vertical="center"/>
    </xf>
    <xf numFmtId="0" fontId="124" fillId="3" borderId="4" xfId="0" quotePrefix="1" applyFont="1" applyFill="1" applyBorder="1" applyAlignment="1">
      <alignment horizontal="left" vertical="center" wrapText="1"/>
    </xf>
    <xf numFmtId="0" fontId="126" fillId="2" borderId="4" xfId="4" quotePrefix="1" applyFont="1" applyFill="1" applyBorder="1" applyAlignment="1">
      <alignment horizontal="center" vertical="center" wrapText="1"/>
    </xf>
    <xf numFmtId="0" fontId="124" fillId="2" borderId="4" xfId="0" applyFont="1" applyFill="1" applyBorder="1" applyAlignment="1">
      <alignment horizontal="center" vertical="center"/>
    </xf>
    <xf numFmtId="0" fontId="124" fillId="0" borderId="9" xfId="0" quotePrefix="1" applyFont="1" applyBorder="1" applyAlignment="1">
      <alignment horizontal="center" vertical="center"/>
    </xf>
    <xf numFmtId="0" fontId="124" fillId="0" borderId="24" xfId="0" applyFont="1" applyBorder="1" applyAlignment="1">
      <alignment horizontal="center" vertical="center"/>
    </xf>
    <xf numFmtId="0" fontId="124" fillId="0" borderId="3" xfId="0" applyFont="1" applyBorder="1" applyAlignment="1">
      <alignment horizontal="center" vertical="center" wrapText="1"/>
    </xf>
    <xf numFmtId="0" fontId="124" fillId="7" borderId="4" xfId="0" quotePrefix="1" applyFont="1" applyFill="1" applyBorder="1" applyAlignment="1">
      <alignment horizontal="left" vertical="center" wrapText="1"/>
    </xf>
    <xf numFmtId="0" fontId="126" fillId="2" borderId="4" xfId="4" applyFont="1" applyFill="1" applyBorder="1" applyAlignment="1">
      <alignment horizontal="center" vertical="center"/>
    </xf>
    <xf numFmtId="0" fontId="124" fillId="7" borderId="24" xfId="0" quotePrefix="1" applyFont="1" applyFill="1" applyBorder="1" applyAlignment="1">
      <alignment horizontal="left" vertical="center" wrapText="1"/>
    </xf>
    <xf numFmtId="0" fontId="127" fillId="2" borderId="24" xfId="4" applyFont="1" applyFill="1" applyBorder="1" applyAlignment="1">
      <alignment horizontal="center" vertical="center" wrapText="1"/>
    </xf>
    <xf numFmtId="22" fontId="124" fillId="2" borderId="9" xfId="0" quotePrefix="1" applyNumberFormat="1" applyFont="1" applyFill="1" applyBorder="1" applyAlignment="1">
      <alignment horizontal="center" vertical="center"/>
    </xf>
    <xf numFmtId="0" fontId="124" fillId="0" borderId="68" xfId="0" applyFont="1" applyBorder="1" applyAlignment="1">
      <alignment horizontal="center" vertical="center" wrapText="1"/>
    </xf>
    <xf numFmtId="0" fontId="128" fillId="3" borderId="66" xfId="0" applyFont="1" applyFill="1" applyBorder="1" applyAlignment="1">
      <alignment horizontal="left" vertical="center" wrapText="1"/>
    </xf>
    <xf numFmtId="0" fontId="127" fillId="2" borderId="66" xfId="4" quotePrefix="1" applyFont="1" applyFill="1" applyBorder="1" applyAlignment="1">
      <alignment horizontal="center" vertical="center" wrapText="1"/>
    </xf>
    <xf numFmtId="0" fontId="128" fillId="0" borderId="66" xfId="0" applyFont="1" applyBorder="1" applyAlignment="1">
      <alignment horizontal="center" vertical="center"/>
    </xf>
    <xf numFmtId="22" fontId="124" fillId="0" borderId="67" xfId="0" quotePrefix="1" applyNumberFormat="1" applyFont="1" applyBorder="1" applyAlignment="1">
      <alignment horizontal="center" vertical="center"/>
    </xf>
    <xf numFmtId="0" fontId="128" fillId="3" borderId="4" xfId="0" applyFont="1" applyFill="1" applyBorder="1" applyAlignment="1">
      <alignment horizontal="left" vertical="center" wrapText="1"/>
    </xf>
    <xf numFmtId="0" fontId="127" fillId="2" borderId="4" xfId="4" applyFont="1" applyFill="1" applyBorder="1" applyAlignment="1">
      <alignment horizontal="center" vertical="center"/>
    </xf>
    <xf numFmtId="0" fontId="124" fillId="0" borderId="4" xfId="0" quotePrefix="1" applyFont="1" applyBorder="1" applyAlignment="1">
      <alignment horizontal="center" vertical="center"/>
    </xf>
    <xf numFmtId="0" fontId="127" fillId="2" borderId="25" xfId="4" quotePrefix="1" applyFont="1" applyFill="1" applyBorder="1" applyAlignment="1">
      <alignment horizontal="center" vertical="center" wrapText="1"/>
    </xf>
    <xf numFmtId="0" fontId="128" fillId="0" borderId="25" xfId="0" applyFont="1" applyBorder="1" applyAlignment="1">
      <alignment horizontal="center" vertical="center"/>
    </xf>
    <xf numFmtId="0" fontId="124" fillId="0" borderId="10" xfId="0" quotePrefix="1" applyFont="1" applyBorder="1" applyAlignment="1">
      <alignment horizontal="center" vertical="center"/>
    </xf>
    <xf numFmtId="0" fontId="124" fillId="0" borderId="0" xfId="0" applyFont="1" applyAlignment="1">
      <alignment horizontal="center" vertical="center" wrapText="1"/>
    </xf>
    <xf numFmtId="0" fontId="124" fillId="3" borderId="0" xfId="0" quotePrefix="1" applyFont="1" applyFill="1" applyAlignment="1">
      <alignment horizontal="left" vertical="center" wrapText="1"/>
    </xf>
    <xf numFmtId="0" fontId="127" fillId="2" borderId="0" xfId="4" applyFont="1" applyFill="1" applyBorder="1" applyAlignment="1">
      <alignment horizontal="center" vertical="center" wrapText="1"/>
    </xf>
    <xf numFmtId="0" fontId="124" fillId="0" borderId="0" xfId="0" applyFont="1" applyAlignment="1">
      <alignment horizontal="center" vertical="center"/>
    </xf>
    <xf numFmtId="22" fontId="124" fillId="2" borderId="0" xfId="0" quotePrefix="1" applyNumberFormat="1" applyFont="1" applyFill="1" applyAlignment="1">
      <alignment horizontal="center" vertical="center"/>
    </xf>
    <xf numFmtId="0" fontId="127" fillId="2" borderId="4" xfId="4" quotePrefix="1" applyFont="1" applyFill="1" applyBorder="1" applyAlignment="1">
      <alignment horizontal="center" vertical="center" wrapText="1"/>
    </xf>
    <xf numFmtId="0" fontId="128" fillId="0" borderId="4" xfId="0" applyFont="1" applyBorder="1" applyAlignment="1">
      <alignment horizontal="center" vertical="center"/>
    </xf>
    <xf numFmtId="22" fontId="124" fillId="0" borderId="4" xfId="0" quotePrefix="1" applyNumberFormat="1" applyFont="1" applyBorder="1" applyAlignment="1">
      <alignment horizontal="center" vertical="center"/>
    </xf>
    <xf numFmtId="16" fontId="124" fillId="0" borderId="1" xfId="0" applyNumberFormat="1" applyFont="1" applyBorder="1" applyAlignment="1">
      <alignment horizontal="center" vertical="center" wrapText="1"/>
    </xf>
    <xf numFmtId="0" fontId="128" fillId="7" borderId="66" xfId="0" applyFont="1" applyFill="1" applyBorder="1" applyAlignment="1">
      <alignment horizontal="left" vertical="center" wrapText="1"/>
    </xf>
    <xf numFmtId="0" fontId="124" fillId="0" borderId="65" xfId="0" applyFont="1" applyBorder="1" applyAlignment="1">
      <alignment horizontal="center" vertical="center" wrapText="1"/>
    </xf>
    <xf numFmtId="0" fontId="124" fillId="43" borderId="4" xfId="0" quotePrefix="1" applyFont="1" applyFill="1" applyBorder="1" applyAlignment="1">
      <alignment horizontal="left" vertical="center" wrapText="1"/>
    </xf>
    <xf numFmtId="0" fontId="124" fillId="0" borderId="4" xfId="0" applyFont="1" applyBorder="1" applyAlignment="1">
      <alignment horizontal="center" vertical="center" wrapText="1"/>
    </xf>
    <xf numFmtId="0" fontId="127" fillId="2" borderId="4" xfId="4" applyFont="1" applyFill="1" applyBorder="1" applyAlignment="1">
      <alignment horizontal="center" vertical="center" wrapText="1"/>
    </xf>
    <xf numFmtId="22" fontId="124" fillId="2" borderId="4" xfId="0" quotePrefix="1" applyNumberFormat="1" applyFont="1" applyFill="1" applyBorder="1" applyAlignment="1">
      <alignment horizontal="center" vertical="center"/>
    </xf>
    <xf numFmtId="0" fontId="128" fillId="8" borderId="4" xfId="0" applyFont="1" applyFill="1" applyBorder="1" applyAlignment="1">
      <alignment horizontal="left" vertical="center" wrapText="1"/>
    </xf>
    <xf numFmtId="0" fontId="124" fillId="8" borderId="4" xfId="0" quotePrefix="1" applyFont="1" applyFill="1" applyBorder="1" applyAlignment="1">
      <alignment horizontal="left" vertical="center" wrapText="1"/>
    </xf>
    <xf numFmtId="0" fontId="129" fillId="0" borderId="4" xfId="0" applyFont="1" applyBorder="1"/>
    <xf numFmtId="0" fontId="124" fillId="8" borderId="4" xfId="0" applyFont="1" applyFill="1" applyBorder="1" applyAlignment="1">
      <alignment horizontal="left" vertical="center"/>
    </xf>
    <xf numFmtId="0" fontId="127" fillId="0" borderId="4" xfId="4" applyFont="1" applyBorder="1" applyAlignment="1">
      <alignment horizontal="center" vertical="center"/>
    </xf>
    <xf numFmtId="0" fontId="129" fillId="0" borderId="4" xfId="0" applyFont="1" applyBorder="1" applyAlignment="1">
      <alignment horizontal="center" vertical="center"/>
    </xf>
    <xf numFmtId="0" fontId="129" fillId="0" borderId="0" xfId="0" applyFont="1"/>
    <xf numFmtId="0" fontId="124" fillId="4" borderId="64" xfId="0" applyFont="1" applyFill="1" applyBorder="1" applyAlignment="1">
      <alignment horizontal="center" vertical="center" wrapText="1"/>
    </xf>
    <xf numFmtId="0" fontId="124" fillId="4" borderId="24" xfId="0" applyFont="1" applyFill="1" applyBorder="1" applyAlignment="1">
      <alignment horizontal="center" vertical="center"/>
    </xf>
    <xf numFmtId="0" fontId="124" fillId="4" borderId="25" xfId="0" applyFont="1" applyFill="1" applyBorder="1" applyAlignment="1">
      <alignment horizontal="left" vertical="center"/>
    </xf>
    <xf numFmtId="0" fontId="126" fillId="4" borderId="25" xfId="4" applyFont="1" applyFill="1" applyBorder="1" applyAlignment="1">
      <alignment horizontal="center" vertical="center"/>
    </xf>
    <xf numFmtId="0" fontId="124" fillId="4" borderId="25" xfId="0" applyFont="1" applyFill="1" applyBorder="1" applyAlignment="1">
      <alignment horizontal="center" vertical="center"/>
    </xf>
    <xf numFmtId="0" fontId="124" fillId="4" borderId="32" xfId="0" applyFont="1" applyFill="1" applyBorder="1" applyAlignment="1">
      <alignment horizontal="center" vertical="center"/>
    </xf>
    <xf numFmtId="0" fontId="124" fillId="4" borderId="0" xfId="0" applyFont="1" applyFill="1"/>
    <xf numFmtId="0" fontId="124" fillId="0" borderId="47" xfId="0" applyFont="1" applyBorder="1" applyAlignment="1">
      <alignment horizontal="center" vertical="center" wrapText="1"/>
    </xf>
    <xf numFmtId="0" fontId="128" fillId="3" borderId="24" xfId="0" applyFont="1" applyFill="1" applyBorder="1" applyAlignment="1">
      <alignment horizontal="left" vertical="center" wrapText="1"/>
    </xf>
    <xf numFmtId="0" fontId="127" fillId="2" borderId="24" xfId="4" applyFont="1" applyFill="1" applyBorder="1" applyAlignment="1">
      <alignment horizontal="center" vertical="center"/>
    </xf>
    <xf numFmtId="0" fontId="124" fillId="2" borderId="24" xfId="0" applyFont="1" applyFill="1" applyBorder="1" applyAlignment="1">
      <alignment horizontal="center" vertical="center"/>
    </xf>
    <xf numFmtId="0" fontId="124" fillId="0" borderId="34" xfId="0" quotePrefix="1" applyFont="1" applyBorder="1" applyAlignment="1">
      <alignment horizontal="center" vertical="center"/>
    </xf>
    <xf numFmtId="0" fontId="124" fillId="0" borderId="20" xfId="0" applyFont="1" applyBorder="1" applyAlignment="1">
      <alignment horizontal="center" vertical="center" wrapText="1"/>
    </xf>
    <xf numFmtId="0" fontId="124" fillId="0" borderId="21" xfId="0" applyFont="1" applyBorder="1" applyAlignment="1">
      <alignment horizontal="center" vertical="center"/>
    </xf>
    <xf numFmtId="0" fontId="128" fillId="8" borderId="21" xfId="0" applyFont="1" applyFill="1" applyBorder="1" applyAlignment="1">
      <alignment horizontal="left" vertical="center" wrapText="1"/>
    </xf>
    <xf numFmtId="0" fontId="127" fillId="2" borderId="21" xfId="4" applyFont="1" applyFill="1" applyBorder="1" applyAlignment="1">
      <alignment horizontal="center" vertical="center"/>
    </xf>
    <xf numFmtId="0" fontId="124" fillId="2" borderId="21" xfId="0" applyFont="1" applyFill="1" applyBorder="1" applyAlignment="1">
      <alignment horizontal="center" vertical="center"/>
    </xf>
    <xf numFmtId="0" fontId="124" fillId="0" borderId="29" xfId="0" quotePrefix="1" applyFont="1" applyBorder="1" applyAlignment="1">
      <alignment horizontal="center" vertical="center"/>
    </xf>
    <xf numFmtId="0" fontId="128" fillId="7" borderId="24" xfId="0" applyFont="1" applyFill="1" applyBorder="1" applyAlignment="1">
      <alignment horizontal="left" vertical="center" wrapText="1"/>
    </xf>
    <xf numFmtId="0" fontId="124" fillId="0" borderId="7" xfId="0" applyFont="1" applyBorder="1" applyAlignment="1">
      <alignment horizontal="center" vertical="center" wrapText="1"/>
    </xf>
    <xf numFmtId="0" fontId="124" fillId="0" borderId="11" xfId="0" quotePrefix="1" applyFont="1" applyBorder="1" applyAlignment="1">
      <alignment horizontal="center" vertical="center"/>
    </xf>
    <xf numFmtId="0" fontId="124" fillId="0" borderId="66" xfId="0" applyFont="1" applyBorder="1" applyAlignment="1">
      <alignment horizontal="center" vertical="center"/>
    </xf>
    <xf numFmtId="0" fontId="128" fillId="8" borderId="66" xfId="0" applyFont="1" applyFill="1" applyBorder="1" applyAlignment="1">
      <alignment horizontal="left" vertical="center" wrapText="1"/>
    </xf>
    <xf numFmtId="0" fontId="124" fillId="0" borderId="0" xfId="0" applyFont="1" applyAlignment="1">
      <alignment wrapText="1"/>
    </xf>
    <xf numFmtId="0" fontId="124" fillId="0" borderId="1" xfId="0" applyFont="1" applyBorder="1" applyAlignment="1">
      <alignment horizontal="center" vertical="center" wrapText="1"/>
    </xf>
    <xf numFmtId="0" fontId="124" fillId="0" borderId="2" xfId="0" applyFont="1" applyBorder="1" applyAlignment="1">
      <alignment horizontal="center" vertical="center"/>
    </xf>
    <xf numFmtId="0" fontId="128" fillId="8" borderId="2" xfId="0" applyFont="1" applyFill="1" applyBorder="1" applyAlignment="1">
      <alignment horizontal="left" vertical="center" wrapText="1"/>
    </xf>
    <xf numFmtId="0" fontId="126" fillId="2" borderId="2" xfId="4" quotePrefix="1" applyFont="1" applyFill="1" applyBorder="1" applyAlignment="1">
      <alignment horizontal="center" vertical="center" wrapText="1"/>
    </xf>
    <xf numFmtId="0" fontId="128" fillId="0" borderId="2" xfId="0" applyFont="1" applyBorder="1" applyAlignment="1">
      <alignment horizontal="center" vertical="center"/>
    </xf>
    <xf numFmtId="0" fontId="124" fillId="0" borderId="8" xfId="0" quotePrefix="1" applyFont="1" applyBorder="1" applyAlignment="1">
      <alignment horizontal="center" vertical="center"/>
    </xf>
    <xf numFmtId="0" fontId="128" fillId="43" borderId="24" xfId="0" applyFont="1" applyFill="1" applyBorder="1" applyAlignment="1">
      <alignment horizontal="left" vertical="center" wrapText="1"/>
    </xf>
    <xf numFmtId="0" fontId="127" fillId="2" borderId="24" xfId="4" quotePrefix="1" applyFont="1" applyFill="1" applyBorder="1" applyAlignment="1">
      <alignment horizontal="center" vertical="center" wrapText="1"/>
    </xf>
    <xf numFmtId="0" fontId="128" fillId="0" borderId="24" xfId="0" applyFont="1" applyBorder="1" applyAlignment="1">
      <alignment horizontal="center" vertical="center"/>
    </xf>
    <xf numFmtId="0" fontId="124" fillId="0" borderId="30" xfId="0" quotePrefix="1" applyFont="1" applyBorder="1" applyAlignment="1">
      <alignment horizontal="center" vertical="center"/>
    </xf>
    <xf numFmtId="17" fontId="124" fillId="0" borderId="7" xfId="0" quotePrefix="1" applyNumberFormat="1" applyFont="1" applyBorder="1" applyAlignment="1">
      <alignment horizontal="center" vertical="center" wrapText="1"/>
    </xf>
    <xf numFmtId="0" fontId="128" fillId="41" borderId="24" xfId="0" applyFont="1" applyFill="1" applyBorder="1" applyAlignment="1">
      <alignment horizontal="left" vertical="center" wrapText="1"/>
    </xf>
    <xf numFmtId="0" fontId="130" fillId="2" borderId="24" xfId="4" quotePrefix="1" applyFont="1" applyFill="1" applyBorder="1" applyAlignment="1">
      <alignment horizontal="center" vertical="center" wrapText="1"/>
    </xf>
    <xf numFmtId="0" fontId="128" fillId="0" borderId="24" xfId="0" applyFont="1" applyBorder="1" applyAlignment="1">
      <alignment horizontal="center" vertical="center" wrapText="1"/>
    </xf>
    <xf numFmtId="0" fontId="124" fillId="0" borderId="9" xfId="0" applyFont="1" applyBorder="1" applyAlignment="1">
      <alignment horizontal="center" vertical="center"/>
    </xf>
    <xf numFmtId="22" fontId="124" fillId="0" borderId="0" xfId="0" quotePrefix="1" applyNumberFormat="1" applyFont="1"/>
    <xf numFmtId="0" fontId="128" fillId="41" borderId="4" xfId="0" applyFont="1" applyFill="1" applyBorder="1" applyAlignment="1">
      <alignment horizontal="left" vertical="center" wrapText="1"/>
    </xf>
    <xf numFmtId="0" fontId="128" fillId="0" borderId="4" xfId="0" applyFont="1" applyBorder="1" applyAlignment="1">
      <alignment horizontal="center" vertical="center" wrapText="1"/>
    </xf>
    <xf numFmtId="0" fontId="131" fillId="2" borderId="4" xfId="4" quotePrefix="1" applyFont="1" applyFill="1" applyBorder="1" applyAlignment="1">
      <alignment horizontal="center" vertical="center" wrapText="1"/>
    </xf>
    <xf numFmtId="0" fontId="128" fillId="41" borderId="21" xfId="0" applyFont="1" applyFill="1" applyBorder="1" applyAlignment="1">
      <alignment horizontal="left" vertical="center" wrapText="1"/>
    </xf>
    <xf numFmtId="0" fontId="128" fillId="0" borderId="21" xfId="0" applyFont="1" applyBorder="1" applyAlignment="1">
      <alignment horizontal="center" vertical="center" wrapText="1"/>
    </xf>
    <xf numFmtId="22" fontId="124" fillId="0" borderId="9" xfId="0" quotePrefix="1" applyNumberFormat="1" applyFont="1" applyBorder="1" applyAlignment="1">
      <alignment horizontal="center" vertical="center"/>
    </xf>
    <xf numFmtId="0" fontId="124" fillId="3" borderId="24" xfId="0" quotePrefix="1" applyFont="1" applyFill="1" applyBorder="1" applyAlignment="1">
      <alignment horizontal="left" vertical="center" wrapText="1"/>
    </xf>
    <xf numFmtId="0" fontId="124" fillId="0" borderId="0" xfId="0" applyFont="1" applyAlignment="1">
      <alignment vertical="center"/>
    </xf>
    <xf numFmtId="0" fontId="128" fillId="8" borderId="24" xfId="0" quotePrefix="1" applyFont="1" applyFill="1" applyBorder="1" applyAlignment="1">
      <alignment horizontal="left" vertical="center" wrapText="1"/>
    </xf>
    <xf numFmtId="22" fontId="124" fillId="0" borderId="30" xfId="0" quotePrefix="1" applyNumberFormat="1" applyFont="1" applyBorder="1" applyAlignment="1">
      <alignment horizontal="center" vertical="center"/>
    </xf>
    <xf numFmtId="22" fontId="124" fillId="0" borderId="0" xfId="0" quotePrefix="1" applyNumberFormat="1" applyFont="1" applyAlignment="1">
      <alignment horizontal="center" vertical="center"/>
    </xf>
    <xf numFmtId="14" fontId="124" fillId="0" borderId="30" xfId="0" quotePrefix="1" applyNumberFormat="1" applyFont="1" applyBorder="1" applyAlignment="1">
      <alignment horizontal="center" vertical="center"/>
    </xf>
    <xf numFmtId="0" fontId="128" fillId="2" borderId="4" xfId="0" applyFont="1" applyFill="1" applyBorder="1" applyAlignment="1">
      <alignment horizontal="center" vertical="center" wrapText="1"/>
    </xf>
    <xf numFmtId="0" fontId="126" fillId="2" borderId="4" xfId="4" applyFont="1" applyFill="1" applyBorder="1" applyAlignment="1">
      <alignment horizontal="center" vertical="center" wrapText="1"/>
    </xf>
    <xf numFmtId="0" fontId="124" fillId="2" borderId="9" xfId="0" quotePrefix="1" applyFont="1" applyFill="1" applyBorder="1" applyAlignment="1">
      <alignment horizontal="center" vertical="center"/>
    </xf>
    <xf numFmtId="0" fontId="124" fillId="0" borderId="47" xfId="0" quotePrefix="1" applyFont="1" applyBorder="1" applyAlignment="1">
      <alignment horizontal="center" vertical="center" wrapText="1"/>
    </xf>
    <xf numFmtId="0" fontId="124" fillId="0" borderId="6" xfId="0" applyFont="1" applyBorder="1" applyAlignment="1">
      <alignment horizontal="center" vertical="center"/>
    </xf>
    <xf numFmtId="0" fontId="128" fillId="43" borderId="25" xfId="0" applyFont="1" applyFill="1" applyBorder="1" applyAlignment="1">
      <alignment horizontal="left" vertical="center" wrapText="1"/>
    </xf>
    <xf numFmtId="0" fontId="127" fillId="2" borderId="6" xfId="4" quotePrefix="1" applyFont="1" applyFill="1" applyBorder="1" applyAlignment="1">
      <alignment horizontal="center" vertical="center" wrapText="1"/>
    </xf>
    <xf numFmtId="0" fontId="128" fillId="0" borderId="6" xfId="0" applyFont="1" applyBorder="1" applyAlignment="1">
      <alignment horizontal="center" vertical="center"/>
    </xf>
    <xf numFmtId="22" fontId="124" fillId="0" borderId="10" xfId="0" quotePrefix="1" applyNumberFormat="1" applyFont="1" applyBorder="1" applyAlignment="1">
      <alignment horizontal="center" vertical="center"/>
    </xf>
    <xf numFmtId="0" fontId="127" fillId="2" borderId="4" xfId="4" quotePrefix="1" applyFont="1" applyFill="1" applyBorder="1" applyAlignment="1">
      <alignment horizontal="center" vertical="center"/>
    </xf>
    <xf numFmtId="0" fontId="124" fillId="7" borderId="2" xfId="0" quotePrefix="1" applyFont="1" applyFill="1" applyBorder="1" applyAlignment="1">
      <alignment horizontal="left" vertical="center" wrapText="1"/>
    </xf>
    <xf numFmtId="0" fontId="127" fillId="2" borderId="21" xfId="4" quotePrefix="1" applyFont="1" applyFill="1" applyBorder="1" applyAlignment="1">
      <alignment horizontal="center" vertical="center" wrapText="1"/>
    </xf>
    <xf numFmtId="22" fontId="124" fillId="0" borderId="29" xfId="0" quotePrefix="1" applyNumberFormat="1" applyFont="1" applyBorder="1" applyAlignment="1">
      <alignment horizontal="center" vertical="center"/>
    </xf>
    <xf numFmtId="0" fontId="124" fillId="0" borderId="3" xfId="0" quotePrefix="1" applyFont="1" applyBorder="1" applyAlignment="1">
      <alignment horizontal="center" vertical="center" wrapText="1"/>
    </xf>
    <xf numFmtId="0" fontId="124" fillId="7" borderId="19" xfId="0" quotePrefix="1" applyFont="1" applyFill="1" applyBorder="1" applyAlignment="1">
      <alignment horizontal="left" vertical="center" wrapText="1"/>
    </xf>
    <xf numFmtId="0" fontId="124" fillId="35" borderId="9" xfId="0" applyFont="1" applyFill="1" applyBorder="1" applyAlignment="1">
      <alignment horizontal="center" vertical="center" wrapText="1"/>
    </xf>
    <xf numFmtId="14" fontId="124" fillId="0" borderId="7" xfId="0" quotePrefix="1" applyNumberFormat="1" applyFont="1" applyBorder="1" applyAlignment="1">
      <alignment horizontal="center" vertical="center" wrapText="1"/>
    </xf>
    <xf numFmtId="0" fontId="128" fillId="43" borderId="6" xfId="0" applyFont="1" applyFill="1" applyBorder="1" applyAlignment="1">
      <alignment horizontal="left" vertical="center" wrapText="1"/>
    </xf>
    <xf numFmtId="0" fontId="128" fillId="0" borderId="0" xfId="0" applyFont="1" applyAlignment="1">
      <alignment horizontal="center" vertical="center"/>
    </xf>
    <xf numFmtId="22" fontId="124" fillId="0" borderId="60" xfId="0" quotePrefix="1" applyNumberFormat="1" applyFont="1" applyBorder="1" applyAlignment="1">
      <alignment horizontal="center" vertical="center"/>
    </xf>
    <xf numFmtId="16" fontId="124" fillId="0" borderId="3" xfId="0" quotePrefix="1" applyNumberFormat="1" applyFont="1" applyBorder="1" applyAlignment="1">
      <alignment horizontal="center" vertical="center" wrapText="1"/>
    </xf>
    <xf numFmtId="0" fontId="124" fillId="7" borderId="4" xfId="0" applyFont="1" applyFill="1" applyBorder="1" applyAlignment="1">
      <alignment horizontal="center" vertical="center"/>
    </xf>
    <xf numFmtId="0" fontId="124" fillId="7" borderId="4" xfId="0" applyFont="1" applyFill="1" applyBorder="1" applyAlignment="1">
      <alignment horizontal="center" vertical="center" wrapText="1"/>
    </xf>
    <xf numFmtId="14" fontId="128" fillId="0" borderId="9" xfId="0" quotePrefix="1" applyNumberFormat="1" applyFont="1" applyBorder="1" applyAlignment="1">
      <alignment horizontal="center" vertical="center"/>
    </xf>
    <xf numFmtId="0" fontId="124" fillId="0" borderId="0" xfId="0" quotePrefix="1" applyFont="1"/>
    <xf numFmtId="22" fontId="124" fillId="7" borderId="9" xfId="0" quotePrefix="1" applyNumberFormat="1" applyFont="1" applyFill="1" applyBorder="1" applyAlignment="1">
      <alignment horizontal="center" vertical="center"/>
    </xf>
    <xf numFmtId="0" fontId="124" fillId="27" borderId="4" xfId="0" quotePrefix="1" applyFont="1" applyFill="1" applyBorder="1" applyAlignment="1">
      <alignment horizontal="left" vertical="center" wrapText="1"/>
    </xf>
    <xf numFmtId="0" fontId="128" fillId="0" borderId="9" xfId="0" quotePrefix="1" applyFont="1" applyBorder="1" applyAlignment="1">
      <alignment horizontal="center" vertical="center"/>
    </xf>
    <xf numFmtId="0" fontId="124" fillId="2" borderId="9" xfId="0" quotePrefix="1" applyFont="1" applyFill="1" applyBorder="1" applyAlignment="1">
      <alignment horizontal="center" vertical="center" wrapText="1"/>
    </xf>
    <xf numFmtId="0" fontId="124" fillId="0" borderId="9" xfId="0" applyFont="1" applyBorder="1" applyAlignment="1">
      <alignment horizontal="center" vertical="center" wrapText="1"/>
    </xf>
    <xf numFmtId="0" fontId="128" fillId="7" borderId="4" xfId="0" applyFont="1" applyFill="1" applyBorder="1" applyAlignment="1">
      <alignment horizontal="left" vertical="center" wrapText="1"/>
    </xf>
    <xf numFmtId="0" fontId="128" fillId="0" borderId="9" xfId="0" applyFont="1" applyBorder="1" applyAlignment="1">
      <alignment horizontal="center" vertical="center"/>
    </xf>
    <xf numFmtId="0" fontId="124" fillId="2" borderId="9" xfId="0" applyFont="1" applyFill="1" applyBorder="1" applyAlignment="1">
      <alignment horizontal="center" vertical="center"/>
    </xf>
    <xf numFmtId="0" fontId="124" fillId="7" borderId="4" xfId="0" applyFont="1" applyFill="1" applyBorder="1" applyAlignment="1">
      <alignment horizontal="left" vertical="center" wrapText="1"/>
    </xf>
    <xf numFmtId="0" fontId="126" fillId="0" borderId="4" xfId="4" applyFont="1" applyBorder="1" applyAlignment="1">
      <alignment horizontal="center" vertical="center"/>
    </xf>
    <xf numFmtId="0" fontId="124" fillId="0" borderId="4" xfId="4" applyFont="1" applyBorder="1" applyAlignment="1">
      <alignment horizontal="center" vertical="center"/>
    </xf>
    <xf numFmtId="0" fontId="124" fillId="7" borderId="4" xfId="0" quotePrefix="1" applyFont="1" applyFill="1" applyBorder="1" applyAlignment="1">
      <alignment horizontal="left" vertical="top" wrapText="1"/>
    </xf>
    <xf numFmtId="0" fontId="124" fillId="27" borderId="4" xfId="0" quotePrefix="1" applyFont="1" applyFill="1" applyBorder="1" applyAlignment="1">
      <alignment horizontal="left" vertical="top" wrapText="1"/>
    </xf>
    <xf numFmtId="0" fontId="124" fillId="3" borderId="4" xfId="0" quotePrefix="1" applyFont="1" applyFill="1" applyBorder="1" applyAlignment="1">
      <alignment horizontal="left" vertical="center"/>
    </xf>
    <xf numFmtId="0" fontId="124" fillId="27" borderId="4" xfId="0" quotePrefix="1" applyFont="1" applyFill="1" applyBorder="1" applyAlignment="1">
      <alignment horizontal="left" vertical="center"/>
    </xf>
    <xf numFmtId="0" fontId="124" fillId="0" borderId="32" xfId="0" applyFont="1" applyBorder="1" applyAlignment="1">
      <alignment horizontal="center" vertical="center"/>
    </xf>
    <xf numFmtId="0" fontId="128" fillId="8" borderId="25" xfId="0" applyFont="1" applyFill="1" applyBorder="1" applyAlignment="1">
      <alignment horizontal="left" vertical="center" wrapText="1"/>
    </xf>
    <xf numFmtId="0" fontId="124" fillId="2" borderId="4" xfId="0" quotePrefix="1" applyFont="1" applyFill="1" applyBorder="1" applyAlignment="1">
      <alignment horizontal="center" vertical="center"/>
    </xf>
    <xf numFmtId="0" fontId="124" fillId="0" borderId="30" xfId="0" applyFont="1" applyBorder="1" applyAlignment="1">
      <alignment horizontal="center" vertical="center"/>
    </xf>
    <xf numFmtId="0" fontId="124" fillId="8" borderId="21" xfId="0" applyFont="1" applyFill="1" applyBorder="1" applyAlignment="1">
      <alignment horizontal="left" vertical="center"/>
    </xf>
    <xf numFmtId="0" fontId="126" fillId="0" borderId="21" xfId="4" applyFont="1" applyBorder="1" applyAlignment="1">
      <alignment horizontal="center" vertical="center"/>
    </xf>
    <xf numFmtId="0" fontId="124" fillId="0" borderId="29" xfId="0" applyFont="1" applyBorder="1" applyAlignment="1">
      <alignment horizontal="center" vertical="center"/>
    </xf>
    <xf numFmtId="0" fontId="124" fillId="3" borderId="4" xfId="0" applyFont="1" applyFill="1" applyBorder="1" applyAlignment="1">
      <alignment horizontal="left" vertical="center"/>
    </xf>
    <xf numFmtId="0" fontId="126" fillId="2" borderId="4" xfId="4" quotePrefix="1" applyFont="1" applyFill="1" applyBorder="1" applyAlignment="1">
      <alignment horizontal="center" vertical="center"/>
    </xf>
    <xf numFmtId="0" fontId="124" fillId="4" borderId="3" xfId="0" applyFont="1" applyFill="1" applyBorder="1" applyAlignment="1">
      <alignment horizontal="center" vertical="center" wrapText="1"/>
    </xf>
    <xf numFmtId="0" fontId="124" fillId="4" borderId="4" xfId="0" applyFont="1" applyFill="1" applyBorder="1" applyAlignment="1">
      <alignment horizontal="center" vertical="center"/>
    </xf>
    <xf numFmtId="0" fontId="124" fillId="4" borderId="4" xfId="0" applyFont="1" applyFill="1" applyBorder="1"/>
    <xf numFmtId="0" fontId="124" fillId="4" borderId="9" xfId="0" applyFont="1" applyFill="1" applyBorder="1" applyAlignment="1">
      <alignment horizontal="center" vertical="center"/>
    </xf>
    <xf numFmtId="0" fontId="126" fillId="2" borderId="24" xfId="4" applyFont="1" applyFill="1" applyBorder="1" applyAlignment="1">
      <alignment horizontal="center" vertical="center"/>
    </xf>
    <xf numFmtId="0" fontId="124" fillId="0" borderId="30" xfId="0" applyFont="1" applyBorder="1" applyAlignment="1">
      <alignment horizontal="center" vertical="center" wrapText="1"/>
    </xf>
    <xf numFmtId="0" fontId="124" fillId="8" borderId="4" xfId="0" applyFont="1" applyFill="1" applyBorder="1" applyAlignment="1">
      <alignment vertical="center"/>
    </xf>
    <xf numFmtId="0" fontId="124" fillId="40" borderId="4" xfId="0" quotePrefix="1" applyFont="1" applyFill="1" applyBorder="1" applyAlignment="1">
      <alignment horizontal="left" vertical="center"/>
    </xf>
    <xf numFmtId="0" fontId="124" fillId="40" borderId="4" xfId="0" quotePrefix="1" applyFont="1" applyFill="1" applyBorder="1" applyAlignment="1">
      <alignment horizontal="left" vertical="center" wrapText="1"/>
    </xf>
    <xf numFmtId="0" fontId="124" fillId="28" borderId="4" xfId="0" quotePrefix="1" applyFont="1" applyFill="1" applyBorder="1" applyAlignment="1">
      <alignment horizontal="left" vertical="center" wrapText="1"/>
    </xf>
    <xf numFmtId="0" fontId="126" fillId="28" borderId="4" xfId="4" applyFont="1" applyFill="1" applyBorder="1" applyAlignment="1">
      <alignment horizontal="center" vertical="center"/>
    </xf>
    <xf numFmtId="0" fontId="124" fillId="28" borderId="4" xfId="0" applyFont="1" applyFill="1" applyBorder="1" applyAlignment="1">
      <alignment horizontal="center" vertical="center"/>
    </xf>
    <xf numFmtId="0" fontId="124" fillId="28" borderId="9" xfId="0" applyFont="1" applyFill="1" applyBorder="1" applyAlignment="1">
      <alignment horizontal="center" vertical="center"/>
    </xf>
    <xf numFmtId="0" fontId="124" fillId="28" borderId="4" xfId="0" quotePrefix="1" applyFont="1" applyFill="1" applyBorder="1" applyAlignment="1">
      <alignment horizontal="left" vertical="center"/>
    </xf>
    <xf numFmtId="0" fontId="128" fillId="2" borderId="3" xfId="0" applyFont="1" applyFill="1" applyBorder="1" applyAlignment="1">
      <alignment horizontal="center" vertical="center" wrapText="1"/>
    </xf>
    <xf numFmtId="0" fontId="124" fillId="7" borderId="4" xfId="0" quotePrefix="1" applyFont="1" applyFill="1" applyBorder="1" applyAlignment="1">
      <alignment horizontal="left" vertical="center"/>
    </xf>
    <xf numFmtId="0" fontId="124" fillId="3" borderId="4" xfId="0" quotePrefix="1" applyFont="1" applyFill="1" applyBorder="1" applyAlignment="1">
      <alignment horizontal="left" vertical="top" wrapText="1"/>
    </xf>
    <xf numFmtId="0" fontId="124" fillId="7" borderId="4" xfId="0" applyFont="1" applyFill="1" applyBorder="1" applyAlignment="1">
      <alignment horizontal="left" vertical="center"/>
    </xf>
    <xf numFmtId="0" fontId="128" fillId="2" borderId="20" xfId="0" applyFont="1" applyFill="1" applyBorder="1" applyAlignment="1">
      <alignment horizontal="center" vertical="center" wrapText="1"/>
    </xf>
    <xf numFmtId="0" fontId="124" fillId="28" borderId="21" xfId="0" quotePrefix="1" applyFont="1" applyFill="1" applyBorder="1" applyAlignment="1">
      <alignment horizontal="left" vertical="center"/>
    </xf>
    <xf numFmtId="0" fontId="126" fillId="2" borderId="21" xfId="4" applyFont="1" applyFill="1" applyBorder="1" applyAlignment="1">
      <alignment horizontal="center" vertical="center"/>
    </xf>
    <xf numFmtId="0" fontId="124" fillId="2" borderId="29" xfId="0" applyFont="1" applyFill="1" applyBorder="1" applyAlignment="1">
      <alignment horizontal="center" vertical="center" wrapText="1"/>
    </xf>
    <xf numFmtId="0" fontId="124" fillId="8" borderId="0" xfId="0" applyFont="1" applyFill="1" applyAlignment="1">
      <alignment horizontal="left" vertical="center"/>
    </xf>
    <xf numFmtId="0" fontId="129" fillId="0" borderId="0" xfId="0" applyFont="1" applyAlignment="1">
      <alignment horizontal="center" vertical="center"/>
    </xf>
    <xf numFmtId="0" fontId="108" fillId="0" borderId="0" xfId="4" applyBorder="1" applyAlignment="1">
      <alignment horizontal="center" vertical="center"/>
    </xf>
    <xf numFmtId="14" fontId="45" fillId="8" borderId="4" xfId="0" applyNumberFormat="1" applyFont="1" applyFill="1" applyBorder="1" applyAlignment="1">
      <alignment horizontal="center" vertical="center" wrapText="1"/>
    </xf>
    <xf numFmtId="22" fontId="45" fillId="8" borderId="4" xfId="0" quotePrefix="1" applyNumberFormat="1" applyFont="1" applyFill="1" applyBorder="1" applyAlignment="1">
      <alignment horizontal="center" vertical="center" wrapText="1"/>
    </xf>
    <xf numFmtId="22" fontId="48" fillId="8" borderId="4" xfId="0" quotePrefix="1" applyNumberFormat="1" applyFont="1" applyFill="1" applyBorder="1" applyAlignment="1">
      <alignment horizontal="center" vertical="center" wrapText="1"/>
    </xf>
    <xf numFmtId="0" fontId="121" fillId="7" borderId="4" xfId="0" quotePrefix="1" applyFont="1" applyFill="1" applyBorder="1" applyAlignment="1">
      <alignment horizontal="left" vertical="center" wrapText="1"/>
    </xf>
    <xf numFmtId="14" fontId="48" fillId="7" borderId="4" xfId="0" quotePrefix="1" applyNumberFormat="1" applyFont="1" applyFill="1" applyBorder="1" applyAlignment="1">
      <alignment horizontal="center" vertical="center" wrapText="1"/>
    </xf>
    <xf numFmtId="9" fontId="48" fillId="7" borderId="4" xfId="1" applyNumberFormat="1" applyFont="1" applyFill="1" applyBorder="1" applyAlignment="1">
      <alignment horizontal="center" vertical="center" wrapText="1"/>
    </xf>
    <xf numFmtId="0" fontId="48" fillId="7" borderId="4" xfId="1" applyNumberFormat="1" applyFont="1" applyFill="1" applyBorder="1" applyAlignment="1">
      <alignment horizontal="center" vertical="center" wrapText="1"/>
    </xf>
    <xf numFmtId="15" fontId="48" fillId="7" borderId="4" xfId="0" quotePrefix="1" applyNumberFormat="1" applyFont="1" applyFill="1" applyBorder="1" applyAlignment="1">
      <alignment horizontal="center" vertical="center" wrapText="1"/>
    </xf>
    <xf numFmtId="15" fontId="48" fillId="7" borderId="4" xfId="0" quotePrefix="1" applyNumberFormat="1" applyFont="1" applyFill="1" applyBorder="1" applyAlignment="1">
      <alignment horizontal="left" vertical="top" wrapText="1"/>
    </xf>
    <xf numFmtId="0" fontId="48" fillId="8" borderId="4" xfId="0" applyFont="1" applyFill="1" applyBorder="1" applyAlignment="1">
      <alignment horizontal="center" vertical="center"/>
    </xf>
    <xf numFmtId="0" fontId="48" fillId="8" borderId="4" xfId="0" quotePrefix="1" applyFont="1" applyFill="1" applyBorder="1" applyAlignment="1">
      <alignment horizontal="center" vertical="center"/>
    </xf>
    <xf numFmtId="0" fontId="48" fillId="0" borderId="3" xfId="0" applyFont="1" applyBorder="1" applyAlignment="1">
      <alignment horizontal="center" vertical="center"/>
    </xf>
    <xf numFmtId="0" fontId="48" fillId="0" borderId="21" xfId="0" applyFont="1" applyBorder="1" applyAlignment="1">
      <alignment horizontal="center" vertical="center"/>
    </xf>
    <xf numFmtId="0" fontId="124" fillId="8" borderId="6" xfId="0" quotePrefix="1" applyFont="1" applyFill="1" applyBorder="1" applyAlignment="1">
      <alignment horizontal="left" vertical="center" wrapText="1"/>
    </xf>
    <xf numFmtId="22" fontId="129" fillId="0" borderId="0" xfId="0" quotePrefix="1" applyNumberFormat="1" applyFont="1"/>
    <xf numFmtId="0" fontId="121" fillId="8" borderId="4" xfId="0" quotePrefix="1" applyFont="1" applyFill="1" applyBorder="1" applyAlignment="1">
      <alignment horizontal="center" vertical="center" wrapText="1"/>
    </xf>
    <xf numFmtId="168" fontId="48" fillId="8" borderId="4" xfId="0" quotePrefix="1" applyNumberFormat="1" applyFont="1" applyFill="1" applyBorder="1" applyAlignment="1">
      <alignment horizontal="center" vertical="center" wrapText="1"/>
    </xf>
    <xf numFmtId="0" fontId="48" fillId="6" borderId="4" xfId="0" applyFont="1" applyFill="1" applyBorder="1" applyAlignment="1">
      <alignment horizontal="center" vertical="center" wrapText="1"/>
    </xf>
    <xf numFmtId="0" fontId="123" fillId="6" borderId="4" xfId="0" applyFont="1" applyFill="1" applyBorder="1" applyAlignment="1">
      <alignment horizontal="center" vertical="center" wrapText="1"/>
    </xf>
    <xf numFmtId="165" fontId="48" fillId="6" borderId="4" xfId="0" applyNumberFormat="1" applyFont="1" applyFill="1" applyBorder="1" applyAlignment="1">
      <alignment horizontal="center" vertical="center" wrapText="1"/>
    </xf>
    <xf numFmtId="14" fontId="48" fillId="6" borderId="4" xfId="0" applyNumberFormat="1" applyFont="1" applyFill="1" applyBorder="1" applyAlignment="1">
      <alignment horizontal="center" vertical="center" wrapText="1"/>
    </xf>
    <xf numFmtId="10" fontId="48" fillId="6" borderId="4" xfId="0" applyNumberFormat="1" applyFont="1" applyFill="1" applyBorder="1" applyAlignment="1">
      <alignment horizontal="center" vertical="center" wrapText="1"/>
    </xf>
    <xf numFmtId="4" fontId="48" fillId="6" borderId="4" xfId="0" applyNumberFormat="1" applyFont="1" applyFill="1" applyBorder="1" applyAlignment="1">
      <alignment horizontal="center" vertical="center" wrapText="1"/>
    </xf>
    <xf numFmtId="0" fontId="48" fillId="6" borderId="4" xfId="0" quotePrefix="1" applyFont="1" applyFill="1" applyBorder="1" applyAlignment="1">
      <alignment horizontal="center" vertical="center" wrapText="1"/>
    </xf>
    <xf numFmtId="0" fontId="48" fillId="43" borderId="4" xfId="0" applyFont="1" applyFill="1" applyBorder="1" applyAlignment="1">
      <alignment horizontal="center" vertical="center" wrapText="1"/>
    </xf>
    <xf numFmtId="0" fontId="45" fillId="43" borderId="4" xfId="0" applyFont="1" applyFill="1" applyBorder="1" applyAlignment="1">
      <alignment horizontal="left" vertical="center" wrapText="1"/>
    </xf>
    <xf numFmtId="0" fontId="45" fillId="43" borderId="4" xfId="0" quotePrefix="1" applyFont="1" applyFill="1" applyBorder="1" applyAlignment="1">
      <alignment horizontal="center" vertical="center" wrapText="1"/>
    </xf>
    <xf numFmtId="0" fontId="48" fillId="43" borderId="4" xfId="0" quotePrefix="1" applyFont="1" applyFill="1" applyBorder="1" applyAlignment="1">
      <alignment horizontal="center" vertical="center" wrapText="1"/>
    </xf>
    <xf numFmtId="22" fontId="48" fillId="43" borderId="4" xfId="0" quotePrefix="1" applyNumberFormat="1" applyFont="1" applyFill="1" applyBorder="1" applyAlignment="1">
      <alignment horizontal="center" vertical="center" wrapText="1"/>
    </xf>
    <xf numFmtId="166" fontId="48" fillId="43" borderId="4" xfId="2" applyNumberFormat="1" applyFont="1" applyFill="1" applyBorder="1" applyAlignment="1">
      <alignment horizontal="center" vertical="center" wrapText="1"/>
    </xf>
    <xf numFmtId="9" fontId="45" fillId="43" borderId="4" xfId="0" applyNumberFormat="1" applyFont="1" applyFill="1" applyBorder="1" applyAlignment="1">
      <alignment horizontal="center" vertical="center"/>
    </xf>
    <xf numFmtId="0" fontId="45" fillId="43" borderId="4" xfId="0" applyFont="1" applyFill="1" applyBorder="1" applyAlignment="1">
      <alignment horizontal="center" vertical="center"/>
    </xf>
    <xf numFmtId="0" fontId="48" fillId="43" borderId="4" xfId="0" quotePrefix="1" applyFont="1" applyFill="1" applyBorder="1" applyAlignment="1">
      <alignment horizontal="left" vertical="center" wrapText="1"/>
    </xf>
    <xf numFmtId="168" fontId="48" fillId="8" borderId="4" xfId="2" quotePrefix="1" applyNumberFormat="1" applyFont="1" applyFill="1" applyBorder="1" applyAlignment="1">
      <alignment horizontal="center" vertical="center" wrapText="1"/>
    </xf>
    <xf numFmtId="0" fontId="48" fillId="42" borderId="4" xfId="0" applyFont="1" applyFill="1" applyBorder="1" applyAlignment="1">
      <alignment horizontal="center" vertical="center" wrapText="1"/>
    </xf>
    <xf numFmtId="0" fontId="48" fillId="42" borderId="4" xfId="0" applyFont="1" applyFill="1" applyBorder="1" applyAlignment="1">
      <alignment horizontal="center" vertical="center"/>
    </xf>
    <xf numFmtId="0" fontId="48" fillId="0" borderId="9" xfId="0" applyFont="1" applyBorder="1" applyAlignment="1">
      <alignment horizontal="left" vertical="top" wrapText="1"/>
    </xf>
    <xf numFmtId="0" fontId="48" fillId="6" borderId="3" xfId="0" applyFont="1" applyFill="1" applyBorder="1" applyAlignment="1">
      <alignment horizontal="center" vertical="center" wrapText="1"/>
    </xf>
    <xf numFmtId="0" fontId="48" fillId="0" borderId="9" xfId="0" applyFont="1" applyBorder="1" applyAlignment="1">
      <alignment horizontal="center" vertical="center" wrapText="1"/>
    </xf>
    <xf numFmtId="0" fontId="45" fillId="0" borderId="9" xfId="0" applyFont="1" applyBorder="1" applyAlignment="1">
      <alignment horizontal="left" vertical="top" wrapText="1"/>
    </xf>
    <xf numFmtId="0" fontId="45" fillId="0" borderId="9" xfId="0" applyFont="1" applyBorder="1" applyAlignment="1">
      <alignment horizontal="center" vertical="center" wrapText="1"/>
    </xf>
    <xf numFmtId="0" fontId="48" fillId="42" borderId="3" xfId="0" applyFont="1" applyFill="1" applyBorder="1" applyAlignment="1">
      <alignment horizontal="center" vertical="center" wrapText="1"/>
    </xf>
    <xf numFmtId="0" fontId="45" fillId="0" borderId="29" xfId="0" applyFont="1" applyBorder="1" applyAlignment="1">
      <alignment horizontal="center" vertical="center" wrapText="1"/>
    </xf>
    <xf numFmtId="0" fontId="48" fillId="2" borderId="4" xfId="0" applyFont="1" applyFill="1" applyBorder="1" applyAlignment="1">
      <alignment vertical="top" wrapText="1"/>
    </xf>
    <xf numFmtId="0" fontId="48" fillId="0" borderId="21" xfId="0" applyFont="1" applyBorder="1" applyAlignment="1">
      <alignment vertical="top" wrapText="1"/>
    </xf>
    <xf numFmtId="0" fontId="48" fillId="2" borderId="0" xfId="0" applyFont="1" applyFill="1" applyAlignment="1">
      <alignment vertical="top" wrapText="1"/>
    </xf>
    <xf numFmtId="0" fontId="48" fillId="0" borderId="4" xfId="0" applyFont="1" applyBorder="1" applyAlignment="1">
      <alignment horizontal="left" vertical="center" wrapText="1"/>
    </xf>
    <xf numFmtId="0" fontId="108" fillId="2" borderId="4" xfId="4" applyFill="1" applyBorder="1" applyAlignment="1">
      <alignment horizontal="center" vertical="center"/>
    </xf>
    <xf numFmtId="0" fontId="48" fillId="0" borderId="5" xfId="0" applyFont="1" applyBorder="1"/>
    <xf numFmtId="0" fontId="45" fillId="2" borderId="5" xfId="0" applyFont="1" applyFill="1" applyBorder="1" applyAlignment="1">
      <alignment horizontal="center" vertical="center" wrapText="1"/>
    </xf>
    <xf numFmtId="0" fontId="48" fillId="0" borderId="5" xfId="0" applyFont="1" applyBorder="1" applyAlignment="1">
      <alignment horizontal="center" vertical="center"/>
    </xf>
    <xf numFmtId="0" fontId="45" fillId="2" borderId="5" xfId="0" applyFont="1" applyFill="1" applyBorder="1" applyAlignment="1">
      <alignment horizontal="left" vertical="center" wrapText="1"/>
    </xf>
    <xf numFmtId="0" fontId="48" fillId="2" borderId="5" xfId="0" applyFont="1" applyFill="1" applyBorder="1" applyAlignment="1">
      <alignment horizontal="center" vertical="center"/>
    </xf>
    <xf numFmtId="0" fontId="48" fillId="6" borderId="9" xfId="0" applyFont="1" applyFill="1" applyBorder="1" applyAlignment="1">
      <alignment horizontal="center" vertical="center" wrapText="1"/>
    </xf>
    <xf numFmtId="15" fontId="48" fillId="7" borderId="9" xfId="0" quotePrefix="1" applyNumberFormat="1" applyFont="1" applyFill="1" applyBorder="1" applyAlignment="1">
      <alignment horizontal="left" vertical="top" wrapText="1"/>
    </xf>
    <xf numFmtId="0" fontId="48" fillId="43" borderId="9" xfId="0" quotePrefix="1" applyFont="1" applyFill="1" applyBorder="1" applyAlignment="1">
      <alignment horizontal="left" vertical="center" wrapText="1"/>
    </xf>
    <xf numFmtId="15" fontId="48" fillId="8" borderId="9" xfId="0" quotePrefix="1" applyNumberFormat="1" applyFont="1" applyFill="1" applyBorder="1" applyAlignment="1">
      <alignment horizontal="left" vertical="center" wrapText="1"/>
    </xf>
    <xf numFmtId="0" fontId="48" fillId="8" borderId="9" xfId="0" quotePrefix="1" applyFont="1" applyFill="1" applyBorder="1" applyAlignment="1">
      <alignment horizontal="left" vertical="top" wrapText="1"/>
    </xf>
    <xf numFmtId="0" fontId="48" fillId="2" borderId="47" xfId="0" applyFont="1" applyFill="1" applyBorder="1" applyAlignment="1">
      <alignment horizontal="center" vertical="center" wrapText="1"/>
    </xf>
    <xf numFmtId="0" fontId="45" fillId="2" borderId="6" xfId="0" quotePrefix="1" applyFont="1" applyFill="1" applyBorder="1" applyAlignment="1">
      <alignment horizontal="center" vertical="center" wrapText="1"/>
    </xf>
    <xf numFmtId="0" fontId="121" fillId="7" borderId="6" xfId="0" quotePrefix="1" applyFont="1" applyFill="1" applyBorder="1" applyAlignment="1">
      <alignment horizontal="center" vertical="center" wrapText="1"/>
    </xf>
    <xf numFmtId="0" fontId="122" fillId="7" borderId="6" xfId="0" applyFont="1" applyFill="1" applyBorder="1" applyAlignment="1">
      <alignment horizontal="left" vertical="center" wrapText="1"/>
    </xf>
    <xf numFmtId="0" fontId="45" fillId="7" borderId="6" xfId="0" quotePrefix="1" applyFont="1" applyFill="1" applyBorder="1" applyAlignment="1">
      <alignment horizontal="center" vertical="center" wrapText="1"/>
    </xf>
    <xf numFmtId="0" fontId="48" fillId="7" borderId="6" xfId="0" quotePrefix="1" applyFont="1" applyFill="1" applyBorder="1" applyAlignment="1">
      <alignment horizontal="center" vertical="center" wrapText="1"/>
    </xf>
    <xf numFmtId="168" fontId="48" fillId="7" borderId="6" xfId="0" quotePrefix="1" applyNumberFormat="1" applyFont="1" applyFill="1" applyBorder="1" applyAlignment="1">
      <alignment horizontal="center" vertical="center" wrapText="1"/>
    </xf>
    <xf numFmtId="9" fontId="48" fillId="7" borderId="6" xfId="0" quotePrefix="1" applyNumberFormat="1" applyFont="1" applyFill="1" applyBorder="1" applyAlignment="1">
      <alignment horizontal="center" vertical="center" wrapText="1"/>
    </xf>
    <xf numFmtId="0" fontId="48" fillId="7" borderId="6" xfId="0" quotePrefix="1" applyFont="1" applyFill="1" applyBorder="1" applyAlignment="1">
      <alignment vertical="center" wrapText="1"/>
    </xf>
    <xf numFmtId="0" fontId="48" fillId="7" borderId="10" xfId="0" quotePrefix="1" applyFont="1" applyFill="1" applyBorder="1" applyAlignment="1">
      <alignment horizontal="left" vertical="center" wrapText="1"/>
    </xf>
    <xf numFmtId="0" fontId="48" fillId="24" borderId="38" xfId="0" applyFont="1" applyFill="1" applyBorder="1" applyAlignment="1">
      <alignment horizontal="center" vertical="center"/>
    </xf>
    <xf numFmtId="166" fontId="48" fillId="24" borderId="38" xfId="0" applyNumberFormat="1" applyFont="1" applyFill="1" applyBorder="1" applyAlignment="1">
      <alignment horizontal="center" vertical="center"/>
    </xf>
    <xf numFmtId="9" fontId="48" fillId="24" borderId="38" xfId="0" applyNumberFormat="1" applyFont="1" applyFill="1" applyBorder="1" applyAlignment="1">
      <alignment horizontal="center" vertical="center"/>
    </xf>
    <xf numFmtId="2" fontId="48" fillId="24" borderId="38" xfId="0" applyNumberFormat="1" applyFont="1" applyFill="1" applyBorder="1" applyAlignment="1">
      <alignment horizontal="center" vertical="center"/>
    </xf>
    <xf numFmtId="0" fontId="48" fillId="43" borderId="6" xfId="0" applyFont="1" applyFill="1" applyBorder="1" applyAlignment="1">
      <alignment horizontal="center" vertical="center" wrapText="1"/>
    </xf>
    <xf numFmtId="0" fontId="45" fillId="43" borderId="6" xfId="0" applyFont="1" applyFill="1" applyBorder="1" applyAlignment="1">
      <alignment horizontal="left" vertical="center" wrapText="1"/>
    </xf>
    <xf numFmtId="0" fontId="45" fillId="43" borderId="6" xfId="0" quotePrefix="1" applyFont="1" applyFill="1" applyBorder="1" applyAlignment="1">
      <alignment horizontal="center" vertical="center" wrapText="1"/>
    </xf>
    <xf numFmtId="0" fontId="48" fillId="43" borderId="6" xfId="0" quotePrefix="1" applyFont="1" applyFill="1" applyBorder="1" applyAlignment="1">
      <alignment horizontal="center" vertical="center" wrapText="1"/>
    </xf>
    <xf numFmtId="166" fontId="48" fillId="43" borderId="6" xfId="2" applyNumberFormat="1" applyFont="1" applyFill="1" applyBorder="1" applyAlignment="1">
      <alignment horizontal="center" vertical="center" wrapText="1"/>
    </xf>
    <xf numFmtId="9" fontId="45" fillId="43" borderId="6" xfId="0" applyNumberFormat="1" applyFont="1" applyFill="1" applyBorder="1" applyAlignment="1">
      <alignment horizontal="center" vertical="center"/>
    </xf>
    <xf numFmtId="0" fontId="45" fillId="43" borderId="6" xfId="0" applyFont="1" applyFill="1" applyBorder="1" applyAlignment="1">
      <alignment horizontal="center" vertical="center"/>
    </xf>
    <xf numFmtId="0" fontId="48" fillId="43" borderId="6" xfId="0" quotePrefix="1" applyFont="1" applyFill="1" applyBorder="1" applyAlignment="1">
      <alignment horizontal="left" vertical="center" wrapText="1"/>
    </xf>
    <xf numFmtId="0" fontId="48" fillId="43" borderId="10" xfId="0" quotePrefix="1" applyFont="1" applyFill="1" applyBorder="1" applyAlignment="1">
      <alignment horizontal="left" vertical="center" wrapText="1"/>
    </xf>
    <xf numFmtId="0" fontId="48" fillId="38" borderId="38" xfId="0" applyFont="1" applyFill="1" applyBorder="1" applyAlignment="1">
      <alignment horizontal="center" vertical="center"/>
    </xf>
    <xf numFmtId="166" fontId="48" fillId="38" borderId="38" xfId="0" applyNumberFormat="1" applyFont="1" applyFill="1" applyBorder="1" applyAlignment="1">
      <alignment horizontal="center" vertical="center"/>
    </xf>
    <xf numFmtId="9" fontId="48" fillId="38" borderId="38" xfId="0" applyNumberFormat="1" applyFont="1" applyFill="1" applyBorder="1" applyAlignment="1">
      <alignment horizontal="center" vertical="center"/>
    </xf>
    <xf numFmtId="2" fontId="48" fillId="38" borderId="38" xfId="0" applyNumberFormat="1" applyFont="1" applyFill="1" applyBorder="1" applyAlignment="1">
      <alignment horizontal="center" vertical="center"/>
    </xf>
    <xf numFmtId="0" fontId="48" fillId="2" borderId="6" xfId="0" quotePrefix="1" applyFont="1" applyFill="1" applyBorder="1" applyAlignment="1">
      <alignment horizontal="center" vertical="center" wrapText="1"/>
    </xf>
    <xf numFmtId="0" fontId="48" fillId="8" borderId="6" xfId="0" applyFont="1" applyFill="1" applyBorder="1" applyAlignment="1">
      <alignment horizontal="center" vertical="center" wrapText="1"/>
    </xf>
    <xf numFmtId="166" fontId="48" fillId="8" borderId="6" xfId="2" applyNumberFormat="1" applyFont="1" applyFill="1" applyBorder="1" applyAlignment="1">
      <alignment horizontal="right" vertical="center" wrapText="1"/>
    </xf>
    <xf numFmtId="9" fontId="48" fillId="8" borderId="6" xfId="0" applyNumberFormat="1" applyFont="1" applyFill="1" applyBorder="1" applyAlignment="1">
      <alignment horizontal="center" vertical="center" wrapText="1"/>
    </xf>
    <xf numFmtId="0" fontId="48" fillId="8" borderId="10" xfId="0" applyFont="1" applyFill="1" applyBorder="1" applyAlignment="1">
      <alignment horizontal="left" vertical="center" wrapText="1"/>
    </xf>
    <xf numFmtId="4" fontId="48" fillId="38" borderId="38" xfId="0" applyNumberFormat="1" applyFont="1" applyFill="1" applyBorder="1" applyAlignment="1">
      <alignment horizontal="center" vertical="center"/>
    </xf>
    <xf numFmtId="0" fontId="121" fillId="8" borderId="24" xfId="0" applyFont="1" applyFill="1" applyBorder="1" applyAlignment="1">
      <alignment horizontal="center" vertical="center" wrapText="1"/>
    </xf>
    <xf numFmtId="0" fontId="45" fillId="8" borderId="24" xfId="0" applyFont="1" applyFill="1" applyBorder="1" applyAlignment="1">
      <alignment horizontal="left" vertical="center" wrapText="1"/>
    </xf>
    <xf numFmtId="0" fontId="45" fillId="8" borderId="24" xfId="0" applyFont="1" applyFill="1" applyBorder="1" applyAlignment="1">
      <alignment horizontal="center" vertical="center" wrapText="1"/>
    </xf>
    <xf numFmtId="0" fontId="48" fillId="8" borderId="24" xfId="0" quotePrefix="1" applyFont="1" applyFill="1" applyBorder="1" applyAlignment="1">
      <alignment horizontal="center" vertical="center" wrapText="1"/>
    </xf>
    <xf numFmtId="166" fontId="48" fillId="8" borderId="24" xfId="2" applyNumberFormat="1" applyFont="1" applyFill="1" applyBorder="1" applyAlignment="1">
      <alignment horizontal="center" vertical="center" wrapText="1"/>
    </xf>
    <xf numFmtId="9" fontId="45" fillId="8" borderId="24" xfId="0" applyNumberFormat="1" applyFont="1" applyFill="1" applyBorder="1" applyAlignment="1">
      <alignment horizontal="center" vertical="center"/>
    </xf>
    <xf numFmtId="0" fontId="45" fillId="8" borderId="24" xfId="0" applyFont="1" applyFill="1" applyBorder="1" applyAlignment="1">
      <alignment horizontal="center" vertical="center"/>
    </xf>
    <xf numFmtId="0" fontId="48" fillId="8" borderId="30" xfId="0" quotePrefix="1" applyFont="1" applyFill="1" applyBorder="1" applyAlignment="1">
      <alignment horizontal="left" vertical="center" wrapText="1"/>
    </xf>
    <xf numFmtId="0" fontId="128" fillId="8" borderId="6" xfId="0" applyFont="1" applyFill="1" applyBorder="1" applyAlignment="1">
      <alignment horizontal="left" vertical="center" wrapText="1"/>
    </xf>
    <xf numFmtId="0" fontId="124" fillId="2" borderId="6" xfId="0" applyFont="1" applyFill="1" applyBorder="1" applyAlignment="1">
      <alignment horizontal="center" vertical="center"/>
    </xf>
    <xf numFmtId="0" fontId="108" fillId="2" borderId="6" xfId="4" applyFill="1" applyBorder="1" applyAlignment="1">
      <alignment horizontal="center" vertical="center"/>
    </xf>
    <xf numFmtId="0" fontId="124" fillId="3" borderId="0" xfId="0" applyFont="1" applyFill="1" applyAlignment="1">
      <alignment horizontal="left" vertical="center"/>
    </xf>
    <xf numFmtId="0" fontId="129" fillId="0" borderId="4" xfId="0" quotePrefix="1" applyFont="1" applyBorder="1"/>
    <xf numFmtId="165" fontId="10" fillId="4" borderId="1" xfId="0" applyNumberFormat="1" applyFont="1" applyFill="1" applyBorder="1" applyAlignment="1">
      <alignment horizontal="center" vertical="center"/>
    </xf>
    <xf numFmtId="165" fontId="10" fillId="4" borderId="2" xfId="0" applyNumberFormat="1" applyFont="1" applyFill="1" applyBorder="1" applyAlignment="1">
      <alignment horizontal="center" vertical="center"/>
    </xf>
    <xf numFmtId="165" fontId="10" fillId="4" borderId="50" xfId="0" applyNumberFormat="1" applyFont="1" applyFill="1" applyBorder="1" applyAlignment="1">
      <alignment horizontal="center" vertical="center"/>
    </xf>
    <xf numFmtId="165" fontId="10" fillId="4" borderId="8" xfId="0" applyNumberFormat="1" applyFont="1" applyFill="1" applyBorder="1" applyAlignment="1">
      <alignment horizontal="center"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48" fillId="3" borderId="4" xfId="0" quotePrefix="1" applyFont="1" applyFill="1" applyBorder="1" applyAlignment="1">
      <alignment horizontal="left" vertical="center" wrapText="1"/>
    </xf>
    <xf numFmtId="0" fontId="48" fillId="8" borderId="11" xfId="0" quotePrefix="1" applyFont="1" applyFill="1" applyBorder="1" applyAlignment="1">
      <alignment horizontal="left" vertical="center" wrapText="1"/>
    </xf>
    <xf numFmtId="0" fontId="48" fillId="8" borderId="5" xfId="0" quotePrefix="1" applyFont="1" applyFill="1" applyBorder="1" applyAlignment="1">
      <alignment horizontal="left" vertical="center" wrapText="1"/>
    </xf>
    <xf numFmtId="0" fontId="48" fillId="8" borderId="4" xfId="0" quotePrefix="1" applyFont="1" applyFill="1" applyBorder="1" applyAlignment="1">
      <alignment horizontal="center" vertical="center" wrapText="1"/>
    </xf>
    <xf numFmtId="0" fontId="48" fillId="8" borderId="4" xfId="0" quotePrefix="1" applyFont="1" applyFill="1" applyBorder="1" applyAlignment="1">
      <alignment horizontal="left" vertical="center" wrapText="1"/>
    </xf>
    <xf numFmtId="0" fontId="48" fillId="38" borderId="38" xfId="0" applyFont="1" applyFill="1" applyBorder="1" applyAlignment="1">
      <alignment horizontal="center" vertical="center"/>
    </xf>
    <xf numFmtId="0" fontId="48" fillId="8" borderId="6" xfId="0" applyFont="1" applyFill="1" applyBorder="1" applyAlignment="1">
      <alignment horizontal="center" vertical="center" wrapText="1"/>
    </xf>
    <xf numFmtId="0" fontId="48" fillId="8" borderId="24" xfId="0" quotePrefix="1" applyFont="1" applyFill="1" applyBorder="1" applyAlignment="1">
      <alignment horizontal="left" vertical="center" wrapText="1"/>
    </xf>
    <xf numFmtId="0" fontId="48" fillId="0" borderId="8" xfId="0" applyFont="1" applyBorder="1" applyAlignment="1">
      <alignment horizontal="left" vertical="top" wrapText="1"/>
    </xf>
    <xf numFmtId="0" fontId="48" fillId="0" borderId="9" xfId="0" applyFont="1" applyBorder="1" applyAlignment="1">
      <alignment horizontal="left" vertical="top" wrapText="1"/>
    </xf>
    <xf numFmtId="165" fontId="48" fillId="2" borderId="46" xfId="0" applyNumberFormat="1" applyFont="1" applyFill="1" applyBorder="1" applyAlignment="1">
      <alignment horizontal="center" vertical="center"/>
    </xf>
    <xf numFmtId="165" fontId="48" fillId="2" borderId="2" xfId="0" applyNumberFormat="1" applyFont="1" applyFill="1" applyBorder="1" applyAlignment="1">
      <alignment horizontal="center" vertical="center"/>
    </xf>
    <xf numFmtId="165" fontId="48" fillId="2" borderId="5" xfId="0" applyNumberFormat="1" applyFont="1" applyFill="1" applyBorder="1" applyAlignment="1">
      <alignment horizontal="center" vertical="center"/>
    </xf>
    <xf numFmtId="165" fontId="48" fillId="2" borderId="4" xfId="0" applyNumberFormat="1" applyFont="1" applyFill="1" applyBorder="1" applyAlignment="1">
      <alignment horizontal="center" vertical="center"/>
    </xf>
    <xf numFmtId="0" fontId="48" fillId="2" borderId="37" xfId="0" applyFont="1" applyFill="1" applyBorder="1" applyAlignment="1">
      <alignment horizontal="center" vertical="center" wrapText="1"/>
    </xf>
    <xf numFmtId="0" fontId="48" fillId="2" borderId="38" xfId="0" applyFont="1" applyFill="1" applyBorder="1" applyAlignment="1">
      <alignment horizontal="center" vertical="center" wrapText="1"/>
    </xf>
    <xf numFmtId="0" fontId="48" fillId="2" borderId="41" xfId="0" applyFont="1" applyFill="1" applyBorder="1" applyAlignment="1">
      <alignment horizontal="center" vertical="center" wrapText="1"/>
    </xf>
    <xf numFmtId="165" fontId="48" fillId="5" borderId="1" xfId="0" applyNumberFormat="1" applyFont="1" applyFill="1" applyBorder="1" applyAlignment="1">
      <alignment horizontal="center" vertical="center"/>
    </xf>
    <xf numFmtId="165" fontId="48" fillId="5" borderId="2" xfId="0" applyNumberFormat="1" applyFont="1" applyFill="1" applyBorder="1" applyAlignment="1">
      <alignment horizontal="center" vertical="center"/>
    </xf>
    <xf numFmtId="165" fontId="48" fillId="5" borderId="8" xfId="0" applyNumberFormat="1" applyFont="1" applyFill="1" applyBorder="1" applyAlignment="1">
      <alignment horizontal="center" vertical="center"/>
    </xf>
    <xf numFmtId="0" fontId="123" fillId="33" borderId="3" xfId="0" applyFont="1" applyFill="1" applyBorder="1" applyAlignment="1">
      <alignment horizontal="center" vertical="center" wrapText="1"/>
    </xf>
    <xf numFmtId="0" fontId="123" fillId="33" borderId="4" xfId="0" applyFont="1" applyFill="1" applyBorder="1" applyAlignment="1">
      <alignment horizontal="center" vertical="center" wrapText="1"/>
    </xf>
    <xf numFmtId="0" fontId="123" fillId="33" borderId="9" xfId="0" applyFont="1" applyFill="1" applyBorder="1" applyAlignment="1">
      <alignment horizontal="center" vertical="center" wrapText="1"/>
    </xf>
    <xf numFmtId="0" fontId="48" fillId="24" borderId="37" xfId="0" applyFont="1" applyFill="1" applyBorder="1" applyAlignment="1">
      <alignment horizontal="center" vertical="center"/>
    </xf>
    <xf numFmtId="0" fontId="48" fillId="24" borderId="38" xfId="0" applyFont="1" applyFill="1" applyBorder="1" applyAlignment="1">
      <alignment horizontal="center" vertical="center"/>
    </xf>
    <xf numFmtId="0" fontId="48" fillId="38" borderId="37" xfId="0" applyFont="1" applyFill="1" applyBorder="1" applyAlignment="1">
      <alignment horizontal="center" vertical="center"/>
    </xf>
    <xf numFmtId="0" fontId="48" fillId="24" borderId="38" xfId="0" applyFont="1" applyFill="1" applyBorder="1" applyAlignment="1">
      <alignment horizontal="center" vertical="center" wrapText="1"/>
    </xf>
    <xf numFmtId="0" fontId="48" fillId="24" borderId="41" xfId="0" applyFont="1" applyFill="1" applyBorder="1" applyAlignment="1">
      <alignment horizontal="center" vertical="center" wrapText="1"/>
    </xf>
    <xf numFmtId="0" fontId="48" fillId="0" borderId="7" xfId="0" applyFont="1" applyBorder="1" applyAlignment="1">
      <alignment horizontal="center" vertical="center"/>
    </xf>
    <xf numFmtId="0" fontId="48" fillId="0" borderId="24" xfId="0" applyFont="1" applyBorder="1" applyAlignment="1">
      <alignment horizontal="center" vertical="center"/>
    </xf>
    <xf numFmtId="0" fontId="48" fillId="0" borderId="30" xfId="0" applyFont="1" applyBorder="1" applyAlignment="1">
      <alignment horizontal="center" vertical="center"/>
    </xf>
    <xf numFmtId="0" fontId="48" fillId="38" borderId="38" xfId="0" applyFont="1" applyFill="1" applyBorder="1" applyAlignment="1">
      <alignment horizontal="center" vertical="center" wrapText="1"/>
    </xf>
    <xf numFmtId="0" fontId="48" fillId="38" borderId="41" xfId="0" applyFont="1" applyFill="1" applyBorder="1" applyAlignment="1">
      <alignment horizontal="center" vertical="center" wrapText="1"/>
    </xf>
    <xf numFmtId="0" fontId="48" fillId="42" borderId="4" xfId="0" applyFont="1" applyFill="1" applyBorder="1" applyAlignment="1">
      <alignment horizontal="center" vertical="center" wrapText="1"/>
    </xf>
    <xf numFmtId="0" fontId="48" fillId="42" borderId="4" xfId="0" applyFont="1" applyFill="1" applyBorder="1" applyAlignment="1">
      <alignment horizontal="center" vertical="center"/>
    </xf>
    <xf numFmtId="0" fontId="123" fillId="2" borderId="7" xfId="0" applyFont="1" applyFill="1" applyBorder="1" applyAlignment="1">
      <alignment horizontal="center" vertical="center" wrapText="1"/>
    </xf>
    <xf numFmtId="0" fontId="123" fillId="2" borderId="24" xfId="0" applyFont="1" applyFill="1" applyBorder="1" applyAlignment="1">
      <alignment horizontal="center" vertical="center" wrapText="1"/>
    </xf>
    <xf numFmtId="0" fontId="124" fillId="0" borderId="65" xfId="0" applyFont="1" applyBorder="1" applyAlignment="1">
      <alignment horizontal="center" vertical="center" wrapText="1"/>
    </xf>
    <xf numFmtId="0" fontId="124" fillId="0" borderId="0" xfId="0" applyFont="1" applyAlignment="1">
      <alignment horizontal="center" vertical="center" wrapText="1"/>
    </xf>
    <xf numFmtId="0" fontId="124" fillId="0" borderId="60" xfId="0" applyFont="1" applyBorder="1" applyAlignment="1">
      <alignment horizontal="center" vertical="center" wrapText="1"/>
    </xf>
    <xf numFmtId="0" fontId="124" fillId="0" borderId="17" xfId="0" applyFont="1" applyBorder="1" applyAlignment="1">
      <alignment horizontal="center" vertical="center" wrapText="1"/>
    </xf>
    <xf numFmtId="0" fontId="124" fillId="0" borderId="12" xfId="0" applyFont="1" applyBorder="1" applyAlignment="1">
      <alignment horizontal="center" vertical="center" wrapText="1"/>
    </xf>
    <xf numFmtId="0" fontId="124" fillId="0" borderId="13" xfId="0" applyFont="1" applyBorder="1" applyAlignment="1">
      <alignment horizontal="center" vertical="center" wrapText="1"/>
    </xf>
    <xf numFmtId="0" fontId="124" fillId="0" borderId="4" xfId="0" applyFont="1" applyBorder="1" applyAlignment="1">
      <alignment horizontal="center" vertical="center" wrapText="1"/>
    </xf>
    <xf numFmtId="0" fontId="65" fillId="5" borderId="17" xfId="0" applyFont="1" applyFill="1" applyBorder="1" applyAlignment="1">
      <alignment horizontal="center" vertical="center" wrapText="1"/>
    </xf>
    <xf numFmtId="0" fontId="65" fillId="5" borderId="12" xfId="0" applyFont="1" applyFill="1" applyBorder="1" applyAlignment="1">
      <alignment horizontal="center" vertical="center" wrapText="1"/>
    </xf>
    <xf numFmtId="0" fontId="65" fillId="5" borderId="13" xfId="0" applyFont="1" applyFill="1" applyBorder="1" applyAlignment="1">
      <alignment horizontal="center" vertical="center" wrapText="1"/>
    </xf>
    <xf numFmtId="0" fontId="48" fillId="8" borderId="2" xfId="0" quotePrefix="1" applyFont="1" applyFill="1" applyBorder="1" applyAlignment="1">
      <alignment horizontal="left" vertical="center" wrapText="1"/>
    </xf>
    <xf numFmtId="165" fontId="38" fillId="4" borderId="17" xfId="0" applyNumberFormat="1" applyFont="1" applyFill="1" applyBorder="1" applyAlignment="1">
      <alignment horizontal="center" vertical="center"/>
    </xf>
    <xf numFmtId="165" fontId="38" fillId="4" borderId="12" xfId="0" applyNumberFormat="1" applyFont="1" applyFill="1" applyBorder="1" applyAlignment="1">
      <alignment horizontal="center" vertical="center"/>
    </xf>
    <xf numFmtId="165" fontId="38" fillId="4" borderId="13" xfId="0" applyNumberFormat="1" applyFont="1" applyFill="1" applyBorder="1" applyAlignment="1">
      <alignment horizontal="center" vertical="center"/>
    </xf>
    <xf numFmtId="0" fontId="75" fillId="5" borderId="17" xfId="0" applyFont="1" applyFill="1" applyBorder="1" applyAlignment="1">
      <alignment horizontal="center" vertical="center" wrapText="1"/>
    </xf>
    <xf numFmtId="0" fontId="75" fillId="5" borderId="12" xfId="0" applyFont="1" applyFill="1" applyBorder="1" applyAlignment="1">
      <alignment horizontal="center" vertical="center" wrapText="1"/>
    </xf>
    <xf numFmtId="0" fontId="75" fillId="5" borderId="13" xfId="0" applyFont="1" applyFill="1" applyBorder="1" applyAlignment="1">
      <alignment horizontal="center" vertical="center" wrapText="1"/>
    </xf>
    <xf numFmtId="0" fontId="45" fillId="3" borderId="50" xfId="0" applyFont="1" applyFill="1" applyBorder="1" applyAlignment="1">
      <alignment horizontal="left" vertical="center" wrapText="1"/>
    </xf>
    <xf numFmtId="0" fontId="45" fillId="3" borderId="56" xfId="0" applyFont="1" applyFill="1" applyBorder="1" applyAlignment="1">
      <alignment horizontal="left" vertical="center" wrapText="1"/>
    </xf>
    <xf numFmtId="0" fontId="45" fillId="3" borderId="46" xfId="0" applyFont="1" applyFill="1" applyBorder="1" applyAlignment="1">
      <alignment horizontal="left" vertical="center" wrapText="1"/>
    </xf>
    <xf numFmtId="0" fontId="4" fillId="24" borderId="37" xfId="0" applyFont="1" applyFill="1" applyBorder="1" applyAlignment="1">
      <alignment horizontal="center"/>
    </xf>
    <xf numFmtId="0" fontId="4" fillId="24" borderId="38" xfId="0" applyFont="1" applyFill="1" applyBorder="1" applyAlignment="1">
      <alignment horizontal="center"/>
    </xf>
    <xf numFmtId="0" fontId="4" fillId="0" borderId="68" xfId="0" applyFont="1" applyBorder="1" applyAlignment="1">
      <alignment horizontal="center" vertical="center"/>
    </xf>
    <xf numFmtId="0" fontId="118" fillId="0" borderId="66" xfId="0" applyFont="1" applyBorder="1" applyAlignment="1">
      <alignment horizontal="center" vertical="center"/>
    </xf>
    <xf numFmtId="0" fontId="118" fillId="0" borderId="67" xfId="0" applyFont="1" applyBorder="1" applyAlignment="1">
      <alignment horizontal="center" vertical="center"/>
    </xf>
    <xf numFmtId="0" fontId="54" fillId="5" borderId="37" xfId="0" applyFont="1" applyFill="1" applyBorder="1" applyAlignment="1">
      <alignment horizontal="center" vertical="center" wrapText="1"/>
    </xf>
    <xf numFmtId="0" fontId="54" fillId="5" borderId="38" xfId="0" applyFont="1" applyFill="1" applyBorder="1" applyAlignment="1">
      <alignment horizontal="center" vertical="center" wrapText="1"/>
    </xf>
    <xf numFmtId="0" fontId="54" fillId="5" borderId="41" xfId="0" applyFont="1" applyFill="1" applyBorder="1" applyAlignment="1">
      <alignment horizontal="center" vertical="center" wrapText="1"/>
    </xf>
    <xf numFmtId="0" fontId="4" fillId="19" borderId="21" xfId="0" applyFont="1" applyFill="1" applyBorder="1" applyAlignment="1">
      <alignment horizontal="left" vertical="center"/>
    </xf>
    <xf numFmtId="167" fontId="4" fillId="19" borderId="21" xfId="0" applyNumberFormat="1" applyFont="1" applyFill="1" applyBorder="1" applyAlignment="1">
      <alignment horizontal="center" vertical="center"/>
    </xf>
    <xf numFmtId="0" fontId="4" fillId="8" borderId="4" xfId="0" applyFont="1" applyFill="1" applyBorder="1" applyAlignment="1">
      <alignment horizontal="left" vertical="center"/>
    </xf>
    <xf numFmtId="167" fontId="4" fillId="8" borderId="4" xfId="0" applyNumberFormat="1" applyFont="1" applyFill="1" applyBorder="1" applyAlignment="1">
      <alignment horizontal="center" vertical="center"/>
    </xf>
    <xf numFmtId="0" fontId="4" fillId="19" borderId="4" xfId="0" applyFont="1" applyFill="1" applyBorder="1" applyAlignment="1">
      <alignment horizontal="left" vertical="center"/>
    </xf>
    <xf numFmtId="167" fontId="4" fillId="19" borderId="4" xfId="0" applyNumberFormat="1" applyFont="1" applyFill="1" applyBorder="1" applyAlignment="1">
      <alignment horizontal="center" vertical="center"/>
    </xf>
    <xf numFmtId="0" fontId="4" fillId="27" borderId="4" xfId="0" quotePrefix="1" applyFont="1" applyFill="1" applyBorder="1" applyAlignment="1">
      <alignment horizontal="left" vertical="center"/>
    </xf>
    <xf numFmtId="0" fontId="4" fillId="27" borderId="4" xfId="0" applyFont="1" applyFill="1" applyBorder="1" applyAlignment="1">
      <alignment horizontal="left" vertical="center"/>
    </xf>
    <xf numFmtId="167" fontId="4" fillId="27" borderId="4" xfId="0" applyNumberFormat="1" applyFont="1" applyFill="1" applyBorder="1" applyAlignment="1">
      <alignment horizontal="center" vertical="center"/>
    </xf>
    <xf numFmtId="0" fontId="4" fillId="3" borderId="4" xfId="0" applyFont="1" applyFill="1" applyBorder="1" applyAlignment="1">
      <alignment horizontal="left" vertical="center"/>
    </xf>
    <xf numFmtId="167" fontId="4" fillId="3" borderId="4" xfId="0" applyNumberFormat="1" applyFont="1" applyFill="1" applyBorder="1" applyAlignment="1">
      <alignment horizontal="center" vertical="center"/>
    </xf>
    <xf numFmtId="0" fontId="4" fillId="7" borderId="4" xfId="0" applyFont="1" applyFill="1" applyBorder="1" applyAlignment="1">
      <alignment horizontal="left" vertical="center"/>
    </xf>
    <xf numFmtId="167" fontId="4" fillId="7" borderId="4" xfId="0" applyNumberFormat="1" applyFont="1" applyFill="1" applyBorder="1" applyAlignment="1">
      <alignment horizontal="center" vertical="center"/>
    </xf>
    <xf numFmtId="0" fontId="4" fillId="7" borderId="4" xfId="0" quotePrefix="1" applyFont="1" applyFill="1" applyBorder="1" applyAlignment="1">
      <alignment horizontal="left" vertical="center"/>
    </xf>
    <xf numFmtId="0" fontId="4" fillId="8" borderId="4" xfId="0" quotePrefix="1" applyFont="1" applyFill="1" applyBorder="1" applyAlignment="1">
      <alignment horizontal="left" vertical="center"/>
    </xf>
    <xf numFmtId="0" fontId="4" fillId="3" borderId="4" xfId="0" quotePrefix="1" applyFont="1" applyFill="1" applyBorder="1" applyAlignment="1">
      <alignment horizontal="left" vertical="center"/>
    </xf>
    <xf numFmtId="0" fontId="4" fillId="28" borderId="52" xfId="0" applyFont="1" applyFill="1" applyBorder="1" applyAlignment="1">
      <alignment horizontal="left" vertical="center"/>
    </xf>
    <xf numFmtId="0" fontId="4" fillId="28" borderId="53" xfId="0" applyFont="1" applyFill="1" applyBorder="1" applyAlignment="1">
      <alignment horizontal="left" vertical="center"/>
    </xf>
    <xf numFmtId="167" fontId="4" fillId="28" borderId="52" xfId="0" applyNumberFormat="1" applyFont="1" applyFill="1" applyBorder="1" applyAlignment="1">
      <alignment horizontal="center" vertical="center"/>
    </xf>
    <xf numFmtId="167" fontId="4" fillId="28" borderId="12" xfId="0" applyNumberFormat="1" applyFont="1" applyFill="1" applyBorder="1" applyAlignment="1">
      <alignment horizontal="center" vertical="center"/>
    </xf>
    <xf numFmtId="167" fontId="4" fillId="28" borderId="53" xfId="0" applyNumberFormat="1" applyFont="1" applyFill="1" applyBorder="1" applyAlignment="1">
      <alignment horizontal="center" vertical="center"/>
    </xf>
    <xf numFmtId="0" fontId="4" fillId="8" borderId="49" xfId="0" applyFont="1" applyFill="1" applyBorder="1" applyAlignment="1">
      <alignment horizontal="left" vertical="center"/>
    </xf>
    <xf numFmtId="0" fontId="4" fillId="8" borderId="45" xfId="0" applyFont="1" applyFill="1" applyBorder="1" applyAlignment="1">
      <alignment horizontal="left" vertical="center"/>
    </xf>
    <xf numFmtId="167" fontId="4" fillId="8" borderId="49" xfId="0" applyNumberFormat="1" applyFont="1" applyFill="1" applyBorder="1" applyAlignment="1">
      <alignment horizontal="center" vertical="center"/>
    </xf>
    <xf numFmtId="167" fontId="4" fillId="8" borderId="44" xfId="0" applyNumberFormat="1" applyFont="1" applyFill="1" applyBorder="1" applyAlignment="1">
      <alignment horizontal="center" vertical="center"/>
    </xf>
    <xf numFmtId="167" fontId="4" fillId="8" borderId="45" xfId="0" applyNumberFormat="1" applyFont="1" applyFill="1" applyBorder="1" applyAlignment="1">
      <alignment horizontal="center" vertical="center"/>
    </xf>
    <xf numFmtId="0" fontId="4" fillId="28" borderId="4" xfId="0" applyFont="1" applyFill="1" applyBorder="1" applyAlignment="1">
      <alignment horizontal="left" vertical="center"/>
    </xf>
    <xf numFmtId="167" fontId="4" fillId="28" borderId="4" xfId="0" applyNumberFormat="1" applyFont="1" applyFill="1" applyBorder="1" applyAlignment="1">
      <alignment horizontal="center" vertical="center"/>
    </xf>
    <xf numFmtId="0" fontId="4" fillId="3" borderId="21" xfId="0" applyFont="1" applyFill="1" applyBorder="1" applyAlignment="1">
      <alignment horizontal="left" vertical="center" wrapText="1"/>
    </xf>
    <xf numFmtId="167" fontId="4" fillId="3" borderId="21" xfId="0" applyNumberFormat="1" applyFont="1" applyFill="1" applyBorder="1" applyAlignment="1">
      <alignment horizontal="center" vertical="center"/>
    </xf>
    <xf numFmtId="0" fontId="4" fillId="7" borderId="21" xfId="0" applyFont="1" applyFill="1" applyBorder="1" applyAlignment="1">
      <alignment horizontal="left" vertical="center"/>
    </xf>
    <xf numFmtId="167" fontId="4" fillId="7" borderId="21" xfId="0" applyNumberFormat="1" applyFont="1" applyFill="1" applyBorder="1" applyAlignment="1">
      <alignment horizontal="center" vertical="center"/>
    </xf>
    <xf numFmtId="0" fontId="4" fillId="3" borderId="38" xfId="0" quotePrefix="1" applyFont="1" applyFill="1" applyBorder="1" applyAlignment="1">
      <alignment horizontal="left" vertical="center"/>
    </xf>
    <xf numFmtId="0" fontId="4" fillId="3" borderId="38"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53" xfId="0" applyFont="1" applyFill="1" applyBorder="1" applyAlignment="1">
      <alignment horizontal="center" vertical="center"/>
    </xf>
    <xf numFmtId="0" fontId="4" fillId="28" borderId="11" xfId="0" applyFont="1" applyFill="1" applyBorder="1" applyAlignment="1">
      <alignment horizontal="left" vertical="center"/>
    </xf>
    <xf numFmtId="0" fontId="4" fillId="28" borderId="5" xfId="0" applyFont="1" applyFill="1" applyBorder="1" applyAlignment="1">
      <alignment horizontal="left" vertical="center"/>
    </xf>
    <xf numFmtId="0" fontId="4" fillId="7" borderId="4" xfId="0" applyFont="1" applyFill="1" applyBorder="1" applyAlignment="1">
      <alignment horizontal="left" vertical="center" wrapText="1"/>
    </xf>
    <xf numFmtId="0" fontId="4" fillId="7" borderId="11" xfId="0" applyFont="1" applyFill="1" applyBorder="1" applyAlignment="1">
      <alignment horizontal="center" vertical="center"/>
    </xf>
    <xf numFmtId="0" fontId="4" fillId="7" borderId="15" xfId="0" applyFont="1" applyFill="1" applyBorder="1" applyAlignment="1">
      <alignment horizontal="center" vertical="center"/>
    </xf>
    <xf numFmtId="0" fontId="4" fillId="7" borderId="5" xfId="0" applyFont="1" applyFill="1" applyBorder="1" applyAlignment="1">
      <alignment horizontal="center" vertical="center"/>
    </xf>
    <xf numFmtId="0" fontId="4" fillId="28" borderId="11" xfId="0" applyFont="1" applyFill="1" applyBorder="1" applyAlignment="1">
      <alignment horizontal="center" vertical="center"/>
    </xf>
    <xf numFmtId="0" fontId="4" fillId="28" borderId="15" xfId="0" applyFont="1" applyFill="1" applyBorder="1" applyAlignment="1">
      <alignment horizontal="center" vertical="center"/>
    </xf>
    <xf numFmtId="0" fontId="4" fillId="28" borderId="5" xfId="0" applyFont="1" applyFill="1" applyBorder="1" applyAlignment="1">
      <alignment horizontal="center" vertical="center"/>
    </xf>
    <xf numFmtId="0" fontId="4" fillId="28" borderId="4" xfId="0" applyFont="1" applyFill="1" applyBorder="1" applyAlignment="1">
      <alignment horizontal="left" vertical="center" wrapText="1"/>
    </xf>
    <xf numFmtId="0" fontId="4" fillId="28" borderId="4" xfId="0" applyFont="1" applyFill="1" applyBorder="1" applyAlignment="1">
      <alignment horizontal="center" vertical="center"/>
    </xf>
    <xf numFmtId="0" fontId="4" fillId="3" borderId="4" xfId="0" applyFont="1" applyFill="1" applyBorder="1" applyAlignment="1">
      <alignment horizontal="left" vertical="center" wrapText="1"/>
    </xf>
    <xf numFmtId="0" fontId="4" fillId="3" borderId="4" xfId="0" quotePrefix="1" applyFont="1" applyFill="1" applyBorder="1" applyAlignment="1">
      <alignment horizontal="left" vertical="center" wrapText="1"/>
    </xf>
    <xf numFmtId="0" fontId="4" fillId="3" borderId="4" xfId="0" applyFont="1" applyFill="1" applyBorder="1" applyAlignment="1">
      <alignment horizontal="center" vertical="center"/>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7" borderId="49" xfId="0" quotePrefix="1" applyFont="1" applyFill="1" applyBorder="1" applyAlignment="1">
      <alignment horizontal="left" vertical="center" wrapText="1"/>
    </xf>
    <xf numFmtId="0" fontId="5" fillId="27" borderId="45" xfId="0" applyFont="1" applyFill="1" applyBorder="1" applyAlignment="1">
      <alignment horizontal="left" vertical="center" wrapText="1"/>
    </xf>
    <xf numFmtId="14" fontId="12" fillId="27" borderId="49" xfId="0" quotePrefix="1" applyNumberFormat="1" applyFont="1" applyFill="1" applyBorder="1" applyAlignment="1">
      <alignment horizontal="center" vertical="center" wrapText="1"/>
    </xf>
    <xf numFmtId="14" fontId="12" fillId="27" borderId="45" xfId="0" applyNumberFormat="1" applyFont="1" applyFill="1" applyBorder="1" applyAlignment="1">
      <alignment horizontal="center" vertical="center" wrapText="1"/>
    </xf>
    <xf numFmtId="49" fontId="4" fillId="27" borderId="49" xfId="0" applyNumberFormat="1" applyFont="1" applyFill="1" applyBorder="1" applyAlignment="1">
      <alignment horizontal="center" vertical="center" wrapText="1"/>
    </xf>
    <xf numFmtId="49" fontId="4" fillId="27" borderId="45" xfId="0" applyNumberFormat="1" applyFont="1" applyFill="1" applyBorder="1" applyAlignment="1">
      <alignment horizontal="center" vertical="center" wrapText="1"/>
    </xf>
    <xf numFmtId="0" fontId="4" fillId="7" borderId="11" xfId="0" applyFont="1" applyFill="1" applyBorder="1" applyAlignment="1">
      <alignment horizontal="left" vertical="center" wrapText="1"/>
    </xf>
    <xf numFmtId="0" fontId="4" fillId="7" borderId="5" xfId="0" applyFont="1" applyFill="1" applyBorder="1" applyAlignment="1">
      <alignment horizontal="left" vertical="center" wrapText="1"/>
    </xf>
    <xf numFmtId="14" fontId="4" fillId="7" borderId="50" xfId="0" quotePrefix="1" applyNumberFormat="1" applyFont="1" applyFill="1" applyBorder="1" applyAlignment="1">
      <alignment horizontal="center" vertical="center" wrapText="1"/>
    </xf>
    <xf numFmtId="14" fontId="4" fillId="7" borderId="46" xfId="0" applyNumberFormat="1" applyFont="1" applyFill="1" applyBorder="1" applyAlignment="1">
      <alignment horizontal="center" vertical="center" wrapText="1"/>
    </xf>
    <xf numFmtId="167" fontId="4" fillId="7" borderId="11" xfId="0" applyNumberFormat="1" applyFont="1" applyFill="1" applyBorder="1" applyAlignment="1">
      <alignment horizontal="center" vertical="center"/>
    </xf>
    <xf numFmtId="167" fontId="4" fillId="7" borderId="15" xfId="0" applyNumberFormat="1" applyFont="1" applyFill="1" applyBorder="1" applyAlignment="1">
      <alignment horizontal="center" vertical="center"/>
    </xf>
    <xf numFmtId="167" fontId="4" fillId="7" borderId="5" xfId="0" applyNumberFormat="1" applyFont="1" applyFill="1" applyBorder="1" applyAlignment="1">
      <alignment horizontal="center" vertical="center"/>
    </xf>
    <xf numFmtId="0" fontId="5" fillId="0" borderId="47" xfId="0" applyFont="1" applyBorder="1" applyAlignment="1">
      <alignment horizontal="center" vertical="center"/>
    </xf>
    <xf numFmtId="0" fontId="5" fillId="0" borderId="6" xfId="0" applyFont="1" applyBorder="1" applyAlignment="1">
      <alignment horizontal="center" vertical="center"/>
    </xf>
    <xf numFmtId="0" fontId="5" fillId="3" borderId="6" xfId="0" quotePrefix="1" applyFont="1" applyFill="1" applyBorder="1" applyAlignment="1">
      <alignment horizontal="left" vertical="center" wrapText="1"/>
    </xf>
    <xf numFmtId="0" fontId="5" fillId="3" borderId="6" xfId="0" applyFont="1" applyFill="1" applyBorder="1" applyAlignment="1">
      <alignment horizontal="left" vertical="center" wrapText="1"/>
    </xf>
    <xf numFmtId="14" fontId="12" fillId="3" borderId="6" xfId="0" quotePrefix="1" applyNumberFormat="1" applyFont="1" applyFill="1" applyBorder="1" applyAlignment="1">
      <alignment horizontal="center" vertical="center" wrapText="1"/>
    </xf>
    <xf numFmtId="14" fontId="12" fillId="3" borderId="6" xfId="0" applyNumberFormat="1" applyFont="1" applyFill="1" applyBorder="1" applyAlignment="1">
      <alignment horizontal="center" vertical="center" wrapText="1"/>
    </xf>
    <xf numFmtId="49" fontId="4" fillId="3" borderId="6"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7" borderId="2" xfId="0" quotePrefix="1" applyFont="1" applyFill="1" applyBorder="1" applyAlignment="1">
      <alignment horizontal="left" vertical="center" wrapText="1"/>
    </xf>
    <xf numFmtId="0" fontId="5" fillId="7" borderId="2" xfId="0" applyFont="1" applyFill="1" applyBorder="1" applyAlignment="1">
      <alignment horizontal="left" vertical="center" wrapText="1"/>
    </xf>
    <xf numFmtId="14" fontId="12" fillId="7" borderId="2" xfId="0" quotePrefix="1" applyNumberFormat="1" applyFont="1" applyFill="1" applyBorder="1" applyAlignment="1">
      <alignment horizontal="center" vertical="center" wrapText="1"/>
    </xf>
    <xf numFmtId="14" fontId="12" fillId="7" borderId="2" xfId="0" applyNumberFormat="1" applyFont="1" applyFill="1" applyBorder="1" applyAlignment="1">
      <alignment horizontal="center" vertical="center" wrapText="1"/>
    </xf>
    <xf numFmtId="49" fontId="4" fillId="7" borderId="2" xfId="0" applyNumberFormat="1" applyFont="1" applyFill="1" applyBorder="1" applyAlignment="1">
      <alignment horizontal="center" vertical="center" wrapText="1"/>
    </xf>
    <xf numFmtId="0" fontId="5" fillId="2" borderId="4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7" borderId="48" xfId="0" quotePrefix="1" applyFont="1" applyFill="1" applyBorder="1" applyAlignment="1">
      <alignment horizontal="left" vertical="center" wrapText="1"/>
    </xf>
    <xf numFmtId="0" fontId="5" fillId="7" borderId="26" xfId="0" applyFont="1" applyFill="1" applyBorder="1" applyAlignment="1">
      <alignment horizontal="left" vertical="center" wrapText="1"/>
    </xf>
    <xf numFmtId="14" fontId="12" fillId="7" borderId="6" xfId="0" quotePrefix="1" applyNumberFormat="1" applyFont="1" applyFill="1" applyBorder="1" applyAlignment="1">
      <alignment horizontal="center" vertical="center" wrapText="1"/>
    </xf>
    <xf numFmtId="14" fontId="12" fillId="7" borderId="6" xfId="0" applyNumberFormat="1" applyFont="1" applyFill="1" applyBorder="1" applyAlignment="1">
      <alignment horizontal="center" vertical="center" wrapText="1"/>
    </xf>
    <xf numFmtId="49" fontId="4" fillId="7" borderId="6" xfId="0" applyNumberFormat="1" applyFont="1" applyFill="1" applyBorder="1" applyAlignment="1">
      <alignment horizontal="center" vertical="center" wrapText="1"/>
    </xf>
    <xf numFmtId="0" fontId="5" fillId="3" borderId="2" xfId="0" quotePrefix="1" applyFont="1" applyFill="1" applyBorder="1" applyAlignment="1">
      <alignment horizontal="left" vertical="center" wrapText="1"/>
    </xf>
    <xf numFmtId="0" fontId="5" fillId="3" borderId="2" xfId="0" applyFont="1" applyFill="1" applyBorder="1" applyAlignment="1">
      <alignment horizontal="left" vertical="center" wrapText="1"/>
    </xf>
    <xf numFmtId="14" fontId="12" fillId="3" borderId="2" xfId="0" quotePrefix="1" applyNumberFormat="1" applyFont="1" applyFill="1" applyBorder="1" applyAlignment="1">
      <alignment horizontal="center" vertical="center" wrapText="1"/>
    </xf>
    <xf numFmtId="14" fontId="12" fillId="3" borderId="2"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7" borderId="46" xfId="0" quotePrefix="1" applyFont="1" applyFill="1" applyBorder="1" applyAlignment="1">
      <alignment horizontal="left" vertical="center" wrapText="1"/>
    </xf>
    <xf numFmtId="0" fontId="4" fillId="3" borderId="21" xfId="0" applyFont="1" applyFill="1" applyBorder="1" applyAlignment="1">
      <alignment horizontal="left" vertical="center"/>
    </xf>
    <xf numFmtId="0" fontId="2" fillId="25" borderId="42" xfId="0" applyFont="1" applyFill="1" applyBorder="1" applyAlignment="1">
      <alignment horizontal="center" vertical="center" wrapText="1"/>
    </xf>
    <xf numFmtId="0" fontId="2" fillId="25" borderId="40" xfId="0" applyFont="1" applyFill="1" applyBorder="1" applyAlignment="1">
      <alignment horizontal="center" vertical="center" wrapText="1"/>
    </xf>
    <xf numFmtId="0" fontId="2" fillId="26" borderId="43" xfId="0" applyFont="1" applyFill="1" applyBorder="1" applyAlignment="1">
      <alignment horizontal="center" vertical="center"/>
    </xf>
    <xf numFmtId="0" fontId="2" fillId="26" borderId="40" xfId="0" applyFont="1" applyFill="1" applyBorder="1" applyAlignment="1">
      <alignment horizontal="center" vertical="center"/>
    </xf>
    <xf numFmtId="0" fontId="2" fillId="26" borderId="43" xfId="0" applyFont="1" applyFill="1" applyBorder="1" applyAlignment="1">
      <alignment horizontal="center" vertical="center" wrapText="1"/>
    </xf>
    <xf numFmtId="0" fontId="2" fillId="26" borderId="40" xfId="0" applyFont="1" applyFill="1" applyBorder="1" applyAlignment="1">
      <alignment horizontal="center" vertical="center" wrapText="1"/>
    </xf>
    <xf numFmtId="0" fontId="45" fillId="8" borderId="44" xfId="0" applyFont="1" applyFill="1" applyBorder="1" applyAlignment="1">
      <alignment vertical="center"/>
    </xf>
    <xf numFmtId="0" fontId="45" fillId="8" borderId="45" xfId="0" applyFont="1" applyFill="1" applyBorder="1" applyAlignment="1">
      <alignment vertical="center"/>
    </xf>
    <xf numFmtId="0" fontId="48" fillId="3" borderId="49" xfId="0" applyFont="1" applyFill="1" applyBorder="1" applyAlignment="1">
      <alignment horizontal="center" vertical="center"/>
    </xf>
    <xf numFmtId="0" fontId="48" fillId="3" borderId="61" xfId="0" applyFont="1" applyFill="1" applyBorder="1" applyAlignment="1">
      <alignment horizontal="center" vertical="center"/>
    </xf>
    <xf numFmtId="0" fontId="48" fillId="3" borderId="49" xfId="0" applyFont="1" applyFill="1" applyBorder="1" applyAlignment="1">
      <alignment horizontal="center" vertical="center" wrapText="1"/>
    </xf>
    <xf numFmtId="0" fontId="48" fillId="3" borderId="44" xfId="0" applyFont="1" applyFill="1" applyBorder="1" applyAlignment="1">
      <alignment horizontal="center" vertical="center" wrapText="1"/>
    </xf>
    <xf numFmtId="0" fontId="48" fillId="0" borderId="21" xfId="0" quotePrefix="1" applyFont="1" applyBorder="1" applyAlignment="1">
      <alignment horizontal="center" vertical="center"/>
    </xf>
    <xf numFmtId="0" fontId="48" fillId="0" borderId="21" xfId="0" applyFont="1" applyBorder="1" applyAlignment="1">
      <alignment horizontal="center" vertical="center"/>
    </xf>
    <xf numFmtId="0" fontId="48" fillId="8" borderId="21" xfId="0" applyFont="1" applyFill="1" applyBorder="1" applyAlignment="1">
      <alignment horizontal="left" vertical="center"/>
    </xf>
    <xf numFmtId="0" fontId="48" fillId="8" borderId="21" xfId="0" applyFont="1" applyFill="1" applyBorder="1" applyAlignment="1">
      <alignment horizontal="center" vertical="center"/>
    </xf>
    <xf numFmtId="0" fontId="48" fillId="8" borderId="4" xfId="0" applyFont="1" applyFill="1" applyBorder="1" applyAlignment="1">
      <alignment horizontal="left" vertical="center"/>
    </xf>
    <xf numFmtId="0" fontId="48" fillId="8" borderId="4" xfId="0" applyFont="1" applyFill="1" applyBorder="1" applyAlignment="1">
      <alignment horizontal="center" vertical="center"/>
    </xf>
    <xf numFmtId="0" fontId="48" fillId="0" borderId="4" xfId="0" quotePrefix="1" applyFont="1" applyBorder="1" applyAlignment="1">
      <alignment horizontal="center" vertical="center"/>
    </xf>
    <xf numFmtId="0" fontId="48" fillId="0" borderId="4" xfId="0" applyFont="1" applyBorder="1" applyAlignment="1">
      <alignment horizontal="center" vertical="center"/>
    </xf>
    <xf numFmtId="0" fontId="71" fillId="5" borderId="17" xfId="0" applyFont="1" applyFill="1" applyBorder="1" applyAlignment="1">
      <alignment horizontal="center" vertical="center" wrapText="1"/>
    </xf>
    <xf numFmtId="0" fontId="71" fillId="5" borderId="12" xfId="0" applyFont="1" applyFill="1" applyBorder="1" applyAlignment="1">
      <alignment horizontal="center" vertical="center" wrapText="1"/>
    </xf>
    <xf numFmtId="0" fontId="71" fillId="5" borderId="13" xfId="0" applyFont="1" applyFill="1" applyBorder="1" applyAlignment="1">
      <alignment horizontal="center" vertical="center" wrapText="1"/>
    </xf>
    <xf numFmtId="0" fontId="45" fillId="2" borderId="4" xfId="0" quotePrefix="1" applyFont="1" applyFill="1" applyBorder="1" applyAlignment="1">
      <alignment horizontal="center" vertical="center" wrapText="1"/>
    </xf>
    <xf numFmtId="0" fontId="45" fillId="2" borderId="4" xfId="0" applyFont="1" applyFill="1" applyBorder="1" applyAlignment="1">
      <alignment horizontal="center" vertical="center" wrapText="1"/>
    </xf>
    <xf numFmtId="0" fontId="61" fillId="23" borderId="4" xfId="0" applyFont="1" applyFill="1" applyBorder="1" applyAlignment="1">
      <alignment horizontal="center" vertical="center" wrapText="1"/>
    </xf>
    <xf numFmtId="0" fontId="45" fillId="19" borderId="4" xfId="0" applyFont="1" applyFill="1" applyBorder="1" applyAlignment="1">
      <alignment horizontal="center" vertical="center" wrapText="1"/>
    </xf>
    <xf numFmtId="0" fontId="100" fillId="33" borderId="1" xfId="0" applyFont="1" applyFill="1" applyBorder="1" applyAlignment="1">
      <alignment horizontal="center" vertical="center"/>
    </xf>
    <xf numFmtId="0" fontId="100" fillId="33" borderId="2" xfId="0" applyFont="1" applyFill="1" applyBorder="1" applyAlignment="1">
      <alignment horizontal="center" vertical="center"/>
    </xf>
    <xf numFmtId="0" fontId="100" fillId="33" borderId="8" xfId="0" applyFont="1" applyFill="1" applyBorder="1" applyAlignment="1">
      <alignment horizontal="center" vertical="center"/>
    </xf>
    <xf numFmtId="0" fontId="101" fillId="38" borderId="3" xfId="0" applyFont="1" applyFill="1" applyBorder="1" applyAlignment="1">
      <alignment horizontal="center" vertical="center" wrapText="1"/>
    </xf>
    <xf numFmtId="0" fontId="101" fillId="38" borderId="4" xfId="0" applyFont="1" applyFill="1" applyBorder="1" applyAlignment="1">
      <alignment horizontal="center" vertical="center" wrapText="1"/>
    </xf>
    <xf numFmtId="0" fontId="101" fillId="38" borderId="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28" fillId="5" borderId="17" xfId="0" applyFont="1" applyFill="1" applyBorder="1" applyAlignment="1">
      <alignment horizontal="center" vertical="center" wrapText="1"/>
    </xf>
    <xf numFmtId="0" fontId="28" fillId="5" borderId="12" xfId="0" applyFont="1" applyFill="1" applyBorder="1" applyAlignment="1">
      <alignment horizontal="center" vertical="center" wrapText="1"/>
    </xf>
    <xf numFmtId="0" fontId="28" fillId="5" borderId="13" xfId="0" applyFont="1" applyFill="1" applyBorder="1" applyAlignment="1">
      <alignment horizontal="center" vertical="center" wrapText="1"/>
    </xf>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colors>
    <mruColors>
      <color rgb="FFF5910B"/>
      <color rgb="FFF88008"/>
      <color rgb="FFF7D3F2"/>
      <color rgb="FFD9B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gem.gov.in/" TargetMode="External"/><Relationship Id="rId21" Type="http://schemas.openxmlformats.org/officeDocument/2006/relationships/hyperlink" Target="https://gem.gov.in/" TargetMode="External"/><Relationship Id="rId42" Type="http://schemas.openxmlformats.org/officeDocument/2006/relationships/hyperlink" Target="https://eproc.rajasthan.gov.in/" TargetMode="External"/><Relationship Id="rId63" Type="http://schemas.openxmlformats.org/officeDocument/2006/relationships/hyperlink" Target="https://gem.gov.in/" TargetMode="External"/><Relationship Id="rId84" Type="http://schemas.openxmlformats.org/officeDocument/2006/relationships/hyperlink" Target="https://gem.gov.in/" TargetMode="External"/><Relationship Id="rId138" Type="http://schemas.openxmlformats.org/officeDocument/2006/relationships/hyperlink" Target="https://mptenders.gov.in/" TargetMode="External"/><Relationship Id="rId159" Type="http://schemas.openxmlformats.org/officeDocument/2006/relationships/hyperlink" Target="https://mptenders.gov.in/nicgep/app" TargetMode="External"/><Relationship Id="rId170" Type="http://schemas.openxmlformats.org/officeDocument/2006/relationships/hyperlink" Target="https://mptenders.gov.in/" TargetMode="External"/><Relationship Id="rId191" Type="http://schemas.openxmlformats.org/officeDocument/2006/relationships/hyperlink" Target="https://bidplus.gem.gov.in/all-bids" TargetMode="External"/><Relationship Id="rId205" Type="http://schemas.openxmlformats.org/officeDocument/2006/relationships/hyperlink" Target="https://bidplus.gem.gov.in/all-bids" TargetMode="External"/><Relationship Id="rId226" Type="http://schemas.openxmlformats.org/officeDocument/2006/relationships/hyperlink" Target="https://eprocure.gov.in/eprocure/app" TargetMode="External"/><Relationship Id="rId107" Type="http://schemas.openxmlformats.org/officeDocument/2006/relationships/hyperlink" Target="https://www.defproc.gov.in/nicgep/app" TargetMode="External"/><Relationship Id="rId11" Type="http://schemas.openxmlformats.org/officeDocument/2006/relationships/hyperlink" Target="https://mahatenders.gov.in/" TargetMode="External"/><Relationship Id="rId32" Type="http://schemas.openxmlformats.org/officeDocument/2006/relationships/hyperlink" Target="https://gem.gov.in/" TargetMode="External"/><Relationship Id="rId53" Type="http://schemas.openxmlformats.org/officeDocument/2006/relationships/hyperlink" Target="https://eprocure.gov.in/eprocure/app" TargetMode="External"/><Relationship Id="rId74" Type="http://schemas.openxmlformats.org/officeDocument/2006/relationships/hyperlink" Target="https://gem.gov.in/" TargetMode="External"/><Relationship Id="rId128" Type="http://schemas.openxmlformats.org/officeDocument/2006/relationships/hyperlink" Target="https://etender.up.nic.in/" TargetMode="External"/><Relationship Id="rId149" Type="http://schemas.openxmlformats.org/officeDocument/2006/relationships/hyperlink" Target="https://mptenders.gov.in/nicgep/app" TargetMode="External"/><Relationship Id="rId5" Type="http://schemas.openxmlformats.org/officeDocument/2006/relationships/hyperlink" Target="https://mptenders.gov.in/" TargetMode="External"/><Relationship Id="rId95" Type="http://schemas.openxmlformats.org/officeDocument/2006/relationships/hyperlink" Target="https://mptenders.gov.in/nicgep/app" TargetMode="External"/><Relationship Id="rId160" Type="http://schemas.openxmlformats.org/officeDocument/2006/relationships/hyperlink" Target="https://mptenders.gov.in/nicgep/app" TargetMode="External"/><Relationship Id="rId181" Type="http://schemas.openxmlformats.org/officeDocument/2006/relationships/hyperlink" Target="https://etenders.hry.nic.in/" TargetMode="External"/><Relationship Id="rId216" Type="http://schemas.openxmlformats.org/officeDocument/2006/relationships/hyperlink" Target="https://mptenders.gov.in/nicgep/app" TargetMode="External"/><Relationship Id="rId237" Type="http://schemas.openxmlformats.org/officeDocument/2006/relationships/hyperlink" Target="https://mptenders.gov.in/" TargetMode="External"/><Relationship Id="rId22" Type="http://schemas.openxmlformats.org/officeDocument/2006/relationships/hyperlink" Target="https://mptenders.gov.in/" TargetMode="External"/><Relationship Id="rId43" Type="http://schemas.openxmlformats.org/officeDocument/2006/relationships/hyperlink" Target="https://gem.gov.in/" TargetMode="External"/><Relationship Id="rId64" Type="http://schemas.openxmlformats.org/officeDocument/2006/relationships/hyperlink" Target="https://gem.gov.in/" TargetMode="External"/><Relationship Id="rId118" Type="http://schemas.openxmlformats.org/officeDocument/2006/relationships/hyperlink" Target="https://gem.gov.in/" TargetMode="External"/><Relationship Id="rId139" Type="http://schemas.openxmlformats.org/officeDocument/2006/relationships/hyperlink" Target="https://gem.gov.in/" TargetMode="External"/><Relationship Id="rId85" Type="http://schemas.openxmlformats.org/officeDocument/2006/relationships/hyperlink" Target="https://gem.gov.in/" TargetMode="External"/><Relationship Id="rId150" Type="http://schemas.openxmlformats.org/officeDocument/2006/relationships/hyperlink" Target="https://bidplus.gem.gov.in/all-bids" TargetMode="External"/><Relationship Id="rId171" Type="http://schemas.openxmlformats.org/officeDocument/2006/relationships/hyperlink" Target="https://bidplus.gem.gov.in/all-bids" TargetMode="External"/><Relationship Id="rId192" Type="http://schemas.openxmlformats.org/officeDocument/2006/relationships/hyperlink" Target="https://bidplus.gem.gov.in/all-bids" TargetMode="External"/><Relationship Id="rId206" Type="http://schemas.openxmlformats.org/officeDocument/2006/relationships/hyperlink" Target="https://bidplus.gem.gov.in/all-bids" TargetMode="External"/><Relationship Id="rId227" Type="http://schemas.openxmlformats.org/officeDocument/2006/relationships/hyperlink" Target="https://govtprocurement.delhi.gov.in/nicgep/app" TargetMode="External"/><Relationship Id="rId12" Type="http://schemas.openxmlformats.org/officeDocument/2006/relationships/hyperlink" Target="https://etenders.hry.nic.in/" TargetMode="External"/><Relationship Id="rId33" Type="http://schemas.openxmlformats.org/officeDocument/2006/relationships/hyperlink" Target="https://tendersodisha.gov.in/nicgep/app" TargetMode="External"/><Relationship Id="rId108" Type="http://schemas.openxmlformats.org/officeDocument/2006/relationships/hyperlink" Target="https://gem.gov.in/" TargetMode="External"/><Relationship Id="rId129" Type="http://schemas.openxmlformats.org/officeDocument/2006/relationships/hyperlink" Target="https://gem.gov.in/" TargetMode="External"/><Relationship Id="rId54" Type="http://schemas.openxmlformats.org/officeDocument/2006/relationships/hyperlink" Target="https://gem.gov.in/" TargetMode="External"/><Relationship Id="rId75" Type="http://schemas.openxmlformats.org/officeDocument/2006/relationships/hyperlink" Target="https://gem.gov.in/" TargetMode="External"/><Relationship Id="rId96" Type="http://schemas.openxmlformats.org/officeDocument/2006/relationships/hyperlink" Target="https://mptenders.gov.in/nicgep/app" TargetMode="External"/><Relationship Id="rId140" Type="http://schemas.openxmlformats.org/officeDocument/2006/relationships/hyperlink" Target="https://eproc2.bihar.gov.in/" TargetMode="External"/><Relationship Id="rId161" Type="http://schemas.openxmlformats.org/officeDocument/2006/relationships/hyperlink" Target="https://mptenders.gov.in/nicgep/app" TargetMode="External"/><Relationship Id="rId182" Type="http://schemas.openxmlformats.org/officeDocument/2006/relationships/hyperlink" Target="https://mptenders.gov.in/nicgep/app" TargetMode="External"/><Relationship Id="rId217" Type="http://schemas.openxmlformats.org/officeDocument/2006/relationships/hyperlink" Target="https://mptenders.gov.in/nicgep/app" TargetMode="External"/><Relationship Id="rId6" Type="http://schemas.openxmlformats.org/officeDocument/2006/relationships/hyperlink" Target="https://gem.gov.in/" TargetMode="External"/><Relationship Id="rId238" Type="http://schemas.openxmlformats.org/officeDocument/2006/relationships/hyperlink" Target="https://mptenders.gov.in/" TargetMode="External"/><Relationship Id="rId23" Type="http://schemas.openxmlformats.org/officeDocument/2006/relationships/hyperlink" Target="https://gem.gov.in/" TargetMode="External"/><Relationship Id="rId119" Type="http://schemas.openxmlformats.org/officeDocument/2006/relationships/hyperlink" Target="https://mptenders.gov.in/nicgep/app" TargetMode="External"/><Relationship Id="rId44" Type="http://schemas.openxmlformats.org/officeDocument/2006/relationships/hyperlink" Target="https://eprocure.gov.in/" TargetMode="External"/><Relationship Id="rId65" Type="http://schemas.openxmlformats.org/officeDocument/2006/relationships/hyperlink" Target="https://mptenders.gov.in/nicgep/app" TargetMode="External"/><Relationship Id="rId86" Type="http://schemas.openxmlformats.org/officeDocument/2006/relationships/hyperlink" Target="https://gem.gov.in/" TargetMode="External"/><Relationship Id="rId130" Type="http://schemas.openxmlformats.org/officeDocument/2006/relationships/hyperlink" Target="https://gem.gov.in/" TargetMode="External"/><Relationship Id="rId151" Type="http://schemas.openxmlformats.org/officeDocument/2006/relationships/hyperlink" Target="http://www.ocac.in/" TargetMode="External"/><Relationship Id="rId172" Type="http://schemas.openxmlformats.org/officeDocument/2006/relationships/hyperlink" Target="https://bidplus.gem.gov.in/" TargetMode="External"/><Relationship Id="rId193" Type="http://schemas.openxmlformats.org/officeDocument/2006/relationships/hyperlink" Target="https://bidplus.gem.gov.in/all-bids" TargetMode="External"/><Relationship Id="rId207" Type="http://schemas.openxmlformats.org/officeDocument/2006/relationships/hyperlink" Target="https://bidplus.gem.gov.in/all-bids" TargetMode="External"/><Relationship Id="rId228" Type="http://schemas.openxmlformats.org/officeDocument/2006/relationships/hyperlink" Target="https://www.tripuratenders.gov.in/nicgep/app" TargetMode="External"/><Relationship Id="rId13" Type="http://schemas.openxmlformats.org/officeDocument/2006/relationships/hyperlink" Target="https://gem.gov.in/" TargetMode="External"/><Relationship Id="rId109" Type="http://schemas.openxmlformats.org/officeDocument/2006/relationships/hyperlink" Target="https://gem.gov.in/" TargetMode="External"/><Relationship Id="rId34" Type="http://schemas.openxmlformats.org/officeDocument/2006/relationships/hyperlink" Target="https://tendersodisha.gov.in/nicgep/app" TargetMode="External"/><Relationship Id="rId55" Type="http://schemas.openxmlformats.org/officeDocument/2006/relationships/hyperlink" Target="https://gem.gov.in/" TargetMode="External"/><Relationship Id="rId76" Type="http://schemas.openxmlformats.org/officeDocument/2006/relationships/hyperlink" Target="https://etenders.hry.nic.in/" TargetMode="External"/><Relationship Id="rId97" Type="http://schemas.openxmlformats.org/officeDocument/2006/relationships/hyperlink" Target="https://gem.gov.in/" TargetMode="External"/><Relationship Id="rId120" Type="http://schemas.openxmlformats.org/officeDocument/2006/relationships/hyperlink" Target="https://www.ireps.gov.in/" TargetMode="External"/><Relationship Id="rId141" Type="http://schemas.openxmlformats.org/officeDocument/2006/relationships/hyperlink" Target="https://bidplus.gem.gov.in/all-bids" TargetMode="External"/><Relationship Id="rId7" Type="http://schemas.openxmlformats.org/officeDocument/2006/relationships/hyperlink" Target="https://gem.gov.in/" TargetMode="External"/><Relationship Id="rId162" Type="http://schemas.openxmlformats.org/officeDocument/2006/relationships/hyperlink" Target="https://mptenders.gov.in/nicgep/app" TargetMode="External"/><Relationship Id="rId183" Type="http://schemas.openxmlformats.org/officeDocument/2006/relationships/hyperlink" Target="https://bidplus.gem.gov.in/all-bids" TargetMode="External"/><Relationship Id="rId218" Type="http://schemas.openxmlformats.org/officeDocument/2006/relationships/hyperlink" Target="https://bidplus.gem.gov.in/all-bids" TargetMode="External"/><Relationship Id="rId239" Type="http://schemas.openxmlformats.org/officeDocument/2006/relationships/hyperlink" Target="https://bidplus.gem.gov.in/all-bids" TargetMode="External"/><Relationship Id="rId24" Type="http://schemas.openxmlformats.org/officeDocument/2006/relationships/hyperlink" Target="https://etenders.chd.nic.in/nicgep/app" TargetMode="External"/><Relationship Id="rId45" Type="http://schemas.openxmlformats.org/officeDocument/2006/relationships/hyperlink" Target="https://eprocure.gov.in/eprocure/app" TargetMode="External"/><Relationship Id="rId66" Type="http://schemas.openxmlformats.org/officeDocument/2006/relationships/hyperlink" Target="https://gem.gov.in/" TargetMode="External"/><Relationship Id="rId87" Type="http://schemas.openxmlformats.org/officeDocument/2006/relationships/hyperlink" Target="https://gem.gov.in/" TargetMode="External"/><Relationship Id="rId110" Type="http://schemas.openxmlformats.org/officeDocument/2006/relationships/hyperlink" Target="https://gem.gov.in/" TargetMode="External"/><Relationship Id="rId131" Type="http://schemas.openxmlformats.org/officeDocument/2006/relationships/hyperlink" Target="https://mptenders.gov.in/nicgep/app" TargetMode="External"/><Relationship Id="rId152" Type="http://schemas.openxmlformats.org/officeDocument/2006/relationships/hyperlink" Target="https://mptenders.gov.in/nicgep/app" TargetMode="External"/><Relationship Id="rId173" Type="http://schemas.openxmlformats.org/officeDocument/2006/relationships/hyperlink" Target="https://bidplus.gem.gov.in/" TargetMode="External"/><Relationship Id="rId194" Type="http://schemas.openxmlformats.org/officeDocument/2006/relationships/hyperlink" Target="https://jharkhandtenders.gov.in/nicgep/app" TargetMode="External"/><Relationship Id="rId208" Type="http://schemas.openxmlformats.org/officeDocument/2006/relationships/hyperlink" Target="https://itilimited.ewizard.in/" TargetMode="External"/><Relationship Id="rId229" Type="http://schemas.openxmlformats.org/officeDocument/2006/relationships/hyperlink" Target="https://etender.up.nic.in/nicgep/app" TargetMode="External"/><Relationship Id="rId240" Type="http://schemas.openxmlformats.org/officeDocument/2006/relationships/hyperlink" Target="https://eproc.cgstate.gov.in/CHEPS/security/getSignInAction.do" TargetMode="External"/><Relationship Id="rId14" Type="http://schemas.openxmlformats.org/officeDocument/2006/relationships/hyperlink" Target="https://eprocure.gov.in/eprocure/app" TargetMode="External"/><Relationship Id="rId35" Type="http://schemas.openxmlformats.org/officeDocument/2006/relationships/hyperlink" Target="https://wbtenders.gov.in/nicgep/app" TargetMode="External"/><Relationship Id="rId56" Type="http://schemas.openxmlformats.org/officeDocument/2006/relationships/hyperlink" Target="https://gem.gov.in/" TargetMode="External"/><Relationship Id="rId77" Type="http://schemas.openxmlformats.org/officeDocument/2006/relationships/hyperlink" Target="https://gem.gov.in/" TargetMode="External"/><Relationship Id="rId100" Type="http://schemas.openxmlformats.org/officeDocument/2006/relationships/hyperlink" Target="https://mptenders.gov.in/" TargetMode="External"/><Relationship Id="rId8" Type="http://schemas.openxmlformats.org/officeDocument/2006/relationships/hyperlink" Target="https://gem.gov.in/" TargetMode="External"/><Relationship Id="rId98" Type="http://schemas.openxmlformats.org/officeDocument/2006/relationships/hyperlink" Target="https://gem.gov.in/" TargetMode="External"/><Relationship Id="rId121" Type="http://schemas.openxmlformats.org/officeDocument/2006/relationships/hyperlink" Target="https://www.ireps.gov.in/" TargetMode="External"/><Relationship Id="rId142" Type="http://schemas.openxmlformats.org/officeDocument/2006/relationships/hyperlink" Target="https://eprocure.gov.in/eprocure/app" TargetMode="External"/><Relationship Id="rId163" Type="http://schemas.openxmlformats.org/officeDocument/2006/relationships/hyperlink" Target="https://mptenders.gov.in/nicgep/app" TargetMode="External"/><Relationship Id="rId184" Type="http://schemas.openxmlformats.org/officeDocument/2006/relationships/hyperlink" Target="https://bidplus.gem.gov.in/all-bids" TargetMode="External"/><Relationship Id="rId219" Type="http://schemas.openxmlformats.org/officeDocument/2006/relationships/hyperlink" Target="https://eprocurentpc.nic.in/" TargetMode="External"/><Relationship Id="rId230" Type="http://schemas.openxmlformats.org/officeDocument/2006/relationships/hyperlink" Target="https://bidplus.gem.gov.in/all-bids" TargetMode="External"/><Relationship Id="rId25" Type="http://schemas.openxmlformats.org/officeDocument/2006/relationships/hyperlink" Target="https://gem.gov.in/" TargetMode="External"/><Relationship Id="rId46" Type="http://schemas.openxmlformats.org/officeDocument/2006/relationships/hyperlink" Target="https://gem.gov.in/" TargetMode="External"/><Relationship Id="rId67" Type="http://schemas.openxmlformats.org/officeDocument/2006/relationships/hyperlink" Target="https://mptenders.gov.in/nicgep/app" TargetMode="External"/><Relationship Id="rId88" Type="http://schemas.openxmlformats.org/officeDocument/2006/relationships/hyperlink" Target="https://tendersodisha.gov.in/" TargetMode="External"/><Relationship Id="rId111" Type="http://schemas.openxmlformats.org/officeDocument/2006/relationships/hyperlink" Target="https://eprocurentpc.nic.in/nicgep/app" TargetMode="External"/><Relationship Id="rId132" Type="http://schemas.openxmlformats.org/officeDocument/2006/relationships/hyperlink" Target="https://gem.gov.in/" TargetMode="External"/><Relationship Id="rId153" Type="http://schemas.openxmlformats.org/officeDocument/2006/relationships/hyperlink" Target="https://hptenders.gov.in/nicgep/app" TargetMode="External"/><Relationship Id="rId174" Type="http://schemas.openxmlformats.org/officeDocument/2006/relationships/hyperlink" Target="https://mptenders.gov.in/nicgep/app" TargetMode="External"/><Relationship Id="rId195" Type="http://schemas.openxmlformats.org/officeDocument/2006/relationships/hyperlink" Target="https://bidplus.gem.gov.in/all-bids" TargetMode="External"/><Relationship Id="rId209" Type="http://schemas.openxmlformats.org/officeDocument/2006/relationships/hyperlink" Target="https://tender.nprocure.com/" TargetMode="External"/><Relationship Id="rId220" Type="http://schemas.openxmlformats.org/officeDocument/2006/relationships/hyperlink" Target="https://enivida.odisha.gov.in/" TargetMode="External"/><Relationship Id="rId241" Type="http://schemas.openxmlformats.org/officeDocument/2006/relationships/hyperlink" Target="https://eprocure.gov.in/eprocure/app" TargetMode="External"/><Relationship Id="rId15" Type="http://schemas.openxmlformats.org/officeDocument/2006/relationships/hyperlink" Target="https://etenders.kerala.gov.in/" TargetMode="External"/><Relationship Id="rId36" Type="http://schemas.openxmlformats.org/officeDocument/2006/relationships/hyperlink" Target="https://tender.nprocure.com/" TargetMode="External"/><Relationship Id="rId57" Type="http://schemas.openxmlformats.org/officeDocument/2006/relationships/hyperlink" Target="https://mahatenders.gov.in/" TargetMode="External"/><Relationship Id="rId106" Type="http://schemas.openxmlformats.org/officeDocument/2006/relationships/hyperlink" Target="https://tender.nprocure.com/" TargetMode="External"/><Relationship Id="rId127" Type="http://schemas.openxmlformats.org/officeDocument/2006/relationships/hyperlink" Target="https://gem.gov.in/" TargetMode="External"/><Relationship Id="rId10" Type="http://schemas.openxmlformats.org/officeDocument/2006/relationships/hyperlink" Target="https://eproc.punjab.gov.in/" TargetMode="External"/><Relationship Id="rId31" Type="http://schemas.openxmlformats.org/officeDocument/2006/relationships/hyperlink" Target="https://gem.gov.in/" TargetMode="External"/><Relationship Id="rId52" Type="http://schemas.openxmlformats.org/officeDocument/2006/relationships/hyperlink" Target="https://etender.up.nic.in/" TargetMode="External"/><Relationship Id="rId73" Type="http://schemas.openxmlformats.org/officeDocument/2006/relationships/hyperlink" Target="https://jharkhandtenders.gov.in/nicgep/app" TargetMode="External"/><Relationship Id="rId78" Type="http://schemas.openxmlformats.org/officeDocument/2006/relationships/hyperlink" Target="https://mptenders.gov.in/nicgep/app" TargetMode="External"/><Relationship Id="rId94" Type="http://schemas.openxmlformats.org/officeDocument/2006/relationships/hyperlink" Target="https://mptenders.gov.in/nicgep/app" TargetMode="External"/><Relationship Id="rId99" Type="http://schemas.openxmlformats.org/officeDocument/2006/relationships/hyperlink" Target="https://eprocure.gov.in/epublish/app" TargetMode="External"/><Relationship Id="rId101" Type="http://schemas.openxmlformats.org/officeDocument/2006/relationships/hyperlink" Target="https://gem.gov.in/" TargetMode="External"/><Relationship Id="rId122" Type="http://schemas.openxmlformats.org/officeDocument/2006/relationships/hyperlink" Target="https://www.ireps.gov.in/" TargetMode="External"/><Relationship Id="rId143" Type="http://schemas.openxmlformats.org/officeDocument/2006/relationships/hyperlink" Target="https://mptenders.gov.in/" TargetMode="External"/><Relationship Id="rId148" Type="http://schemas.openxmlformats.org/officeDocument/2006/relationships/hyperlink" Target="https://eproc.punjab.gov.in/" TargetMode="External"/><Relationship Id="rId164" Type="http://schemas.openxmlformats.org/officeDocument/2006/relationships/hyperlink" Target="https://bidplus.gem.gov.in/all-bids" TargetMode="External"/><Relationship Id="rId169" Type="http://schemas.openxmlformats.org/officeDocument/2006/relationships/hyperlink" Target="https://bidplus.gem.gov.in/all-bids" TargetMode="External"/><Relationship Id="rId185" Type="http://schemas.openxmlformats.org/officeDocument/2006/relationships/hyperlink" Target="https://eproc2.bihar.gov.in/" TargetMode="External"/><Relationship Id="rId4" Type="http://schemas.openxmlformats.org/officeDocument/2006/relationships/hyperlink" Target="https://mptenders.gov.in/" TargetMode="External"/><Relationship Id="rId9" Type="http://schemas.openxmlformats.org/officeDocument/2006/relationships/hyperlink" Target="https://tender.nprocure.com/" TargetMode="External"/><Relationship Id="rId180" Type="http://schemas.openxmlformats.org/officeDocument/2006/relationships/hyperlink" Target="https://mptenders.gov.in/" TargetMode="External"/><Relationship Id="rId210" Type="http://schemas.openxmlformats.org/officeDocument/2006/relationships/hyperlink" Target="https://bidplus.gem.gov.in/all-bids" TargetMode="External"/><Relationship Id="rId215" Type="http://schemas.openxmlformats.org/officeDocument/2006/relationships/hyperlink" Target="https://etender.up.nic.in/nicgep/app" TargetMode="External"/><Relationship Id="rId236" Type="http://schemas.openxmlformats.org/officeDocument/2006/relationships/hyperlink" Target="https://mptenders.gov.in/" TargetMode="External"/><Relationship Id="rId26" Type="http://schemas.openxmlformats.org/officeDocument/2006/relationships/hyperlink" Target="https://gem.gov.in/" TargetMode="External"/><Relationship Id="rId231" Type="http://schemas.openxmlformats.org/officeDocument/2006/relationships/hyperlink" Target="https://eprocure.gov.in/eprocure/app" TargetMode="External"/><Relationship Id="rId47" Type="http://schemas.openxmlformats.org/officeDocument/2006/relationships/hyperlink" Target="https://wbtenders.gov.in/" TargetMode="External"/><Relationship Id="rId68" Type="http://schemas.openxmlformats.org/officeDocument/2006/relationships/hyperlink" Target="https://mptenders.gov.in/nicgep/app" TargetMode="External"/><Relationship Id="rId89" Type="http://schemas.openxmlformats.org/officeDocument/2006/relationships/hyperlink" Target="https://gem.gov.in/" TargetMode="External"/><Relationship Id="rId112" Type="http://schemas.openxmlformats.org/officeDocument/2006/relationships/hyperlink" Target="https://mptenders.gov.in/nicgep/app" TargetMode="External"/><Relationship Id="rId133" Type="http://schemas.openxmlformats.org/officeDocument/2006/relationships/hyperlink" Target="https://mptenders.gov.in/nicgep/app" TargetMode="External"/><Relationship Id="rId154" Type="http://schemas.openxmlformats.org/officeDocument/2006/relationships/hyperlink" Target="https://mptenders.gov.in/nicgep/app" TargetMode="External"/><Relationship Id="rId175" Type="http://schemas.openxmlformats.org/officeDocument/2006/relationships/hyperlink" Target="https://mptenders.gov.in/" TargetMode="External"/><Relationship Id="rId196" Type="http://schemas.openxmlformats.org/officeDocument/2006/relationships/hyperlink" Target="https://bidplus.gem.gov.in/" TargetMode="External"/><Relationship Id="rId200" Type="http://schemas.openxmlformats.org/officeDocument/2006/relationships/hyperlink" Target="https://bidplus.gem.gov.in/" TargetMode="External"/><Relationship Id="rId16" Type="http://schemas.openxmlformats.org/officeDocument/2006/relationships/hyperlink" Target="https://mptenders.gov.in/" TargetMode="External"/><Relationship Id="rId221" Type="http://schemas.openxmlformats.org/officeDocument/2006/relationships/hyperlink" Target="https://tendersodisha.gov.in/nicgep/app" TargetMode="External"/><Relationship Id="rId37" Type="http://schemas.openxmlformats.org/officeDocument/2006/relationships/hyperlink" Target="https://eproc.punjab.gov.in/" TargetMode="External"/><Relationship Id="rId58" Type="http://schemas.openxmlformats.org/officeDocument/2006/relationships/hyperlink" Target="https://gem.gov.in/" TargetMode="External"/><Relationship Id="rId79" Type="http://schemas.openxmlformats.org/officeDocument/2006/relationships/hyperlink" Target="http://www.jktenders.gov.in./" TargetMode="External"/><Relationship Id="rId102" Type="http://schemas.openxmlformats.org/officeDocument/2006/relationships/hyperlink" Target="http://eproc.cgstate.gov.in/" TargetMode="External"/><Relationship Id="rId123" Type="http://schemas.openxmlformats.org/officeDocument/2006/relationships/hyperlink" Target="https://www.ireps.gov.in/" TargetMode="External"/><Relationship Id="rId144" Type="http://schemas.openxmlformats.org/officeDocument/2006/relationships/hyperlink" Target="https://eproc.punjab.gov.in/nicgep/app" TargetMode="External"/><Relationship Id="rId90" Type="http://schemas.openxmlformats.org/officeDocument/2006/relationships/hyperlink" Target="https://eprocure.gov.in/eprocure/app" TargetMode="External"/><Relationship Id="rId165" Type="http://schemas.openxmlformats.org/officeDocument/2006/relationships/hyperlink" Target="https://www.wbtenders.gov.in/nicgep/app" TargetMode="External"/><Relationship Id="rId186" Type="http://schemas.openxmlformats.org/officeDocument/2006/relationships/hyperlink" Target="https://eproc2.bihar.gov.in/" TargetMode="External"/><Relationship Id="rId211" Type="http://schemas.openxmlformats.org/officeDocument/2006/relationships/hyperlink" Target="https://eprocurentpc.nic.in/" TargetMode="External"/><Relationship Id="rId232" Type="http://schemas.openxmlformats.org/officeDocument/2006/relationships/hyperlink" Target="https://bidplus.gem.gov.in/all-bids" TargetMode="External"/><Relationship Id="rId27" Type="http://schemas.openxmlformats.org/officeDocument/2006/relationships/hyperlink" Target="https://mptenders.gov.in/" TargetMode="External"/><Relationship Id="rId48" Type="http://schemas.openxmlformats.org/officeDocument/2006/relationships/hyperlink" Target="https://tendersodisha.gov.in/" TargetMode="External"/><Relationship Id="rId69" Type="http://schemas.openxmlformats.org/officeDocument/2006/relationships/hyperlink" Target="https://eproc.punjab.gov.in/" TargetMode="External"/><Relationship Id="rId113" Type="http://schemas.openxmlformats.org/officeDocument/2006/relationships/hyperlink" Target="https://mahatenders.gov.in/nicgep/app" TargetMode="External"/><Relationship Id="rId134" Type="http://schemas.openxmlformats.org/officeDocument/2006/relationships/hyperlink" Target="https://mptenders.gov.in/" TargetMode="External"/><Relationship Id="rId80" Type="http://schemas.openxmlformats.org/officeDocument/2006/relationships/hyperlink" Target="https://gem.gov.in/" TargetMode="External"/><Relationship Id="rId155" Type="http://schemas.openxmlformats.org/officeDocument/2006/relationships/hyperlink" Target="https://tender.nprocure.com/" TargetMode="External"/><Relationship Id="rId176" Type="http://schemas.openxmlformats.org/officeDocument/2006/relationships/hyperlink" Target="https://mptenders.gov.in/nicgep/app" TargetMode="External"/><Relationship Id="rId197" Type="http://schemas.openxmlformats.org/officeDocument/2006/relationships/hyperlink" Target="https://tender.nprocure.com/" TargetMode="External"/><Relationship Id="rId201" Type="http://schemas.openxmlformats.org/officeDocument/2006/relationships/hyperlink" Target="https://etenders.kerala.gov.in/nicgep/app" TargetMode="External"/><Relationship Id="rId222" Type="http://schemas.openxmlformats.org/officeDocument/2006/relationships/hyperlink" Target="https://etender.cpwd.gov.in/" TargetMode="External"/><Relationship Id="rId17" Type="http://schemas.openxmlformats.org/officeDocument/2006/relationships/hyperlink" Target="https://etenders.kerala.gov.in/" TargetMode="External"/><Relationship Id="rId38" Type="http://schemas.openxmlformats.org/officeDocument/2006/relationships/hyperlink" Target="https://tender.nprocure.com/" TargetMode="External"/><Relationship Id="rId59" Type="http://schemas.openxmlformats.org/officeDocument/2006/relationships/hyperlink" Target="https://mptenders.gov.in/" TargetMode="External"/><Relationship Id="rId103" Type="http://schemas.openxmlformats.org/officeDocument/2006/relationships/hyperlink" Target="https://mptenders.gov.in/nicgep/app" TargetMode="External"/><Relationship Id="rId124" Type="http://schemas.openxmlformats.org/officeDocument/2006/relationships/hyperlink" Target="https://tender.nprocure.com/" TargetMode="External"/><Relationship Id="rId70" Type="http://schemas.openxmlformats.org/officeDocument/2006/relationships/hyperlink" Target="https://gem.gov.in/" TargetMode="External"/><Relationship Id="rId91" Type="http://schemas.openxmlformats.org/officeDocument/2006/relationships/hyperlink" Target="https://mptenders.gov.in/nicgep/app" TargetMode="External"/><Relationship Id="rId145" Type="http://schemas.openxmlformats.org/officeDocument/2006/relationships/hyperlink" Target="https://eproc.rajasthan.gov.in/nicgep/app" TargetMode="External"/><Relationship Id="rId166" Type="http://schemas.openxmlformats.org/officeDocument/2006/relationships/hyperlink" Target="https://eprocure.gov.in/eprocure/app" TargetMode="External"/><Relationship Id="rId187" Type="http://schemas.openxmlformats.org/officeDocument/2006/relationships/hyperlink" Target="https://eproc.punjab.gov.in/" TargetMode="External"/><Relationship Id="rId1" Type="http://schemas.openxmlformats.org/officeDocument/2006/relationships/hyperlink" Target="https://eproc.rajasthan.gov.in/" TargetMode="External"/><Relationship Id="rId212" Type="http://schemas.openxmlformats.org/officeDocument/2006/relationships/hyperlink" Target="https://mptenders.gov.in/nicgep/app" TargetMode="External"/><Relationship Id="rId233" Type="http://schemas.openxmlformats.org/officeDocument/2006/relationships/hyperlink" Target="https://bidplus.gem.gov.in/all-bids" TargetMode="External"/><Relationship Id="rId28" Type="http://schemas.openxmlformats.org/officeDocument/2006/relationships/hyperlink" Target="https://mptenders.gov.in/" TargetMode="External"/><Relationship Id="rId49" Type="http://schemas.openxmlformats.org/officeDocument/2006/relationships/hyperlink" Target="https://gem.gov.in/" TargetMode="External"/><Relationship Id="rId114" Type="http://schemas.openxmlformats.org/officeDocument/2006/relationships/hyperlink" Target="https://mptenders.gov.in/nicgep/app" TargetMode="External"/><Relationship Id="rId60" Type="http://schemas.openxmlformats.org/officeDocument/2006/relationships/hyperlink" Target="https://gem.gov.in/" TargetMode="External"/><Relationship Id="rId81" Type="http://schemas.openxmlformats.org/officeDocument/2006/relationships/hyperlink" Target="https://gem.gov.in/" TargetMode="External"/><Relationship Id="rId135" Type="http://schemas.openxmlformats.org/officeDocument/2006/relationships/hyperlink" Target="https://tender.apeprocurement.gov.in/" TargetMode="External"/><Relationship Id="rId156" Type="http://schemas.openxmlformats.org/officeDocument/2006/relationships/hyperlink" Target="https://bidplus.gem.gov.in/all-bids" TargetMode="External"/><Relationship Id="rId177" Type="http://schemas.openxmlformats.org/officeDocument/2006/relationships/hyperlink" Target="https://ihmcl.co.in/tenders/" TargetMode="External"/><Relationship Id="rId198" Type="http://schemas.openxmlformats.org/officeDocument/2006/relationships/hyperlink" Target="https://mptenders.gov.in/" TargetMode="External"/><Relationship Id="rId202" Type="http://schemas.openxmlformats.org/officeDocument/2006/relationships/hyperlink" Target="https://bidplus.gem.gov.in/" TargetMode="External"/><Relationship Id="rId223" Type="http://schemas.openxmlformats.org/officeDocument/2006/relationships/hyperlink" Target="https://bidplus.gem.gov.in/all-bids" TargetMode="External"/><Relationship Id="rId18" Type="http://schemas.openxmlformats.org/officeDocument/2006/relationships/hyperlink" Target="https://gem.gov.in/" TargetMode="External"/><Relationship Id="rId39" Type="http://schemas.openxmlformats.org/officeDocument/2006/relationships/hyperlink" Target="https://gem.gov.in/" TargetMode="External"/><Relationship Id="rId50" Type="http://schemas.openxmlformats.org/officeDocument/2006/relationships/hyperlink" Target="https://eprocure.gov.in/eprocure/app" TargetMode="External"/><Relationship Id="rId104" Type="http://schemas.openxmlformats.org/officeDocument/2006/relationships/hyperlink" Target="https://gem.gov.in/" TargetMode="External"/><Relationship Id="rId125" Type="http://schemas.openxmlformats.org/officeDocument/2006/relationships/hyperlink" Target="https://etenders.hry.nic.in/" TargetMode="External"/><Relationship Id="rId146" Type="http://schemas.openxmlformats.org/officeDocument/2006/relationships/hyperlink" Target="https://gem.gov.in/" TargetMode="External"/><Relationship Id="rId167" Type="http://schemas.openxmlformats.org/officeDocument/2006/relationships/hyperlink" Target="https://mptenders.gov.in/" TargetMode="External"/><Relationship Id="rId188" Type="http://schemas.openxmlformats.org/officeDocument/2006/relationships/hyperlink" Target="https://eproc.rajasthan.gov.in/nicgep/app" TargetMode="External"/><Relationship Id="rId71" Type="http://schemas.openxmlformats.org/officeDocument/2006/relationships/hyperlink" Target="https://gem.gov.in/" TargetMode="External"/><Relationship Id="rId92" Type="http://schemas.openxmlformats.org/officeDocument/2006/relationships/hyperlink" Target="https://mptenders.gov.in/" TargetMode="External"/><Relationship Id="rId213" Type="http://schemas.openxmlformats.org/officeDocument/2006/relationships/hyperlink" Target="https://mptenders.gov.in/" TargetMode="External"/><Relationship Id="rId234" Type="http://schemas.openxmlformats.org/officeDocument/2006/relationships/hyperlink" Target="https://bidplus.gem.gov.in/all-bids" TargetMode="External"/><Relationship Id="rId2" Type="http://schemas.openxmlformats.org/officeDocument/2006/relationships/hyperlink" Target="https://etender.up.nic.in/" TargetMode="External"/><Relationship Id="rId29" Type="http://schemas.openxmlformats.org/officeDocument/2006/relationships/hyperlink" Target="https://gem.gov.in/" TargetMode="External"/><Relationship Id="rId40" Type="http://schemas.openxmlformats.org/officeDocument/2006/relationships/hyperlink" Target="https://gem.gov.in/" TargetMode="External"/><Relationship Id="rId115" Type="http://schemas.openxmlformats.org/officeDocument/2006/relationships/hyperlink" Target="https://gem.gov.in/" TargetMode="External"/><Relationship Id="rId136" Type="http://schemas.openxmlformats.org/officeDocument/2006/relationships/hyperlink" Target="https://bidplus.gem.gov.in/all-bids" TargetMode="External"/><Relationship Id="rId157" Type="http://schemas.openxmlformats.org/officeDocument/2006/relationships/hyperlink" Target="https://tendersodisha.gov.in/nicgep/app" TargetMode="External"/><Relationship Id="rId178" Type="http://schemas.openxmlformats.org/officeDocument/2006/relationships/hyperlink" Target="https://mptenders.gov.in/" TargetMode="External"/><Relationship Id="rId61" Type="http://schemas.openxmlformats.org/officeDocument/2006/relationships/hyperlink" Target="https://eproc.rajasthan.gov.in/" TargetMode="External"/><Relationship Id="rId82" Type="http://schemas.openxmlformats.org/officeDocument/2006/relationships/hyperlink" Target="https://gem.gov.in/" TargetMode="External"/><Relationship Id="rId199" Type="http://schemas.openxmlformats.org/officeDocument/2006/relationships/hyperlink" Target="https://etender.up.nic.in/nicgep/app" TargetMode="External"/><Relationship Id="rId203" Type="http://schemas.openxmlformats.org/officeDocument/2006/relationships/hyperlink" Target="https://eproc.punjab.gov.in/" TargetMode="External"/><Relationship Id="rId19" Type="http://schemas.openxmlformats.org/officeDocument/2006/relationships/hyperlink" Target="https://gem.gov.in/" TargetMode="External"/><Relationship Id="rId224" Type="http://schemas.openxmlformats.org/officeDocument/2006/relationships/hyperlink" Target="https://etenders.gov.in/eprocure/app" TargetMode="External"/><Relationship Id="rId30" Type="http://schemas.openxmlformats.org/officeDocument/2006/relationships/hyperlink" Target="https://mptenders.gov.in/" TargetMode="External"/><Relationship Id="rId105" Type="http://schemas.openxmlformats.org/officeDocument/2006/relationships/hyperlink" Target="https://tender.nprocure.com/" TargetMode="External"/><Relationship Id="rId126" Type="http://schemas.openxmlformats.org/officeDocument/2006/relationships/hyperlink" Target="https://gem.gov.in/" TargetMode="External"/><Relationship Id="rId147" Type="http://schemas.openxmlformats.org/officeDocument/2006/relationships/hyperlink" Target="https://mptenders.gov.in/nicgep/app" TargetMode="External"/><Relationship Id="rId168" Type="http://schemas.openxmlformats.org/officeDocument/2006/relationships/hyperlink" Target="https://bidplus.gem.gov.in/" TargetMode="External"/><Relationship Id="rId51" Type="http://schemas.openxmlformats.org/officeDocument/2006/relationships/hyperlink" Target="https://mptenders.gov.in/" TargetMode="External"/><Relationship Id="rId72" Type="http://schemas.openxmlformats.org/officeDocument/2006/relationships/hyperlink" Target="https://mptenders.gov.in/" TargetMode="External"/><Relationship Id="rId93" Type="http://schemas.openxmlformats.org/officeDocument/2006/relationships/hyperlink" Target="https://mptenders.gov.in/" TargetMode="External"/><Relationship Id="rId189" Type="http://schemas.openxmlformats.org/officeDocument/2006/relationships/hyperlink" Target="https://enivida.odisha.gov.in/" TargetMode="External"/><Relationship Id="rId3" Type="http://schemas.openxmlformats.org/officeDocument/2006/relationships/hyperlink" Target="https://etender.up.nic.in/" TargetMode="External"/><Relationship Id="rId214" Type="http://schemas.openxmlformats.org/officeDocument/2006/relationships/hyperlink" Target="https://mptenders.gov.in/nicgep/app" TargetMode="External"/><Relationship Id="rId235" Type="http://schemas.openxmlformats.org/officeDocument/2006/relationships/hyperlink" Target="https://govtprocurement.delhi.gov.in/nicgep/app" TargetMode="External"/><Relationship Id="rId116" Type="http://schemas.openxmlformats.org/officeDocument/2006/relationships/hyperlink" Target="https://gem.gov.in/" TargetMode="External"/><Relationship Id="rId137" Type="http://schemas.openxmlformats.org/officeDocument/2006/relationships/hyperlink" Target="https://mptenders.gov.in/" TargetMode="External"/><Relationship Id="rId158" Type="http://schemas.openxmlformats.org/officeDocument/2006/relationships/hyperlink" Target="https://mptenders.gov.in/nicgep/app" TargetMode="External"/><Relationship Id="rId20" Type="http://schemas.openxmlformats.org/officeDocument/2006/relationships/hyperlink" Target="https://gem.gov.in/" TargetMode="External"/><Relationship Id="rId41" Type="http://schemas.openxmlformats.org/officeDocument/2006/relationships/hyperlink" Target="https://wbtenders.gov.in/" TargetMode="External"/><Relationship Id="rId62" Type="http://schemas.openxmlformats.org/officeDocument/2006/relationships/hyperlink" Target="https://mptenders.gov.in/" TargetMode="External"/><Relationship Id="rId83" Type="http://schemas.openxmlformats.org/officeDocument/2006/relationships/hyperlink" Target="https://mptenders.gov.in/" TargetMode="External"/><Relationship Id="rId179" Type="http://schemas.openxmlformats.org/officeDocument/2006/relationships/hyperlink" Target="https://mptenders.gov.in/" TargetMode="External"/><Relationship Id="rId190" Type="http://schemas.openxmlformats.org/officeDocument/2006/relationships/hyperlink" Target="https://mptenders.gov.in/" TargetMode="External"/><Relationship Id="rId204" Type="http://schemas.openxmlformats.org/officeDocument/2006/relationships/hyperlink" Target="https://eproc.punjab.gov.in/" TargetMode="External"/><Relationship Id="rId225" Type="http://schemas.openxmlformats.org/officeDocument/2006/relationships/hyperlink" Target="https://bidplus.gem.gov.in/"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etender.up.nic.in/nicgep/app" TargetMode="External"/><Relationship Id="rId671" Type="http://schemas.openxmlformats.org/officeDocument/2006/relationships/hyperlink" Target="https://mptenders.gov.in/" TargetMode="External"/><Relationship Id="rId769" Type="http://schemas.openxmlformats.org/officeDocument/2006/relationships/hyperlink" Target="https://gem.gov.in/" TargetMode="External"/><Relationship Id="rId976" Type="http://schemas.openxmlformats.org/officeDocument/2006/relationships/hyperlink" Target="https://www.ireps.gov.in/" TargetMode="External"/><Relationship Id="rId21" Type="http://schemas.openxmlformats.org/officeDocument/2006/relationships/hyperlink" Target="https://etenders.hry.nic.in/" TargetMode="External"/><Relationship Id="rId324" Type="http://schemas.openxmlformats.org/officeDocument/2006/relationships/hyperlink" Target="https://govtprocurement.delhi.gov.in/" TargetMode="External"/><Relationship Id="rId531" Type="http://schemas.openxmlformats.org/officeDocument/2006/relationships/hyperlink" Target="https://eprocure.gov.in/" TargetMode="External"/><Relationship Id="rId629" Type="http://schemas.openxmlformats.org/officeDocument/2006/relationships/hyperlink" Target="https://www.ireps.gov.in/" TargetMode="External"/><Relationship Id="rId170" Type="http://schemas.openxmlformats.org/officeDocument/2006/relationships/hyperlink" Target="https://etenders.hry.nic.in/" TargetMode="External"/><Relationship Id="rId836" Type="http://schemas.openxmlformats.org/officeDocument/2006/relationships/hyperlink" Target="https://gem.gov.in/" TargetMode="External"/><Relationship Id="rId268" Type="http://schemas.openxmlformats.org/officeDocument/2006/relationships/hyperlink" Target="https://etender.up.nic.in/" TargetMode="External"/><Relationship Id="rId475" Type="http://schemas.openxmlformats.org/officeDocument/2006/relationships/hyperlink" Target="https://eproc.rajasthan.gov.in/" TargetMode="External"/><Relationship Id="rId682" Type="http://schemas.openxmlformats.org/officeDocument/2006/relationships/hyperlink" Target="https://gem.gov.in/" TargetMode="External"/><Relationship Id="rId903" Type="http://schemas.openxmlformats.org/officeDocument/2006/relationships/hyperlink" Target="https://eproc2.bihar.gov.in/" TargetMode="External"/><Relationship Id="rId32" Type="http://schemas.openxmlformats.org/officeDocument/2006/relationships/hyperlink" Target="http://etenders.gov.in/" TargetMode="External"/><Relationship Id="rId128" Type="http://schemas.openxmlformats.org/officeDocument/2006/relationships/hyperlink" Target="https://www.bharat-electronictender.com/" TargetMode="External"/><Relationship Id="rId335" Type="http://schemas.openxmlformats.org/officeDocument/2006/relationships/hyperlink" Target="https://mptenders.gov.in/" TargetMode="External"/><Relationship Id="rId542" Type="http://schemas.openxmlformats.org/officeDocument/2006/relationships/hyperlink" Target="https://mptenders.gov.in/" TargetMode="External"/><Relationship Id="rId181" Type="http://schemas.openxmlformats.org/officeDocument/2006/relationships/hyperlink" Target="https://mptenders.gov.in/" TargetMode="External"/><Relationship Id="rId402" Type="http://schemas.openxmlformats.org/officeDocument/2006/relationships/hyperlink" Target="https://etender.up.nic.in/" TargetMode="External"/><Relationship Id="rId847" Type="http://schemas.openxmlformats.org/officeDocument/2006/relationships/hyperlink" Target="https://gem.gov.in/" TargetMode="External"/><Relationship Id="rId279" Type="http://schemas.openxmlformats.org/officeDocument/2006/relationships/hyperlink" Target="https://eprocure.gov.in/" TargetMode="External"/><Relationship Id="rId486" Type="http://schemas.openxmlformats.org/officeDocument/2006/relationships/hyperlink" Target="https://eprocure.gov.in/" TargetMode="External"/><Relationship Id="rId693" Type="http://schemas.openxmlformats.org/officeDocument/2006/relationships/hyperlink" Target="https://mptenders.gov.in/" TargetMode="External"/><Relationship Id="rId707" Type="http://schemas.openxmlformats.org/officeDocument/2006/relationships/hyperlink" Target="https://gem.gov.in/" TargetMode="External"/><Relationship Id="rId914" Type="http://schemas.openxmlformats.org/officeDocument/2006/relationships/hyperlink" Target="https://gem.gov.in/" TargetMode="External"/><Relationship Id="rId43" Type="http://schemas.openxmlformats.org/officeDocument/2006/relationships/hyperlink" Target="http://etender.up.nic.in/" TargetMode="External"/><Relationship Id="rId139" Type="http://schemas.openxmlformats.org/officeDocument/2006/relationships/hyperlink" Target="https://mptenders.gov.in/nicgep/app" TargetMode="External"/><Relationship Id="rId346" Type="http://schemas.openxmlformats.org/officeDocument/2006/relationships/hyperlink" Target="https://jharkhandtenders.gov.in/" TargetMode="External"/><Relationship Id="rId553" Type="http://schemas.openxmlformats.org/officeDocument/2006/relationships/hyperlink" Target="https://gem.gov.in/" TargetMode="External"/><Relationship Id="rId760" Type="http://schemas.openxmlformats.org/officeDocument/2006/relationships/hyperlink" Target="https://mptenders.gov.in/" TargetMode="External"/><Relationship Id="rId192" Type="http://schemas.openxmlformats.org/officeDocument/2006/relationships/hyperlink" Target="https://gem.gov.in/" TargetMode="External"/><Relationship Id="rId206" Type="http://schemas.openxmlformats.org/officeDocument/2006/relationships/hyperlink" Target="https://dnhtenders.gov.in/" TargetMode="External"/><Relationship Id="rId413" Type="http://schemas.openxmlformats.org/officeDocument/2006/relationships/hyperlink" Target="https://mptenders.gov.in/" TargetMode="External"/><Relationship Id="rId858" Type="http://schemas.openxmlformats.org/officeDocument/2006/relationships/hyperlink" Target="https://mptenders.gov.in/" TargetMode="External"/><Relationship Id="rId497" Type="http://schemas.openxmlformats.org/officeDocument/2006/relationships/hyperlink" Target="https://etender.up.nic.in/" TargetMode="External"/><Relationship Id="rId620" Type="http://schemas.openxmlformats.org/officeDocument/2006/relationships/hyperlink" Target="https://capitalregiontransport.in/archiveTender" TargetMode="External"/><Relationship Id="rId718" Type="http://schemas.openxmlformats.org/officeDocument/2006/relationships/hyperlink" Target="https://gem.gov.in/" TargetMode="External"/><Relationship Id="rId925" Type="http://schemas.openxmlformats.org/officeDocument/2006/relationships/hyperlink" Target="https://gem.gov.in/" TargetMode="External"/><Relationship Id="rId357" Type="http://schemas.openxmlformats.org/officeDocument/2006/relationships/hyperlink" Target="https://tenders.ongc.co.in/" TargetMode="External"/><Relationship Id="rId54" Type="http://schemas.openxmlformats.org/officeDocument/2006/relationships/hyperlink" Target="http://www.gem.gov.in/" TargetMode="External"/><Relationship Id="rId217" Type="http://schemas.openxmlformats.org/officeDocument/2006/relationships/hyperlink" Target="https://gem.gov.in/" TargetMode="External"/><Relationship Id="rId564" Type="http://schemas.openxmlformats.org/officeDocument/2006/relationships/hyperlink" Target="https://gem.gov.in/" TargetMode="External"/><Relationship Id="rId771" Type="http://schemas.openxmlformats.org/officeDocument/2006/relationships/hyperlink" Target="https://gem.gov.in/" TargetMode="External"/><Relationship Id="rId869" Type="http://schemas.openxmlformats.org/officeDocument/2006/relationships/hyperlink" Target="https://gem.gov.in/" TargetMode="External"/><Relationship Id="rId424" Type="http://schemas.openxmlformats.org/officeDocument/2006/relationships/hyperlink" Target="https://etenders.hry.nic.in/" TargetMode="External"/><Relationship Id="rId631" Type="http://schemas.openxmlformats.org/officeDocument/2006/relationships/hyperlink" Target="https://etenders.kerala.gov.in/" TargetMode="External"/><Relationship Id="rId729" Type="http://schemas.openxmlformats.org/officeDocument/2006/relationships/hyperlink" Target="https://eproc.punjab.gov.in/" TargetMode="External"/><Relationship Id="rId270" Type="http://schemas.openxmlformats.org/officeDocument/2006/relationships/hyperlink" Target="https://eproc.punjab.gov.in/" TargetMode="External"/><Relationship Id="rId936" Type="http://schemas.openxmlformats.org/officeDocument/2006/relationships/hyperlink" Target="https://mptenders.gov.in/" TargetMode="External"/><Relationship Id="rId65" Type="http://schemas.openxmlformats.org/officeDocument/2006/relationships/hyperlink" Target="https://hptenders.gov.in/" TargetMode="External"/><Relationship Id="rId130" Type="http://schemas.openxmlformats.org/officeDocument/2006/relationships/hyperlink" Target="https://iocletenders.nic.in/" TargetMode="External"/><Relationship Id="rId368" Type="http://schemas.openxmlformats.org/officeDocument/2006/relationships/hyperlink" Target="https://mptenders.gov.in/" TargetMode="External"/><Relationship Id="rId575" Type="http://schemas.openxmlformats.org/officeDocument/2006/relationships/hyperlink" Target="https://eproc2.bihar.gov.in/" TargetMode="External"/><Relationship Id="rId782" Type="http://schemas.openxmlformats.org/officeDocument/2006/relationships/hyperlink" Target="https://eproc.punjab.gov.in/" TargetMode="External"/><Relationship Id="rId228" Type="http://schemas.openxmlformats.org/officeDocument/2006/relationships/hyperlink" Target="https://eprocure.gov.in/epublish/app" TargetMode="External"/><Relationship Id="rId435" Type="http://schemas.openxmlformats.org/officeDocument/2006/relationships/hyperlink" Target="https://etenders.hry.nic.in/" TargetMode="External"/><Relationship Id="rId642" Type="http://schemas.openxmlformats.org/officeDocument/2006/relationships/hyperlink" Target="https://mptenders.gov.in/" TargetMode="External"/><Relationship Id="rId281" Type="http://schemas.openxmlformats.org/officeDocument/2006/relationships/hyperlink" Target="https://mptenders.gov.in/" TargetMode="External"/><Relationship Id="rId502" Type="http://schemas.openxmlformats.org/officeDocument/2006/relationships/hyperlink" Target="https://gem.gov.in/" TargetMode="External"/><Relationship Id="rId947" Type="http://schemas.openxmlformats.org/officeDocument/2006/relationships/hyperlink" Target="https://www.ireps.gov.in/" TargetMode="External"/><Relationship Id="rId76" Type="http://schemas.openxmlformats.org/officeDocument/2006/relationships/hyperlink" Target="https://etender.up.nic.in/" TargetMode="External"/><Relationship Id="rId141" Type="http://schemas.openxmlformats.org/officeDocument/2006/relationships/hyperlink" Target="https://eproc.karnataka.gov.in/eprocurement/common/eproc_tenders_list.seam" TargetMode="External"/><Relationship Id="rId379" Type="http://schemas.openxmlformats.org/officeDocument/2006/relationships/hyperlink" Target="https://etenders.hry.nic.in/" TargetMode="External"/><Relationship Id="rId586" Type="http://schemas.openxmlformats.org/officeDocument/2006/relationships/hyperlink" Target="https://mahatenders.gov.in/" TargetMode="External"/><Relationship Id="rId793" Type="http://schemas.openxmlformats.org/officeDocument/2006/relationships/hyperlink" Target="https://gem.gov.in/" TargetMode="External"/><Relationship Id="rId807" Type="http://schemas.openxmlformats.org/officeDocument/2006/relationships/hyperlink" Target="https://mptenders.gov.in/" TargetMode="External"/><Relationship Id="rId7" Type="http://schemas.openxmlformats.org/officeDocument/2006/relationships/hyperlink" Target="https://mptenders.gov.in/nicgep/app" TargetMode="External"/><Relationship Id="rId239" Type="http://schemas.openxmlformats.org/officeDocument/2006/relationships/hyperlink" Target="https://gem.gov.in/" TargetMode="External"/><Relationship Id="rId446" Type="http://schemas.openxmlformats.org/officeDocument/2006/relationships/hyperlink" Target="https://gem.gov.in/" TargetMode="External"/><Relationship Id="rId653" Type="http://schemas.openxmlformats.org/officeDocument/2006/relationships/hyperlink" Target="https://gem.gov.in/" TargetMode="External"/><Relationship Id="rId292" Type="http://schemas.openxmlformats.org/officeDocument/2006/relationships/hyperlink" Target="https://iocletenders.nic.in/" TargetMode="External"/><Relationship Id="rId306" Type="http://schemas.openxmlformats.org/officeDocument/2006/relationships/hyperlink" Target="https://assamtenders.gov.in/" TargetMode="External"/><Relationship Id="rId860" Type="http://schemas.openxmlformats.org/officeDocument/2006/relationships/hyperlink" Target="https://eproc2.bihar.gov.in/" TargetMode="External"/><Relationship Id="rId958" Type="http://schemas.openxmlformats.org/officeDocument/2006/relationships/hyperlink" Target="https://gem.gov.in/" TargetMode="External"/><Relationship Id="rId87" Type="http://schemas.openxmlformats.org/officeDocument/2006/relationships/hyperlink" Target="https://tendersodisha.gov.in/nicgep/app" TargetMode="External"/><Relationship Id="rId513" Type="http://schemas.openxmlformats.org/officeDocument/2006/relationships/hyperlink" Target="https://gem.gov.in/" TargetMode="External"/><Relationship Id="rId597" Type="http://schemas.openxmlformats.org/officeDocument/2006/relationships/hyperlink" Target="https://mahatenders.gov.in/" TargetMode="External"/><Relationship Id="rId720" Type="http://schemas.openxmlformats.org/officeDocument/2006/relationships/hyperlink" Target="https://hptenders.gov.in/" TargetMode="External"/><Relationship Id="rId818" Type="http://schemas.openxmlformats.org/officeDocument/2006/relationships/hyperlink" Target="https://mptenders.gov.in/" TargetMode="External"/><Relationship Id="rId152" Type="http://schemas.openxmlformats.org/officeDocument/2006/relationships/hyperlink" Target="https://iocletenders.nic.in/" TargetMode="External"/><Relationship Id="rId457" Type="http://schemas.openxmlformats.org/officeDocument/2006/relationships/hyperlink" Target="https://mptenders.gov.in/" TargetMode="External"/><Relationship Id="rId664" Type="http://schemas.openxmlformats.org/officeDocument/2006/relationships/hyperlink" Target="https://gem.gov.in/" TargetMode="External"/><Relationship Id="rId871" Type="http://schemas.openxmlformats.org/officeDocument/2006/relationships/hyperlink" Target="https://etender.up.nic.in/" TargetMode="External"/><Relationship Id="rId969" Type="http://schemas.openxmlformats.org/officeDocument/2006/relationships/hyperlink" Target="https://gem.gov.in/" TargetMode="External"/><Relationship Id="rId14" Type="http://schemas.openxmlformats.org/officeDocument/2006/relationships/hyperlink" Target="https://eproc.rajasthan.gov.in/" TargetMode="External"/><Relationship Id="rId317" Type="http://schemas.openxmlformats.org/officeDocument/2006/relationships/hyperlink" Target="https://gem.gov.in/" TargetMode="External"/><Relationship Id="rId524" Type="http://schemas.openxmlformats.org/officeDocument/2006/relationships/hyperlink" Target="https://gem.gov.in/" TargetMode="External"/><Relationship Id="rId731" Type="http://schemas.openxmlformats.org/officeDocument/2006/relationships/hyperlink" Target="https://mptenders.gov.in/" TargetMode="External"/><Relationship Id="rId98" Type="http://schemas.openxmlformats.org/officeDocument/2006/relationships/hyperlink" Target="https://pudutenders.gov.in/" TargetMode="External"/><Relationship Id="rId163" Type="http://schemas.openxmlformats.org/officeDocument/2006/relationships/hyperlink" Target="https://gem.gov.in/" TargetMode="External"/><Relationship Id="rId370" Type="http://schemas.openxmlformats.org/officeDocument/2006/relationships/hyperlink" Target="https://mptenders.gov.in/" TargetMode="External"/><Relationship Id="rId829" Type="http://schemas.openxmlformats.org/officeDocument/2006/relationships/hyperlink" Target="https://mptenders.gov.in/" TargetMode="External"/><Relationship Id="rId230" Type="http://schemas.openxmlformats.org/officeDocument/2006/relationships/hyperlink" Target="https://tendersodisha.gov.in/" TargetMode="External"/><Relationship Id="rId468" Type="http://schemas.openxmlformats.org/officeDocument/2006/relationships/hyperlink" Target="https://mptenders.gov.in/" TargetMode="External"/><Relationship Id="rId675" Type="http://schemas.openxmlformats.org/officeDocument/2006/relationships/hyperlink" Target="https://eprocure.gov.in/" TargetMode="External"/><Relationship Id="rId882" Type="http://schemas.openxmlformats.org/officeDocument/2006/relationships/hyperlink" Target="https://eproc.rajasthan.gov.in/" TargetMode="External"/><Relationship Id="rId25" Type="http://schemas.openxmlformats.org/officeDocument/2006/relationships/hyperlink" Target="https://mptenders.gov.in/" TargetMode="External"/><Relationship Id="rId328" Type="http://schemas.openxmlformats.org/officeDocument/2006/relationships/hyperlink" Target="https://eprocure.gov.in/" TargetMode="External"/><Relationship Id="rId535" Type="http://schemas.openxmlformats.org/officeDocument/2006/relationships/hyperlink" Target="https://gem.gov.in/" TargetMode="External"/><Relationship Id="rId742" Type="http://schemas.openxmlformats.org/officeDocument/2006/relationships/hyperlink" Target="https://mptenders.gov.in/" TargetMode="External"/><Relationship Id="rId174" Type="http://schemas.openxmlformats.org/officeDocument/2006/relationships/hyperlink" Target="https://gem.gov.in/" TargetMode="External"/><Relationship Id="rId381" Type="http://schemas.openxmlformats.org/officeDocument/2006/relationships/hyperlink" Target="https://jktenders.gov.in/" TargetMode="External"/><Relationship Id="rId602" Type="http://schemas.openxmlformats.org/officeDocument/2006/relationships/hyperlink" Target="https://gem.gov.in/" TargetMode="External"/><Relationship Id="rId241" Type="http://schemas.openxmlformats.org/officeDocument/2006/relationships/hyperlink" Target="https://eproc.karnataka.gov.in/" TargetMode="External"/><Relationship Id="rId479" Type="http://schemas.openxmlformats.org/officeDocument/2006/relationships/hyperlink" Target="https://wbtenders.gov.in/" TargetMode="External"/><Relationship Id="rId686" Type="http://schemas.openxmlformats.org/officeDocument/2006/relationships/hyperlink" Target="https://gem.gov.in/" TargetMode="External"/><Relationship Id="rId893" Type="http://schemas.openxmlformats.org/officeDocument/2006/relationships/hyperlink" Target="https://etender.up.nic.in/" TargetMode="External"/><Relationship Id="rId907" Type="http://schemas.openxmlformats.org/officeDocument/2006/relationships/hyperlink" Target="https://mptenders.gov.in/" TargetMode="External"/><Relationship Id="rId36" Type="http://schemas.openxmlformats.org/officeDocument/2006/relationships/hyperlink" Target="https://tntenders.gov.in/" TargetMode="External"/><Relationship Id="rId339" Type="http://schemas.openxmlformats.org/officeDocument/2006/relationships/hyperlink" Target="https://etender.up.nic.in/" TargetMode="External"/><Relationship Id="rId546" Type="http://schemas.openxmlformats.org/officeDocument/2006/relationships/hyperlink" Target="https://gem.gov.in/" TargetMode="External"/><Relationship Id="rId753" Type="http://schemas.openxmlformats.org/officeDocument/2006/relationships/hyperlink" Target="https://mptenders.gov.in/" TargetMode="External"/><Relationship Id="rId101" Type="http://schemas.openxmlformats.org/officeDocument/2006/relationships/hyperlink" Target="https://mahatenders.gov.in/" TargetMode="External"/><Relationship Id="rId185" Type="http://schemas.openxmlformats.org/officeDocument/2006/relationships/hyperlink" Target="https://iocletenders.nic.in/" TargetMode="External"/><Relationship Id="rId406" Type="http://schemas.openxmlformats.org/officeDocument/2006/relationships/hyperlink" Target="https://etender.up.nic.in/" TargetMode="External"/><Relationship Id="rId960" Type="http://schemas.openxmlformats.org/officeDocument/2006/relationships/hyperlink" Target="https://gem.gov.in/" TargetMode="External"/><Relationship Id="rId392" Type="http://schemas.openxmlformats.org/officeDocument/2006/relationships/hyperlink" Target="https://gem.gov.in/" TargetMode="External"/><Relationship Id="rId613" Type="http://schemas.openxmlformats.org/officeDocument/2006/relationships/hyperlink" Target="https://etenders.kerala.gov.in/" TargetMode="External"/><Relationship Id="rId697" Type="http://schemas.openxmlformats.org/officeDocument/2006/relationships/hyperlink" Target="https://jktenders.gov.in/" TargetMode="External"/><Relationship Id="rId820" Type="http://schemas.openxmlformats.org/officeDocument/2006/relationships/hyperlink" Target="https://mptenders.gov.in/" TargetMode="External"/><Relationship Id="rId918" Type="http://schemas.openxmlformats.org/officeDocument/2006/relationships/hyperlink" Target="https://gem.gov.in/" TargetMode="External"/><Relationship Id="rId252" Type="http://schemas.openxmlformats.org/officeDocument/2006/relationships/hyperlink" Target="https://gem.gov.in/" TargetMode="External"/><Relationship Id="rId47" Type="http://schemas.openxmlformats.org/officeDocument/2006/relationships/hyperlink" Target="http://etenders.hry.nic.in/" TargetMode="External"/><Relationship Id="rId112" Type="http://schemas.openxmlformats.org/officeDocument/2006/relationships/hyperlink" Target="https://etenders.gov.in/" TargetMode="External"/><Relationship Id="rId557" Type="http://schemas.openxmlformats.org/officeDocument/2006/relationships/hyperlink" Target="https://eproc.punjab.gov.in/" TargetMode="External"/><Relationship Id="rId764" Type="http://schemas.openxmlformats.org/officeDocument/2006/relationships/hyperlink" Target="https://etender.up.nic.in/" TargetMode="External"/><Relationship Id="rId971" Type="http://schemas.openxmlformats.org/officeDocument/2006/relationships/hyperlink" Target="https://gem.gov.in/" TargetMode="External"/><Relationship Id="rId196" Type="http://schemas.openxmlformats.org/officeDocument/2006/relationships/hyperlink" Target="https://mptenders.gov.in/" TargetMode="External"/><Relationship Id="rId417" Type="http://schemas.openxmlformats.org/officeDocument/2006/relationships/hyperlink" Target="https://railtel.enivida.com/" TargetMode="External"/><Relationship Id="rId624" Type="http://schemas.openxmlformats.org/officeDocument/2006/relationships/hyperlink" Target="https://gem.gov.in/" TargetMode="External"/><Relationship Id="rId831" Type="http://schemas.openxmlformats.org/officeDocument/2006/relationships/hyperlink" Target="https://mptenders.gov.in/" TargetMode="External"/><Relationship Id="rId263" Type="http://schemas.openxmlformats.org/officeDocument/2006/relationships/hyperlink" Target="https://tender.apeprocurement.gov.in/" TargetMode="External"/><Relationship Id="rId470" Type="http://schemas.openxmlformats.org/officeDocument/2006/relationships/hyperlink" Target="https://gem.gov.in/" TargetMode="External"/><Relationship Id="rId929" Type="http://schemas.openxmlformats.org/officeDocument/2006/relationships/hyperlink" Target="https://gem.gov.in/" TargetMode="External"/><Relationship Id="rId58" Type="http://schemas.openxmlformats.org/officeDocument/2006/relationships/hyperlink" Target="https://uktenders.gov.in/nicgep/app" TargetMode="External"/><Relationship Id="rId123" Type="http://schemas.openxmlformats.org/officeDocument/2006/relationships/hyperlink" Target="https://mptenders.gov.in/" TargetMode="External"/><Relationship Id="rId330" Type="http://schemas.openxmlformats.org/officeDocument/2006/relationships/hyperlink" Target="https://mptenders.gov.in/" TargetMode="External"/><Relationship Id="rId568" Type="http://schemas.openxmlformats.org/officeDocument/2006/relationships/hyperlink" Target="https://gem.gov.in/" TargetMode="External"/><Relationship Id="rId775" Type="http://schemas.openxmlformats.org/officeDocument/2006/relationships/hyperlink" Target="https://gem.gov.in/" TargetMode="External"/><Relationship Id="rId982" Type="http://schemas.openxmlformats.org/officeDocument/2006/relationships/hyperlink" Target="https://gem.gov.in/" TargetMode="External"/><Relationship Id="rId428" Type="http://schemas.openxmlformats.org/officeDocument/2006/relationships/hyperlink" Target="https://eprocure.gov.in/" TargetMode="External"/><Relationship Id="rId635" Type="http://schemas.openxmlformats.org/officeDocument/2006/relationships/hyperlink" Target="https://mptenders.gov.in/" TargetMode="External"/><Relationship Id="rId842" Type="http://schemas.openxmlformats.org/officeDocument/2006/relationships/hyperlink" Target="https://eprocure.gov.in/eprocure/app" TargetMode="External"/><Relationship Id="rId274" Type="http://schemas.openxmlformats.org/officeDocument/2006/relationships/hyperlink" Target="https://gem.gov.in/" TargetMode="External"/><Relationship Id="rId481" Type="http://schemas.openxmlformats.org/officeDocument/2006/relationships/hyperlink" Target="https://etenders.hry.nic.in/" TargetMode="External"/><Relationship Id="rId702" Type="http://schemas.openxmlformats.org/officeDocument/2006/relationships/hyperlink" Target="https://eproc.rajasthan.gov.in/" TargetMode="External"/><Relationship Id="rId69" Type="http://schemas.openxmlformats.org/officeDocument/2006/relationships/hyperlink" Target="https://govtprocurement.delhi.gov.in/" TargetMode="External"/><Relationship Id="rId134" Type="http://schemas.openxmlformats.org/officeDocument/2006/relationships/hyperlink" Target="https://mptenders.gov.in/nicgep/app" TargetMode="External"/><Relationship Id="rId579" Type="http://schemas.openxmlformats.org/officeDocument/2006/relationships/hyperlink" Target="https://mptenders.gov.in/" TargetMode="External"/><Relationship Id="rId786" Type="http://schemas.openxmlformats.org/officeDocument/2006/relationships/hyperlink" Target="https://mptenders.gov.in/" TargetMode="External"/><Relationship Id="rId341" Type="http://schemas.openxmlformats.org/officeDocument/2006/relationships/hyperlink" Target="https://gem.gov.in/" TargetMode="External"/><Relationship Id="rId439" Type="http://schemas.openxmlformats.org/officeDocument/2006/relationships/hyperlink" Target="https://eproc.rajasthan.gov.in/" TargetMode="External"/><Relationship Id="rId646" Type="http://schemas.openxmlformats.org/officeDocument/2006/relationships/hyperlink" Target="https://gem.gov.in/" TargetMode="External"/><Relationship Id="rId201" Type="http://schemas.openxmlformats.org/officeDocument/2006/relationships/hyperlink" Target="https://gem.gov.in/" TargetMode="External"/><Relationship Id="rId285" Type="http://schemas.openxmlformats.org/officeDocument/2006/relationships/hyperlink" Target="https://etenders.gov.in/" TargetMode="External"/><Relationship Id="rId506" Type="http://schemas.openxmlformats.org/officeDocument/2006/relationships/hyperlink" Target="https://mptenders.gov.in/" TargetMode="External"/><Relationship Id="rId853" Type="http://schemas.openxmlformats.org/officeDocument/2006/relationships/hyperlink" Target="https://gem.gov.in/" TargetMode="External"/><Relationship Id="rId492" Type="http://schemas.openxmlformats.org/officeDocument/2006/relationships/hyperlink" Target="https://eprocure.gov.in/" TargetMode="External"/><Relationship Id="rId713" Type="http://schemas.openxmlformats.org/officeDocument/2006/relationships/hyperlink" Target="http://eproc.cgstate.gov.in/" TargetMode="External"/><Relationship Id="rId797" Type="http://schemas.openxmlformats.org/officeDocument/2006/relationships/hyperlink" Target="https://gem.gov.in/" TargetMode="External"/><Relationship Id="rId920" Type="http://schemas.openxmlformats.org/officeDocument/2006/relationships/hyperlink" Target="https://etender.up.nic.in/" TargetMode="External"/><Relationship Id="rId145" Type="http://schemas.openxmlformats.org/officeDocument/2006/relationships/hyperlink" Target="https://mptenders.gov.in/nicgep/app" TargetMode="External"/><Relationship Id="rId352" Type="http://schemas.openxmlformats.org/officeDocument/2006/relationships/hyperlink" Target="https://gem.gov.in/" TargetMode="External"/><Relationship Id="rId212" Type="http://schemas.openxmlformats.org/officeDocument/2006/relationships/hyperlink" Target="https://defproc.gov.in/" TargetMode="External"/><Relationship Id="rId657" Type="http://schemas.openxmlformats.org/officeDocument/2006/relationships/hyperlink" Target="https://etenders.hry.nic.in/" TargetMode="External"/><Relationship Id="rId864" Type="http://schemas.openxmlformats.org/officeDocument/2006/relationships/hyperlink" Target="https://eproc.punjab.gov.in/" TargetMode="External"/><Relationship Id="rId296" Type="http://schemas.openxmlformats.org/officeDocument/2006/relationships/hyperlink" Target="https://gem.gov.in/" TargetMode="External"/><Relationship Id="rId517" Type="http://schemas.openxmlformats.org/officeDocument/2006/relationships/hyperlink" Target="https://eproc.punjab.gov.in/" TargetMode="External"/><Relationship Id="rId724" Type="http://schemas.openxmlformats.org/officeDocument/2006/relationships/hyperlink" Target="https://gem.gov.in/" TargetMode="External"/><Relationship Id="rId931" Type="http://schemas.openxmlformats.org/officeDocument/2006/relationships/hyperlink" Target="https://gem.gov.in/" TargetMode="External"/><Relationship Id="rId60" Type="http://schemas.openxmlformats.org/officeDocument/2006/relationships/hyperlink" Target="https://hptenders.gov.in/" TargetMode="External"/><Relationship Id="rId156" Type="http://schemas.openxmlformats.org/officeDocument/2006/relationships/hyperlink" Target="http://eproc.rajasthan.gov.in/" TargetMode="External"/><Relationship Id="rId363" Type="http://schemas.openxmlformats.org/officeDocument/2006/relationships/hyperlink" Target="https://mptenders.gov.in/" TargetMode="External"/><Relationship Id="rId570" Type="http://schemas.openxmlformats.org/officeDocument/2006/relationships/hyperlink" Target="https://etenders.hry.nic.in/" TargetMode="External"/><Relationship Id="rId223" Type="http://schemas.openxmlformats.org/officeDocument/2006/relationships/hyperlink" Target="https://jharkhandtenders.gov.in/" TargetMode="External"/><Relationship Id="rId430" Type="http://schemas.openxmlformats.org/officeDocument/2006/relationships/hyperlink" Target="https://mptenders.gov.in/" TargetMode="External"/><Relationship Id="rId668" Type="http://schemas.openxmlformats.org/officeDocument/2006/relationships/hyperlink" Target="https://tntenders.gov.in/" TargetMode="External"/><Relationship Id="rId875" Type="http://schemas.openxmlformats.org/officeDocument/2006/relationships/hyperlink" Target="https://mptenders.gov.in/" TargetMode="External"/><Relationship Id="rId18" Type="http://schemas.openxmlformats.org/officeDocument/2006/relationships/hyperlink" Target="https://dnhtenders.gov.in/" TargetMode="External"/><Relationship Id="rId528" Type="http://schemas.openxmlformats.org/officeDocument/2006/relationships/hyperlink" Target="https://gem.gov.in/" TargetMode="External"/><Relationship Id="rId735" Type="http://schemas.openxmlformats.org/officeDocument/2006/relationships/hyperlink" Target="https://eproc.punjab.gov.in/" TargetMode="External"/><Relationship Id="rId942" Type="http://schemas.openxmlformats.org/officeDocument/2006/relationships/hyperlink" Target="https://mptenders.gov.in/" TargetMode="External"/><Relationship Id="rId167" Type="http://schemas.openxmlformats.org/officeDocument/2006/relationships/hyperlink" Target="https://etenders.gov.in/" TargetMode="External"/><Relationship Id="rId374" Type="http://schemas.openxmlformats.org/officeDocument/2006/relationships/hyperlink" Target="https://mptenders.gov.in/" TargetMode="External"/><Relationship Id="rId581" Type="http://schemas.openxmlformats.org/officeDocument/2006/relationships/hyperlink" Target="https://etenders.hry.nic.in/" TargetMode="External"/><Relationship Id="rId71" Type="http://schemas.openxmlformats.org/officeDocument/2006/relationships/hyperlink" Target="https://mptenders.gov.in/" TargetMode="External"/><Relationship Id="rId234" Type="http://schemas.openxmlformats.org/officeDocument/2006/relationships/hyperlink" Target="https://mptenders.gov.in/" TargetMode="External"/><Relationship Id="rId679" Type="http://schemas.openxmlformats.org/officeDocument/2006/relationships/hyperlink" Target="https://gem.gov.in/" TargetMode="External"/><Relationship Id="rId802" Type="http://schemas.openxmlformats.org/officeDocument/2006/relationships/hyperlink" Target="https://mptenders.gov.in/" TargetMode="External"/><Relationship Id="rId886" Type="http://schemas.openxmlformats.org/officeDocument/2006/relationships/hyperlink" Target="https://gem.gov.in/" TargetMode="External"/><Relationship Id="rId2" Type="http://schemas.openxmlformats.org/officeDocument/2006/relationships/hyperlink" Target="https://eproc.cgstate.gov.in/" TargetMode="External"/><Relationship Id="rId29" Type="http://schemas.openxmlformats.org/officeDocument/2006/relationships/hyperlink" Target="http://www.mptenders.gov.in/" TargetMode="External"/><Relationship Id="rId441" Type="http://schemas.openxmlformats.org/officeDocument/2006/relationships/hyperlink" Target="https://mptenders.gov.in/" TargetMode="External"/><Relationship Id="rId539" Type="http://schemas.openxmlformats.org/officeDocument/2006/relationships/hyperlink" Target="https://etender.up.nic.in/" TargetMode="External"/><Relationship Id="rId746" Type="http://schemas.openxmlformats.org/officeDocument/2006/relationships/hyperlink" Target="https://gem.gov.in/" TargetMode="External"/><Relationship Id="rId178" Type="http://schemas.openxmlformats.org/officeDocument/2006/relationships/hyperlink" Target="https://gem.gov.in/" TargetMode="External"/><Relationship Id="rId301" Type="http://schemas.openxmlformats.org/officeDocument/2006/relationships/hyperlink" Target="https://gem.gov.in/" TargetMode="External"/><Relationship Id="rId953" Type="http://schemas.openxmlformats.org/officeDocument/2006/relationships/hyperlink" Target="https://gem.gov.in/" TargetMode="External"/><Relationship Id="rId82" Type="http://schemas.openxmlformats.org/officeDocument/2006/relationships/hyperlink" Target="https://mptenders.gov.in/nicgep/app" TargetMode="External"/><Relationship Id="rId385" Type="http://schemas.openxmlformats.org/officeDocument/2006/relationships/hyperlink" Target="https://mptenders.gov.in/" TargetMode="External"/><Relationship Id="rId592" Type="http://schemas.openxmlformats.org/officeDocument/2006/relationships/hyperlink" Target="https://etenders.hry.nic.in/" TargetMode="External"/><Relationship Id="rId606" Type="http://schemas.openxmlformats.org/officeDocument/2006/relationships/hyperlink" Target="https://mptenders.gov.in/" TargetMode="External"/><Relationship Id="rId813" Type="http://schemas.openxmlformats.org/officeDocument/2006/relationships/hyperlink" Target="https://gem.gov.in/" TargetMode="External"/><Relationship Id="rId245" Type="http://schemas.openxmlformats.org/officeDocument/2006/relationships/hyperlink" Target="https://gem.gov.in/" TargetMode="External"/><Relationship Id="rId452" Type="http://schemas.openxmlformats.org/officeDocument/2006/relationships/hyperlink" Target="https://jharkhandtenders.gov.in/" TargetMode="External"/><Relationship Id="rId897" Type="http://schemas.openxmlformats.org/officeDocument/2006/relationships/hyperlink" Target="https://mptenders.gov.in/" TargetMode="External"/><Relationship Id="rId105" Type="http://schemas.openxmlformats.org/officeDocument/2006/relationships/hyperlink" Target="https://mptenders.gov.in/nicgep/app" TargetMode="External"/><Relationship Id="rId312" Type="http://schemas.openxmlformats.org/officeDocument/2006/relationships/hyperlink" Target="https://govtprocurement.delhi.gov.in/" TargetMode="External"/><Relationship Id="rId757" Type="http://schemas.openxmlformats.org/officeDocument/2006/relationships/hyperlink" Target="https://etenders.hry.nic.in/" TargetMode="External"/><Relationship Id="rId964" Type="http://schemas.openxmlformats.org/officeDocument/2006/relationships/hyperlink" Target="https://gem.gov.in/" TargetMode="External"/><Relationship Id="rId93" Type="http://schemas.openxmlformats.org/officeDocument/2006/relationships/hyperlink" Target="https://mptenders.gov.in/nicgep/app" TargetMode="External"/><Relationship Id="rId189" Type="http://schemas.openxmlformats.org/officeDocument/2006/relationships/hyperlink" Target="https://eproc.rajasthan.gov.in/" TargetMode="External"/><Relationship Id="rId396" Type="http://schemas.openxmlformats.org/officeDocument/2006/relationships/hyperlink" Target="https://etender.up.nic.in/" TargetMode="External"/><Relationship Id="rId617" Type="http://schemas.openxmlformats.org/officeDocument/2006/relationships/hyperlink" Target="https://tendersodisha.gov.in/" TargetMode="External"/><Relationship Id="rId824" Type="http://schemas.openxmlformats.org/officeDocument/2006/relationships/hyperlink" Target="https://mptenders.gov.in/" TargetMode="External"/><Relationship Id="rId256" Type="http://schemas.openxmlformats.org/officeDocument/2006/relationships/hyperlink" Target="https://mptenders.gov.in/" TargetMode="External"/><Relationship Id="rId463" Type="http://schemas.openxmlformats.org/officeDocument/2006/relationships/hyperlink" Target="https://etender.up.nic.in/" TargetMode="External"/><Relationship Id="rId670" Type="http://schemas.openxmlformats.org/officeDocument/2006/relationships/hyperlink" Target="https://mptenders.gov.in/" TargetMode="External"/><Relationship Id="rId116" Type="http://schemas.openxmlformats.org/officeDocument/2006/relationships/hyperlink" Target="https://mptenders.gov.in/" TargetMode="External"/><Relationship Id="rId323" Type="http://schemas.openxmlformats.org/officeDocument/2006/relationships/hyperlink" Target="https://etenders.kerala.gov.in/" TargetMode="External"/><Relationship Id="rId530" Type="http://schemas.openxmlformats.org/officeDocument/2006/relationships/hyperlink" Target="https://eproc.punjab.gov.in/" TargetMode="External"/><Relationship Id="rId768" Type="http://schemas.openxmlformats.org/officeDocument/2006/relationships/hyperlink" Target="https://gem.gov.in/" TargetMode="External"/><Relationship Id="rId975" Type="http://schemas.openxmlformats.org/officeDocument/2006/relationships/hyperlink" Target="https://www.ireps.gov.in/" TargetMode="External"/><Relationship Id="rId20" Type="http://schemas.openxmlformats.org/officeDocument/2006/relationships/hyperlink" Target="http://jharkhandtenders.gov.in/" TargetMode="External"/><Relationship Id="rId628" Type="http://schemas.openxmlformats.org/officeDocument/2006/relationships/hyperlink" Target="https://eprocurebhel.co.in/" TargetMode="External"/><Relationship Id="rId835" Type="http://schemas.openxmlformats.org/officeDocument/2006/relationships/hyperlink" Target="https://mptenders.gov.in/" TargetMode="External"/><Relationship Id="rId267" Type="http://schemas.openxmlformats.org/officeDocument/2006/relationships/hyperlink" Target="https://tendersutl.gov.in/" TargetMode="External"/><Relationship Id="rId474" Type="http://schemas.openxmlformats.org/officeDocument/2006/relationships/hyperlink" Target="https://eproc.punjab.gov.in/" TargetMode="External"/><Relationship Id="rId127" Type="http://schemas.openxmlformats.org/officeDocument/2006/relationships/hyperlink" Target="https://iocletenders.nic.in/nicgep/app" TargetMode="External"/><Relationship Id="rId681" Type="http://schemas.openxmlformats.org/officeDocument/2006/relationships/hyperlink" Target="https://gem.gov.in/" TargetMode="External"/><Relationship Id="rId779" Type="http://schemas.openxmlformats.org/officeDocument/2006/relationships/hyperlink" Target="https://gem.gov.in/" TargetMode="External"/><Relationship Id="rId902" Type="http://schemas.openxmlformats.org/officeDocument/2006/relationships/hyperlink" Target="https://mahatenders.gov.in/" TargetMode="External"/><Relationship Id="rId31" Type="http://schemas.openxmlformats.org/officeDocument/2006/relationships/hyperlink" Target="https://etenders.gov.in/eprocure/app" TargetMode="External"/><Relationship Id="rId334" Type="http://schemas.openxmlformats.org/officeDocument/2006/relationships/hyperlink" Target="https://govtprocurement.delhi.gov.in/" TargetMode="External"/><Relationship Id="rId541" Type="http://schemas.openxmlformats.org/officeDocument/2006/relationships/hyperlink" Target="https://gem.gov.in/" TargetMode="External"/><Relationship Id="rId639" Type="http://schemas.openxmlformats.org/officeDocument/2006/relationships/hyperlink" Target="https://jktenders.gov.in/" TargetMode="External"/><Relationship Id="rId180" Type="http://schemas.openxmlformats.org/officeDocument/2006/relationships/hyperlink" Target="https://etenders.hry.nic.in./" TargetMode="External"/><Relationship Id="rId278" Type="http://schemas.openxmlformats.org/officeDocument/2006/relationships/hyperlink" Target="https://govtprocurement.delhi.gov.in/" TargetMode="External"/><Relationship Id="rId401" Type="http://schemas.openxmlformats.org/officeDocument/2006/relationships/hyperlink" Target="https://etender.up.nic.in/" TargetMode="External"/><Relationship Id="rId846" Type="http://schemas.openxmlformats.org/officeDocument/2006/relationships/hyperlink" Target="https://gem.gov.in/" TargetMode="External"/><Relationship Id="rId485" Type="http://schemas.openxmlformats.org/officeDocument/2006/relationships/hyperlink" Target="https://gem.gov.in/" TargetMode="External"/><Relationship Id="rId692" Type="http://schemas.openxmlformats.org/officeDocument/2006/relationships/hyperlink" Target="https://uktenders.gov.in/" TargetMode="External"/><Relationship Id="rId706" Type="http://schemas.openxmlformats.org/officeDocument/2006/relationships/hyperlink" Target="https://mptenders.gov.in/" TargetMode="External"/><Relationship Id="rId913" Type="http://schemas.openxmlformats.org/officeDocument/2006/relationships/hyperlink" Target="https://mptenders.gov.in/" TargetMode="External"/><Relationship Id="rId42" Type="http://schemas.openxmlformats.org/officeDocument/2006/relationships/hyperlink" Target="https://mahatenders.gov.in/nicgep/app" TargetMode="External"/><Relationship Id="rId138" Type="http://schemas.openxmlformats.org/officeDocument/2006/relationships/hyperlink" Target="https://etenders.gov.in/eprocure/app" TargetMode="External"/><Relationship Id="rId345" Type="http://schemas.openxmlformats.org/officeDocument/2006/relationships/hyperlink" Target="https://mptenders.gov.in/" TargetMode="External"/><Relationship Id="rId552" Type="http://schemas.openxmlformats.org/officeDocument/2006/relationships/hyperlink" Target="https://mptenders.gov.in/" TargetMode="External"/><Relationship Id="rId191" Type="http://schemas.openxmlformats.org/officeDocument/2006/relationships/hyperlink" Target="https://gem.gov.in/" TargetMode="External"/><Relationship Id="rId205" Type="http://schemas.openxmlformats.org/officeDocument/2006/relationships/hyperlink" Target="https://uktenders.gov.in/" TargetMode="External"/><Relationship Id="rId412" Type="http://schemas.openxmlformats.org/officeDocument/2006/relationships/hyperlink" Target="https://eproc.punjab.gov.in/" TargetMode="External"/><Relationship Id="rId857" Type="http://schemas.openxmlformats.org/officeDocument/2006/relationships/hyperlink" Target="https://gem.gov.in/" TargetMode="External"/><Relationship Id="rId289" Type="http://schemas.openxmlformats.org/officeDocument/2006/relationships/hyperlink" Target="https://gem.gov.in/" TargetMode="External"/><Relationship Id="rId496" Type="http://schemas.openxmlformats.org/officeDocument/2006/relationships/hyperlink" Target="https://etender.up.nic.in/" TargetMode="External"/><Relationship Id="rId717" Type="http://schemas.openxmlformats.org/officeDocument/2006/relationships/hyperlink" Target="https://tendersodisha.gov.in/" TargetMode="External"/><Relationship Id="rId924" Type="http://schemas.openxmlformats.org/officeDocument/2006/relationships/hyperlink" Target="https://etender.up.nic.in/" TargetMode="External"/><Relationship Id="rId53" Type="http://schemas.openxmlformats.org/officeDocument/2006/relationships/hyperlink" Target="https://tendersodisha.gov.in/nicgep/app" TargetMode="External"/><Relationship Id="rId149" Type="http://schemas.openxmlformats.org/officeDocument/2006/relationships/hyperlink" Target="https://hptenders.gov.in/nicgep/app" TargetMode="External"/><Relationship Id="rId356" Type="http://schemas.openxmlformats.org/officeDocument/2006/relationships/hyperlink" Target="https://tenders.ongc.co.in/" TargetMode="External"/><Relationship Id="rId563" Type="http://schemas.openxmlformats.org/officeDocument/2006/relationships/hyperlink" Target="https://mptenders.gov.in/" TargetMode="External"/><Relationship Id="rId770" Type="http://schemas.openxmlformats.org/officeDocument/2006/relationships/hyperlink" Target="https://mptenders.gov.in/" TargetMode="External"/><Relationship Id="rId216" Type="http://schemas.openxmlformats.org/officeDocument/2006/relationships/hyperlink" Target="https://gem.gov.in/" TargetMode="External"/><Relationship Id="rId423" Type="http://schemas.openxmlformats.org/officeDocument/2006/relationships/hyperlink" Target="https://etenders.gov.in/" TargetMode="External"/><Relationship Id="rId868" Type="http://schemas.openxmlformats.org/officeDocument/2006/relationships/hyperlink" Target="https://gem.gov.in/" TargetMode="External"/><Relationship Id="rId630" Type="http://schemas.openxmlformats.org/officeDocument/2006/relationships/hyperlink" Target="https://gem.gov.in/" TargetMode="External"/><Relationship Id="rId728" Type="http://schemas.openxmlformats.org/officeDocument/2006/relationships/hyperlink" Target="https://gem.gov.in/" TargetMode="External"/><Relationship Id="rId935" Type="http://schemas.openxmlformats.org/officeDocument/2006/relationships/hyperlink" Target="https://eproc.punjab.gov.in/" TargetMode="External"/><Relationship Id="rId64" Type="http://schemas.openxmlformats.org/officeDocument/2006/relationships/hyperlink" Target="https://enivida.odisha.gov.in/" TargetMode="External"/><Relationship Id="rId367" Type="http://schemas.openxmlformats.org/officeDocument/2006/relationships/hyperlink" Target="https://uktenders.gov.in/" TargetMode="External"/><Relationship Id="rId574" Type="http://schemas.openxmlformats.org/officeDocument/2006/relationships/hyperlink" Target="https://gem.gov.in/" TargetMode="External"/><Relationship Id="rId227" Type="http://schemas.openxmlformats.org/officeDocument/2006/relationships/hyperlink" Target="https://etenders.hry.nic.in/" TargetMode="External"/><Relationship Id="rId781" Type="http://schemas.openxmlformats.org/officeDocument/2006/relationships/hyperlink" Target="https://www.ireps.gov.in/" TargetMode="External"/><Relationship Id="rId879" Type="http://schemas.openxmlformats.org/officeDocument/2006/relationships/hyperlink" Target="https://mptenders.gov.in/" TargetMode="External"/><Relationship Id="rId434" Type="http://schemas.openxmlformats.org/officeDocument/2006/relationships/hyperlink" Target="https://etenders.hry.nic.in/" TargetMode="External"/><Relationship Id="rId641" Type="http://schemas.openxmlformats.org/officeDocument/2006/relationships/hyperlink" Target="https://etender.up.nic.in/" TargetMode="External"/><Relationship Id="rId739" Type="http://schemas.openxmlformats.org/officeDocument/2006/relationships/hyperlink" Target="https://mptenders.gov.in/" TargetMode="External"/><Relationship Id="rId280" Type="http://schemas.openxmlformats.org/officeDocument/2006/relationships/hyperlink" Target="https://eproc.karnataka.gov.in/" TargetMode="External"/><Relationship Id="rId501" Type="http://schemas.openxmlformats.org/officeDocument/2006/relationships/hyperlink" Target="https://etender.up.nic.in/" TargetMode="External"/><Relationship Id="rId946" Type="http://schemas.openxmlformats.org/officeDocument/2006/relationships/hyperlink" Target="https://www.ireps.gov.in/" TargetMode="External"/><Relationship Id="rId75" Type="http://schemas.openxmlformats.org/officeDocument/2006/relationships/hyperlink" Target="https://tendersodisha.gov.in/nicgep/app" TargetMode="External"/><Relationship Id="rId140" Type="http://schemas.openxmlformats.org/officeDocument/2006/relationships/hyperlink" Target="https://mptenders.gov.in/nicgep/app" TargetMode="External"/><Relationship Id="rId378" Type="http://schemas.openxmlformats.org/officeDocument/2006/relationships/hyperlink" Target="https://eprocure.gov.in/eprocure/" TargetMode="External"/><Relationship Id="rId585" Type="http://schemas.openxmlformats.org/officeDocument/2006/relationships/hyperlink" Target="https://mptenders.gov.in/" TargetMode="External"/><Relationship Id="rId792" Type="http://schemas.openxmlformats.org/officeDocument/2006/relationships/hyperlink" Target="https://gem.gov.in/" TargetMode="External"/><Relationship Id="rId806" Type="http://schemas.openxmlformats.org/officeDocument/2006/relationships/hyperlink" Target="https://mptenders.gov.in/" TargetMode="External"/><Relationship Id="rId6" Type="http://schemas.openxmlformats.org/officeDocument/2006/relationships/hyperlink" Target="http://www.gem.gov.in/" TargetMode="External"/><Relationship Id="rId238" Type="http://schemas.openxmlformats.org/officeDocument/2006/relationships/hyperlink" Target="https://eprocure.gov.in/eprocure/app" TargetMode="External"/><Relationship Id="rId445" Type="http://schemas.openxmlformats.org/officeDocument/2006/relationships/hyperlink" Target="https://mptenders.gov.in/" TargetMode="External"/><Relationship Id="rId652" Type="http://schemas.openxmlformats.org/officeDocument/2006/relationships/hyperlink" Target="https://gem.gov.in/" TargetMode="External"/><Relationship Id="rId291" Type="http://schemas.openxmlformats.org/officeDocument/2006/relationships/hyperlink" Target="https://mptenders.gov.in/" TargetMode="External"/><Relationship Id="rId305" Type="http://schemas.openxmlformats.org/officeDocument/2006/relationships/hyperlink" Target="https://gem.gov.in/" TargetMode="External"/><Relationship Id="rId512" Type="http://schemas.openxmlformats.org/officeDocument/2006/relationships/hyperlink" Target="https://gem.gov.in/" TargetMode="External"/><Relationship Id="rId957" Type="http://schemas.openxmlformats.org/officeDocument/2006/relationships/hyperlink" Target="https://mptenders.gov.in/" TargetMode="External"/><Relationship Id="rId86" Type="http://schemas.openxmlformats.org/officeDocument/2006/relationships/hyperlink" Target="https://ddtenders.gov.in/" TargetMode="External"/><Relationship Id="rId151" Type="http://schemas.openxmlformats.org/officeDocument/2006/relationships/hyperlink" Target="https://www.suratsmartcity.com/Tenders" TargetMode="External"/><Relationship Id="rId389" Type="http://schemas.openxmlformats.org/officeDocument/2006/relationships/hyperlink" Target="https://etender.up.nic.in/" TargetMode="External"/><Relationship Id="rId596" Type="http://schemas.openxmlformats.org/officeDocument/2006/relationships/hyperlink" Target="https://etender.up.nic.in/" TargetMode="External"/><Relationship Id="rId817" Type="http://schemas.openxmlformats.org/officeDocument/2006/relationships/hyperlink" Target="https://gem.gov.in/" TargetMode="External"/><Relationship Id="rId249" Type="http://schemas.openxmlformats.org/officeDocument/2006/relationships/hyperlink" Target="https://gem.gov.in/" TargetMode="External"/><Relationship Id="rId456" Type="http://schemas.openxmlformats.org/officeDocument/2006/relationships/hyperlink" Target="https://etender.up.nic.in/" TargetMode="External"/><Relationship Id="rId663" Type="http://schemas.openxmlformats.org/officeDocument/2006/relationships/hyperlink" Target="https://mptenders.gov.in/" TargetMode="External"/><Relationship Id="rId870" Type="http://schemas.openxmlformats.org/officeDocument/2006/relationships/hyperlink" Target="https://mptenders.gov.in/" TargetMode="External"/><Relationship Id="rId13" Type="http://schemas.openxmlformats.org/officeDocument/2006/relationships/hyperlink" Target="https://etender.up.nic.in/" TargetMode="External"/><Relationship Id="rId109" Type="http://schemas.openxmlformats.org/officeDocument/2006/relationships/hyperlink" Target="https://eproc2.bihar.gov.in/EPSV2Web/" TargetMode="External"/><Relationship Id="rId316" Type="http://schemas.openxmlformats.org/officeDocument/2006/relationships/hyperlink" Target="https://mptenders.gov.in/" TargetMode="External"/><Relationship Id="rId523" Type="http://schemas.openxmlformats.org/officeDocument/2006/relationships/hyperlink" Target="https://gem.gov.in/" TargetMode="External"/><Relationship Id="rId968" Type="http://schemas.openxmlformats.org/officeDocument/2006/relationships/hyperlink" Target="https://www.ireps.gov.in/" TargetMode="External"/><Relationship Id="rId97" Type="http://schemas.openxmlformats.org/officeDocument/2006/relationships/hyperlink" Target="https://eproc2.bihar.gov.in/" TargetMode="External"/><Relationship Id="rId730" Type="http://schemas.openxmlformats.org/officeDocument/2006/relationships/hyperlink" Target="https://gem.gov.in/" TargetMode="External"/><Relationship Id="rId828" Type="http://schemas.openxmlformats.org/officeDocument/2006/relationships/hyperlink" Target="https://mptenders.gov.in/" TargetMode="External"/><Relationship Id="rId162" Type="http://schemas.openxmlformats.org/officeDocument/2006/relationships/hyperlink" Target="https://gem.gov.in/" TargetMode="External"/><Relationship Id="rId467" Type="http://schemas.openxmlformats.org/officeDocument/2006/relationships/hyperlink" Target="https://gil.gujarat.gov.in/" TargetMode="External"/><Relationship Id="rId674" Type="http://schemas.openxmlformats.org/officeDocument/2006/relationships/hyperlink" Target="https://mptenders.gov.in/" TargetMode="External"/><Relationship Id="rId881" Type="http://schemas.openxmlformats.org/officeDocument/2006/relationships/hyperlink" Target="https://tender.nprocure.com/" TargetMode="External"/><Relationship Id="rId979" Type="http://schemas.openxmlformats.org/officeDocument/2006/relationships/hyperlink" Target="https://gem.gov.in/" TargetMode="External"/><Relationship Id="rId24" Type="http://schemas.openxmlformats.org/officeDocument/2006/relationships/hyperlink" Target="https://mptenders.gov.in/" TargetMode="External"/><Relationship Id="rId327" Type="http://schemas.openxmlformats.org/officeDocument/2006/relationships/hyperlink" Target="https://gem.gov.in/" TargetMode="External"/><Relationship Id="rId534" Type="http://schemas.openxmlformats.org/officeDocument/2006/relationships/hyperlink" Target="https://gem.gov.in/" TargetMode="External"/><Relationship Id="rId741" Type="http://schemas.openxmlformats.org/officeDocument/2006/relationships/hyperlink" Target="https://gem.gov.in/" TargetMode="External"/><Relationship Id="rId839" Type="http://schemas.openxmlformats.org/officeDocument/2006/relationships/hyperlink" Target="https://eprocure.gov.in/eprocure/app" TargetMode="External"/><Relationship Id="rId173" Type="http://schemas.openxmlformats.org/officeDocument/2006/relationships/hyperlink" Target="https://etender.up.nic.in/nicgep/app" TargetMode="External"/><Relationship Id="rId380" Type="http://schemas.openxmlformats.org/officeDocument/2006/relationships/hyperlink" Target="https://tender.telangana.gov.in/" TargetMode="External"/><Relationship Id="rId601" Type="http://schemas.openxmlformats.org/officeDocument/2006/relationships/hyperlink" Target="https://etenders.hry.nic.in/" TargetMode="External"/><Relationship Id="rId240" Type="http://schemas.openxmlformats.org/officeDocument/2006/relationships/hyperlink" Target="https://gem.gov.in/" TargetMode="External"/><Relationship Id="rId478" Type="http://schemas.openxmlformats.org/officeDocument/2006/relationships/hyperlink" Target="https://eproc.rajasthan.gov.in/" TargetMode="External"/><Relationship Id="rId685" Type="http://schemas.openxmlformats.org/officeDocument/2006/relationships/hyperlink" Target="https://mptenders.gov.in/" TargetMode="External"/><Relationship Id="rId892" Type="http://schemas.openxmlformats.org/officeDocument/2006/relationships/hyperlink" Target="https://mptenders.gov.in/" TargetMode="External"/><Relationship Id="rId906" Type="http://schemas.openxmlformats.org/officeDocument/2006/relationships/hyperlink" Target="https://mp.gov.in/fisheries-department" TargetMode="External"/><Relationship Id="rId35" Type="http://schemas.openxmlformats.org/officeDocument/2006/relationships/hyperlink" Target="http://www.gem.gov.in/" TargetMode="External"/><Relationship Id="rId100" Type="http://schemas.openxmlformats.org/officeDocument/2006/relationships/hyperlink" Target="https://gem.gov.in/" TargetMode="External"/><Relationship Id="rId338" Type="http://schemas.openxmlformats.org/officeDocument/2006/relationships/hyperlink" Target="https://etender.up.nic.in/" TargetMode="External"/><Relationship Id="rId545" Type="http://schemas.openxmlformats.org/officeDocument/2006/relationships/hyperlink" Target="https://gem.gov.in/" TargetMode="External"/><Relationship Id="rId752" Type="http://schemas.openxmlformats.org/officeDocument/2006/relationships/hyperlink" Target="https://mptenders.gov.in/" TargetMode="External"/><Relationship Id="rId184" Type="http://schemas.openxmlformats.org/officeDocument/2006/relationships/hyperlink" Target="https://etenders.gov.in/" TargetMode="External"/><Relationship Id="rId391" Type="http://schemas.openxmlformats.org/officeDocument/2006/relationships/hyperlink" Target="https://gem.gov.in/" TargetMode="External"/><Relationship Id="rId405" Type="http://schemas.openxmlformats.org/officeDocument/2006/relationships/hyperlink" Target="https://gem.gov.in/" TargetMode="External"/><Relationship Id="rId612" Type="http://schemas.openxmlformats.org/officeDocument/2006/relationships/hyperlink" Target="http://jaypeeinfratech.com/tender.html" TargetMode="External"/><Relationship Id="rId251" Type="http://schemas.openxmlformats.org/officeDocument/2006/relationships/hyperlink" Target="https://etender.up.nic.in/" TargetMode="External"/><Relationship Id="rId489" Type="http://schemas.openxmlformats.org/officeDocument/2006/relationships/hyperlink" Target="https://mptenders.gov.in/" TargetMode="External"/><Relationship Id="rId696" Type="http://schemas.openxmlformats.org/officeDocument/2006/relationships/hyperlink" Target="https://gem.gov.in/" TargetMode="External"/><Relationship Id="rId917" Type="http://schemas.openxmlformats.org/officeDocument/2006/relationships/hyperlink" Target="https://gem.gov.in/" TargetMode="External"/><Relationship Id="rId46" Type="http://schemas.openxmlformats.org/officeDocument/2006/relationships/hyperlink" Target="https://eproc.cgstate.gov.in/" TargetMode="External"/><Relationship Id="rId349" Type="http://schemas.openxmlformats.org/officeDocument/2006/relationships/hyperlink" Target="https://gem.gov.in/" TargetMode="External"/><Relationship Id="rId556" Type="http://schemas.openxmlformats.org/officeDocument/2006/relationships/hyperlink" Target="https://mptenders.gov.in/" TargetMode="External"/><Relationship Id="rId763" Type="http://schemas.openxmlformats.org/officeDocument/2006/relationships/hyperlink" Target="https://gem.gov.in/" TargetMode="External"/><Relationship Id="rId111" Type="http://schemas.openxmlformats.org/officeDocument/2006/relationships/hyperlink" Target="https://etenders.gov.in/" TargetMode="External"/><Relationship Id="rId195" Type="http://schemas.openxmlformats.org/officeDocument/2006/relationships/hyperlink" Target="https://assamtenders.gov.in/" TargetMode="External"/><Relationship Id="rId209" Type="http://schemas.openxmlformats.org/officeDocument/2006/relationships/hyperlink" Target="https://eprocure.gov.in/" TargetMode="External"/><Relationship Id="rId416" Type="http://schemas.openxmlformats.org/officeDocument/2006/relationships/hyperlink" Target="https://www.tenderdetail.com/" TargetMode="External"/><Relationship Id="rId970" Type="http://schemas.openxmlformats.org/officeDocument/2006/relationships/hyperlink" Target="https://gem.gov.in/" TargetMode="External"/><Relationship Id="rId623" Type="http://schemas.openxmlformats.org/officeDocument/2006/relationships/hyperlink" Target="https://gem.gov.in/" TargetMode="External"/><Relationship Id="rId830" Type="http://schemas.openxmlformats.org/officeDocument/2006/relationships/hyperlink" Target="https://mptenders.gov.in/" TargetMode="External"/><Relationship Id="rId928" Type="http://schemas.openxmlformats.org/officeDocument/2006/relationships/hyperlink" Target="https://tender.nprocure.com/" TargetMode="External"/><Relationship Id="rId57" Type="http://schemas.openxmlformats.org/officeDocument/2006/relationships/hyperlink" Target="https://eproc.punjab.gov.in/" TargetMode="External"/><Relationship Id="rId262" Type="http://schemas.openxmlformats.org/officeDocument/2006/relationships/hyperlink" Target="https://tenders.ladakh.gov.in/" TargetMode="External"/><Relationship Id="rId567" Type="http://schemas.openxmlformats.org/officeDocument/2006/relationships/hyperlink" Target="https://eproc.punjab.gov.in/" TargetMode="External"/><Relationship Id="rId122" Type="http://schemas.openxmlformats.org/officeDocument/2006/relationships/hyperlink" Target="https://etenders.gov.in/eprocure/app" TargetMode="External"/><Relationship Id="rId774" Type="http://schemas.openxmlformats.org/officeDocument/2006/relationships/hyperlink" Target="https://mptenders.gov.in/" TargetMode="External"/><Relationship Id="rId981" Type="http://schemas.openxmlformats.org/officeDocument/2006/relationships/hyperlink" Target="https://gem.gov.in/" TargetMode="External"/><Relationship Id="rId427" Type="http://schemas.openxmlformats.org/officeDocument/2006/relationships/hyperlink" Target="https://gem.gov.in/" TargetMode="External"/><Relationship Id="rId634" Type="http://schemas.openxmlformats.org/officeDocument/2006/relationships/hyperlink" Target="https://mptenders.gov.in/" TargetMode="External"/><Relationship Id="rId841" Type="http://schemas.openxmlformats.org/officeDocument/2006/relationships/hyperlink" Target="https://mptenders.gov.in/" TargetMode="External"/><Relationship Id="rId273" Type="http://schemas.openxmlformats.org/officeDocument/2006/relationships/hyperlink" Target="https://mptenders.gov.in/" TargetMode="External"/><Relationship Id="rId480" Type="http://schemas.openxmlformats.org/officeDocument/2006/relationships/hyperlink" Target="https://mptenders.gov.in/" TargetMode="External"/><Relationship Id="rId701" Type="http://schemas.openxmlformats.org/officeDocument/2006/relationships/hyperlink" Target="https://eprocure.gov.in/" TargetMode="External"/><Relationship Id="rId939" Type="http://schemas.openxmlformats.org/officeDocument/2006/relationships/hyperlink" Target="https://gem.gov.in/" TargetMode="External"/><Relationship Id="rId68" Type="http://schemas.openxmlformats.org/officeDocument/2006/relationships/hyperlink" Target="https://tender.telangana.gov.in/" TargetMode="External"/><Relationship Id="rId133" Type="http://schemas.openxmlformats.org/officeDocument/2006/relationships/hyperlink" Target="https://mptenders.gov.in/nicgep/app" TargetMode="External"/><Relationship Id="rId340" Type="http://schemas.openxmlformats.org/officeDocument/2006/relationships/hyperlink" Target="https://gem.gov.in/" TargetMode="External"/><Relationship Id="rId578" Type="http://schemas.openxmlformats.org/officeDocument/2006/relationships/hyperlink" Target="https://gem.gov.in/" TargetMode="External"/><Relationship Id="rId785" Type="http://schemas.openxmlformats.org/officeDocument/2006/relationships/hyperlink" Target="https://eproc.punjab.gov.in/" TargetMode="External"/><Relationship Id="rId200" Type="http://schemas.openxmlformats.org/officeDocument/2006/relationships/hyperlink" Target="https://gem.gov.in/" TargetMode="External"/><Relationship Id="rId438" Type="http://schemas.openxmlformats.org/officeDocument/2006/relationships/hyperlink" Target="https://eproc.rajasthan.gov.in/" TargetMode="External"/><Relationship Id="rId645" Type="http://schemas.openxmlformats.org/officeDocument/2006/relationships/hyperlink" Target="https://gem.gov.in/" TargetMode="External"/><Relationship Id="rId852" Type="http://schemas.openxmlformats.org/officeDocument/2006/relationships/hyperlink" Target="https://etender.up.nic.in/" TargetMode="External"/><Relationship Id="rId284" Type="http://schemas.openxmlformats.org/officeDocument/2006/relationships/hyperlink" Target="https://mptenders.gov.in/" TargetMode="External"/><Relationship Id="rId491" Type="http://schemas.openxmlformats.org/officeDocument/2006/relationships/hyperlink" Target="https://gem.gov.in/" TargetMode="External"/><Relationship Id="rId505" Type="http://schemas.openxmlformats.org/officeDocument/2006/relationships/hyperlink" Target="https://mptenders.gov.in/" TargetMode="External"/><Relationship Id="rId712" Type="http://schemas.openxmlformats.org/officeDocument/2006/relationships/hyperlink" Target="https://mptenders.gov.in/" TargetMode="External"/><Relationship Id="rId79" Type="http://schemas.openxmlformats.org/officeDocument/2006/relationships/hyperlink" Target="https://mptenders.gov.in/" TargetMode="External"/><Relationship Id="rId144" Type="http://schemas.openxmlformats.org/officeDocument/2006/relationships/hyperlink" Target="https://iocletenders.nic.in/" TargetMode="External"/><Relationship Id="rId589" Type="http://schemas.openxmlformats.org/officeDocument/2006/relationships/hyperlink" Target="https://mahatenders.gov.in/" TargetMode="External"/><Relationship Id="rId796" Type="http://schemas.openxmlformats.org/officeDocument/2006/relationships/hyperlink" Target="https://gem.gov.in/" TargetMode="External"/><Relationship Id="rId351" Type="http://schemas.openxmlformats.org/officeDocument/2006/relationships/hyperlink" Target="https://gem.gov.in/" TargetMode="External"/><Relationship Id="rId449" Type="http://schemas.openxmlformats.org/officeDocument/2006/relationships/hyperlink" Target="https://mptenders.gov.in/" TargetMode="External"/><Relationship Id="rId656" Type="http://schemas.openxmlformats.org/officeDocument/2006/relationships/hyperlink" Target="https://gem.gov.in/" TargetMode="External"/><Relationship Id="rId863" Type="http://schemas.openxmlformats.org/officeDocument/2006/relationships/hyperlink" Target="https://eprocure.gov.in/" TargetMode="External"/><Relationship Id="rId211" Type="http://schemas.openxmlformats.org/officeDocument/2006/relationships/hyperlink" Target="https://gem.gov.in/" TargetMode="External"/><Relationship Id="rId295" Type="http://schemas.openxmlformats.org/officeDocument/2006/relationships/hyperlink" Target="https://gem.gov.in/" TargetMode="External"/><Relationship Id="rId309" Type="http://schemas.openxmlformats.org/officeDocument/2006/relationships/hyperlink" Target="https://gem.gov.in/" TargetMode="External"/><Relationship Id="rId516" Type="http://schemas.openxmlformats.org/officeDocument/2006/relationships/hyperlink" Target="https://gem.gov.in/" TargetMode="External"/><Relationship Id="rId723" Type="http://schemas.openxmlformats.org/officeDocument/2006/relationships/hyperlink" Target="https://gem.gov.in/" TargetMode="External"/><Relationship Id="rId930" Type="http://schemas.openxmlformats.org/officeDocument/2006/relationships/hyperlink" Target="https://mptenders.gov.in/" TargetMode="External"/><Relationship Id="rId155" Type="http://schemas.openxmlformats.org/officeDocument/2006/relationships/hyperlink" Target="https://bnpdewas.spmcil.com/Interface/Home.aspx" TargetMode="External"/><Relationship Id="rId362" Type="http://schemas.openxmlformats.org/officeDocument/2006/relationships/hyperlink" Target="https://mptenders.gov.in/" TargetMode="External"/><Relationship Id="rId222" Type="http://schemas.openxmlformats.org/officeDocument/2006/relationships/hyperlink" Target="https://jharkhandtenders.gov.in/" TargetMode="External"/><Relationship Id="rId667" Type="http://schemas.openxmlformats.org/officeDocument/2006/relationships/hyperlink" Target="https://tntenders.gov.in/" TargetMode="External"/><Relationship Id="rId874" Type="http://schemas.openxmlformats.org/officeDocument/2006/relationships/hyperlink" Target="https://mptenders.gov.in/" TargetMode="External"/><Relationship Id="rId17" Type="http://schemas.openxmlformats.org/officeDocument/2006/relationships/hyperlink" Target="https://www.mptenders.gov.in/" TargetMode="External"/><Relationship Id="rId527" Type="http://schemas.openxmlformats.org/officeDocument/2006/relationships/hyperlink" Target="https://iocletenders.nic.in/" TargetMode="External"/><Relationship Id="rId734" Type="http://schemas.openxmlformats.org/officeDocument/2006/relationships/hyperlink" Target="https://gem.gov.in/" TargetMode="External"/><Relationship Id="rId941" Type="http://schemas.openxmlformats.org/officeDocument/2006/relationships/hyperlink" Target="https://gem.gov.in/" TargetMode="External"/><Relationship Id="rId70" Type="http://schemas.openxmlformats.org/officeDocument/2006/relationships/hyperlink" Target="https://mptenders.gov.in/" TargetMode="External"/><Relationship Id="rId166" Type="http://schemas.openxmlformats.org/officeDocument/2006/relationships/hyperlink" Target="https://mptenders.gov.in/nicgep/app" TargetMode="External"/><Relationship Id="rId373" Type="http://schemas.openxmlformats.org/officeDocument/2006/relationships/hyperlink" Target="https://mptenders.gov.in/" TargetMode="External"/><Relationship Id="rId580" Type="http://schemas.openxmlformats.org/officeDocument/2006/relationships/hyperlink" Target="https://etender.up.nic.in/" TargetMode="External"/><Relationship Id="rId801" Type="http://schemas.openxmlformats.org/officeDocument/2006/relationships/hyperlink" Target="https://eprocure.gov.in/epublish/app" TargetMode="External"/><Relationship Id="rId1" Type="http://schemas.openxmlformats.org/officeDocument/2006/relationships/hyperlink" Target="https://tendersodisha.gov.in/nicgep/app" TargetMode="External"/><Relationship Id="rId233" Type="http://schemas.openxmlformats.org/officeDocument/2006/relationships/hyperlink" Target="https://gem.gov.in/" TargetMode="External"/><Relationship Id="rId440" Type="http://schemas.openxmlformats.org/officeDocument/2006/relationships/hyperlink" Target="https://mptenders.gov.in/" TargetMode="External"/><Relationship Id="rId678" Type="http://schemas.openxmlformats.org/officeDocument/2006/relationships/hyperlink" Target="https://gem.gov.in/" TargetMode="External"/><Relationship Id="rId885" Type="http://schemas.openxmlformats.org/officeDocument/2006/relationships/hyperlink" Target="https://gem.gov.in/" TargetMode="External"/><Relationship Id="rId28" Type="http://schemas.openxmlformats.org/officeDocument/2006/relationships/hyperlink" Target="http://eproc.cgstate.gov.in/" TargetMode="External"/><Relationship Id="rId300" Type="http://schemas.openxmlformats.org/officeDocument/2006/relationships/hyperlink" Target="https://gem.gov.in/" TargetMode="External"/><Relationship Id="rId538" Type="http://schemas.openxmlformats.org/officeDocument/2006/relationships/hyperlink" Target="https://etender.up.nic.in/" TargetMode="External"/><Relationship Id="rId745" Type="http://schemas.openxmlformats.org/officeDocument/2006/relationships/hyperlink" Target="https://gem.gov.in/" TargetMode="External"/><Relationship Id="rId952" Type="http://schemas.openxmlformats.org/officeDocument/2006/relationships/hyperlink" Target="https://eproc2.bihar.gov.in/" TargetMode="External"/><Relationship Id="rId81" Type="http://schemas.openxmlformats.org/officeDocument/2006/relationships/hyperlink" Target="http://www.mahatenders.gov.in/" TargetMode="External"/><Relationship Id="rId177" Type="http://schemas.openxmlformats.org/officeDocument/2006/relationships/hyperlink" Target="https://gem.gov.in/" TargetMode="External"/><Relationship Id="rId384" Type="http://schemas.openxmlformats.org/officeDocument/2006/relationships/hyperlink" Target="https://mptenders.gov.in/" TargetMode="External"/><Relationship Id="rId591" Type="http://schemas.openxmlformats.org/officeDocument/2006/relationships/hyperlink" Target="https://www.ireps.gov.in/epsn/anonymSearch.do" TargetMode="External"/><Relationship Id="rId605" Type="http://schemas.openxmlformats.org/officeDocument/2006/relationships/hyperlink" Target="https://mptenders.gov.in/" TargetMode="External"/><Relationship Id="rId812" Type="http://schemas.openxmlformats.org/officeDocument/2006/relationships/hyperlink" Target="https://eproc2.bihar.gov.in/" TargetMode="External"/><Relationship Id="rId244" Type="http://schemas.openxmlformats.org/officeDocument/2006/relationships/hyperlink" Target="https://gem.gov.in/" TargetMode="External"/><Relationship Id="rId689" Type="http://schemas.openxmlformats.org/officeDocument/2006/relationships/hyperlink" Target="https://mptenders.gov.in/" TargetMode="External"/><Relationship Id="rId896" Type="http://schemas.openxmlformats.org/officeDocument/2006/relationships/hyperlink" Target="https://gem.gov.in/" TargetMode="External"/><Relationship Id="rId39" Type="http://schemas.openxmlformats.org/officeDocument/2006/relationships/hyperlink" Target="https://mahatenders.gov.in/nicgep/app" TargetMode="External"/><Relationship Id="rId451" Type="http://schemas.openxmlformats.org/officeDocument/2006/relationships/hyperlink" Target="https://gem.gov.in/" TargetMode="External"/><Relationship Id="rId549" Type="http://schemas.openxmlformats.org/officeDocument/2006/relationships/hyperlink" Target="https://eproc.punjab.gov.in/" TargetMode="External"/><Relationship Id="rId756" Type="http://schemas.openxmlformats.org/officeDocument/2006/relationships/hyperlink" Target="http://www.ireps.gov.in/" TargetMode="External"/><Relationship Id="rId104" Type="http://schemas.openxmlformats.org/officeDocument/2006/relationships/hyperlink" Target="https://eproc.punjab.gov.in/" TargetMode="External"/><Relationship Id="rId188" Type="http://schemas.openxmlformats.org/officeDocument/2006/relationships/hyperlink" Target="https://etenders.gov.in/" TargetMode="External"/><Relationship Id="rId311" Type="http://schemas.openxmlformats.org/officeDocument/2006/relationships/hyperlink" Target="https://gem.gov.in/" TargetMode="External"/><Relationship Id="rId395" Type="http://schemas.openxmlformats.org/officeDocument/2006/relationships/hyperlink" Target="https://eproc.karnataka.gov.in/" TargetMode="External"/><Relationship Id="rId409" Type="http://schemas.openxmlformats.org/officeDocument/2006/relationships/hyperlink" Target="https://etender.up.nic.in/" TargetMode="External"/><Relationship Id="rId963" Type="http://schemas.openxmlformats.org/officeDocument/2006/relationships/hyperlink" Target="https://gem.gov.in/" TargetMode="External"/><Relationship Id="rId92" Type="http://schemas.openxmlformats.org/officeDocument/2006/relationships/hyperlink" Target="https://mahatenders.gov.in/nicgep/app" TargetMode="External"/><Relationship Id="rId616" Type="http://schemas.openxmlformats.org/officeDocument/2006/relationships/hyperlink" Target="https://gem.gov.in/" TargetMode="External"/><Relationship Id="rId823" Type="http://schemas.openxmlformats.org/officeDocument/2006/relationships/hyperlink" Target="https://eproc.rajasthan.gov.in/" TargetMode="External"/><Relationship Id="rId255" Type="http://schemas.openxmlformats.org/officeDocument/2006/relationships/hyperlink" Target="https://gem.gov.in/" TargetMode="External"/><Relationship Id="rId462" Type="http://schemas.openxmlformats.org/officeDocument/2006/relationships/hyperlink" Target="https://www.assamtenders.gov.in/" TargetMode="External"/><Relationship Id="rId115" Type="http://schemas.openxmlformats.org/officeDocument/2006/relationships/hyperlink" Target="https://iocletenders.nic.in/" TargetMode="External"/><Relationship Id="rId322" Type="http://schemas.openxmlformats.org/officeDocument/2006/relationships/hyperlink" Target="https://aiimsbhopal.edu.in/" TargetMode="External"/><Relationship Id="rId767" Type="http://schemas.openxmlformats.org/officeDocument/2006/relationships/hyperlink" Target="https://mptenders.gov.in/" TargetMode="External"/><Relationship Id="rId974" Type="http://schemas.openxmlformats.org/officeDocument/2006/relationships/hyperlink" Target="https://www.ireps.gov.in/" TargetMode="External"/><Relationship Id="rId199" Type="http://schemas.openxmlformats.org/officeDocument/2006/relationships/hyperlink" Target="https://gem.gov.in/" TargetMode="External"/><Relationship Id="rId627" Type="http://schemas.openxmlformats.org/officeDocument/2006/relationships/hyperlink" Target="https://gem.gov.in/" TargetMode="External"/><Relationship Id="rId834" Type="http://schemas.openxmlformats.org/officeDocument/2006/relationships/hyperlink" Target="https://mptenders.gov.in/" TargetMode="External"/><Relationship Id="rId19" Type="http://schemas.openxmlformats.org/officeDocument/2006/relationships/hyperlink" Target="https://eproc.rajasthan.gov.in/nicgep/app" TargetMode="External"/><Relationship Id="rId224" Type="http://schemas.openxmlformats.org/officeDocument/2006/relationships/hyperlink" Target="https://etenders.gov.in/eprocure/app" TargetMode="External"/><Relationship Id="rId266" Type="http://schemas.openxmlformats.org/officeDocument/2006/relationships/hyperlink" Target="https://eproc.karnataka.gov.in/" TargetMode="External"/><Relationship Id="rId431" Type="http://schemas.openxmlformats.org/officeDocument/2006/relationships/hyperlink" Target="https://etender.up.nic.in/" TargetMode="External"/><Relationship Id="rId473" Type="http://schemas.openxmlformats.org/officeDocument/2006/relationships/hyperlink" Target="https://www.tntenders.gov.in/" TargetMode="External"/><Relationship Id="rId529" Type="http://schemas.openxmlformats.org/officeDocument/2006/relationships/hyperlink" Target="https://tntenders.gov.in/nicgep/app" TargetMode="External"/><Relationship Id="rId680" Type="http://schemas.openxmlformats.org/officeDocument/2006/relationships/hyperlink" Target="https://gem.gov.in/" TargetMode="External"/><Relationship Id="rId736" Type="http://schemas.openxmlformats.org/officeDocument/2006/relationships/hyperlink" Target="https://eproc.punjab.gov.in/" TargetMode="External"/><Relationship Id="rId901" Type="http://schemas.openxmlformats.org/officeDocument/2006/relationships/hyperlink" Target="https://mptenders.gov.in/" TargetMode="External"/><Relationship Id="rId30" Type="http://schemas.openxmlformats.org/officeDocument/2006/relationships/hyperlink" Target="https://eproc.punjab.gov.in/nicgep/app" TargetMode="External"/><Relationship Id="rId126" Type="http://schemas.openxmlformats.org/officeDocument/2006/relationships/hyperlink" Target="https://iocletenders.nic.in/" TargetMode="External"/><Relationship Id="rId168" Type="http://schemas.openxmlformats.org/officeDocument/2006/relationships/hyperlink" Target="https://etenders.gov.in/" TargetMode="External"/><Relationship Id="rId333" Type="http://schemas.openxmlformats.org/officeDocument/2006/relationships/hyperlink" Target="https://www.ocac.in/tender/576" TargetMode="External"/><Relationship Id="rId540" Type="http://schemas.openxmlformats.org/officeDocument/2006/relationships/hyperlink" Target="https://wbtenders.gov.in/" TargetMode="External"/><Relationship Id="rId778" Type="http://schemas.openxmlformats.org/officeDocument/2006/relationships/hyperlink" Target="https://eproc2.bihar.gov.in/" TargetMode="External"/><Relationship Id="rId943" Type="http://schemas.openxmlformats.org/officeDocument/2006/relationships/hyperlink" Target="https://gem.gov.in/" TargetMode="External"/><Relationship Id="rId72" Type="http://schemas.openxmlformats.org/officeDocument/2006/relationships/hyperlink" Target="https://mptenders.gov.in/" TargetMode="External"/><Relationship Id="rId375" Type="http://schemas.openxmlformats.org/officeDocument/2006/relationships/hyperlink" Target="https://mptenders.gov.in/" TargetMode="External"/><Relationship Id="rId582" Type="http://schemas.openxmlformats.org/officeDocument/2006/relationships/hyperlink" Target="https://mahatenders.gov.in/" TargetMode="External"/><Relationship Id="rId638" Type="http://schemas.openxmlformats.org/officeDocument/2006/relationships/hyperlink" Target="https://etender.up.nic.in/" TargetMode="External"/><Relationship Id="rId803" Type="http://schemas.openxmlformats.org/officeDocument/2006/relationships/hyperlink" Target="https://gem.gov.in/" TargetMode="External"/><Relationship Id="rId845" Type="http://schemas.openxmlformats.org/officeDocument/2006/relationships/hyperlink" Target="https://mptenders.gov.in/" TargetMode="External"/><Relationship Id="rId3" Type="http://schemas.openxmlformats.org/officeDocument/2006/relationships/hyperlink" Target="https://bidplus.gem.gov.in/advance-search" TargetMode="External"/><Relationship Id="rId235" Type="http://schemas.openxmlformats.org/officeDocument/2006/relationships/hyperlink" Target="https://mptenders.gov.in/" TargetMode="External"/><Relationship Id="rId277" Type="http://schemas.openxmlformats.org/officeDocument/2006/relationships/hyperlink" Target="https://gem.gov.in/" TargetMode="External"/><Relationship Id="rId400" Type="http://schemas.openxmlformats.org/officeDocument/2006/relationships/hyperlink" Target="https://etender.up.nic.in/" TargetMode="External"/><Relationship Id="rId442" Type="http://schemas.openxmlformats.org/officeDocument/2006/relationships/hyperlink" Target="https://mptenders.gov.in/" TargetMode="External"/><Relationship Id="rId484" Type="http://schemas.openxmlformats.org/officeDocument/2006/relationships/hyperlink" Target="https://wbtenders.gov.in/" TargetMode="External"/><Relationship Id="rId705" Type="http://schemas.openxmlformats.org/officeDocument/2006/relationships/hyperlink" Target="http://eproc.cgstate.gov.in/" TargetMode="External"/><Relationship Id="rId887" Type="http://schemas.openxmlformats.org/officeDocument/2006/relationships/hyperlink" Target="https://gem.gov.in/" TargetMode="External"/><Relationship Id="rId137" Type="http://schemas.openxmlformats.org/officeDocument/2006/relationships/hyperlink" Target="https://iocletenders.nic.in/" TargetMode="External"/><Relationship Id="rId302" Type="http://schemas.openxmlformats.org/officeDocument/2006/relationships/hyperlink" Target="https://eproc.rajasthan.gov.in/" TargetMode="External"/><Relationship Id="rId344" Type="http://schemas.openxmlformats.org/officeDocument/2006/relationships/hyperlink" Target="https://gem.gov.in/" TargetMode="External"/><Relationship Id="rId691" Type="http://schemas.openxmlformats.org/officeDocument/2006/relationships/hyperlink" Target="https://tendersodisha.gov.in/" TargetMode="External"/><Relationship Id="rId747" Type="http://schemas.openxmlformats.org/officeDocument/2006/relationships/hyperlink" Target="https://tender.nprocure.com/" TargetMode="External"/><Relationship Id="rId789" Type="http://schemas.openxmlformats.org/officeDocument/2006/relationships/hyperlink" Target="https://gem.gov.in/" TargetMode="External"/><Relationship Id="rId912" Type="http://schemas.openxmlformats.org/officeDocument/2006/relationships/hyperlink" Target="https://mptenders.gov.in/" TargetMode="External"/><Relationship Id="rId954" Type="http://schemas.openxmlformats.org/officeDocument/2006/relationships/hyperlink" Target="https://gem.gov.in/" TargetMode="External"/><Relationship Id="rId41" Type="http://schemas.openxmlformats.org/officeDocument/2006/relationships/hyperlink" Target="https://hptenders.gov.in/nicgep/app" TargetMode="External"/><Relationship Id="rId83" Type="http://schemas.openxmlformats.org/officeDocument/2006/relationships/hyperlink" Target="https://mptenders.gov.in/nicgep/app" TargetMode="External"/><Relationship Id="rId179" Type="http://schemas.openxmlformats.org/officeDocument/2006/relationships/hyperlink" Target="https://gem.gov.in/" TargetMode="External"/><Relationship Id="rId386" Type="http://schemas.openxmlformats.org/officeDocument/2006/relationships/hyperlink" Target="https://mptenders.gov.in/" TargetMode="External"/><Relationship Id="rId551" Type="http://schemas.openxmlformats.org/officeDocument/2006/relationships/hyperlink" Target="https://gem.gov.in/" TargetMode="External"/><Relationship Id="rId593" Type="http://schemas.openxmlformats.org/officeDocument/2006/relationships/hyperlink" Target="https://mptenders.gov.in/" TargetMode="External"/><Relationship Id="rId607" Type="http://schemas.openxmlformats.org/officeDocument/2006/relationships/hyperlink" Target="https://mptenders.gov.in/" TargetMode="External"/><Relationship Id="rId649" Type="http://schemas.openxmlformats.org/officeDocument/2006/relationships/hyperlink" Target="https://jharkhandtenders.gov.in/" TargetMode="External"/><Relationship Id="rId814" Type="http://schemas.openxmlformats.org/officeDocument/2006/relationships/hyperlink" Target="https://gem.gov.in/" TargetMode="External"/><Relationship Id="rId856" Type="http://schemas.openxmlformats.org/officeDocument/2006/relationships/hyperlink" Target="https://eproc.cgstate.gov.in/" TargetMode="External"/><Relationship Id="rId190" Type="http://schemas.openxmlformats.org/officeDocument/2006/relationships/hyperlink" Target="https://ireps.gov.in/" TargetMode="External"/><Relationship Id="rId204" Type="http://schemas.openxmlformats.org/officeDocument/2006/relationships/hyperlink" Target="https://etender.up.nic.in/" TargetMode="External"/><Relationship Id="rId246" Type="http://schemas.openxmlformats.org/officeDocument/2006/relationships/hyperlink" Target="https://etender.up.nic.in/" TargetMode="External"/><Relationship Id="rId288" Type="http://schemas.openxmlformats.org/officeDocument/2006/relationships/hyperlink" Target="https://mptenders.gov.in/" TargetMode="External"/><Relationship Id="rId411" Type="http://schemas.openxmlformats.org/officeDocument/2006/relationships/hyperlink" Target="https://defproc.gov.in/" TargetMode="External"/><Relationship Id="rId453" Type="http://schemas.openxmlformats.org/officeDocument/2006/relationships/hyperlink" Target="https://ahmedabadcity.gov.in/DC/Tenders" TargetMode="External"/><Relationship Id="rId509" Type="http://schemas.openxmlformats.org/officeDocument/2006/relationships/hyperlink" Target="https://gem.gov.in/" TargetMode="External"/><Relationship Id="rId660" Type="http://schemas.openxmlformats.org/officeDocument/2006/relationships/hyperlink" Target="https://eprocure.gov.in/" TargetMode="External"/><Relationship Id="rId898" Type="http://schemas.openxmlformats.org/officeDocument/2006/relationships/hyperlink" Target="https://mptenders.gov.in/" TargetMode="External"/><Relationship Id="rId106" Type="http://schemas.openxmlformats.org/officeDocument/2006/relationships/hyperlink" Target="https://etenders.kerala.gov.in/" TargetMode="External"/><Relationship Id="rId313" Type="http://schemas.openxmlformats.org/officeDocument/2006/relationships/hyperlink" Target="https://govtprocurement.delhi.gov.in/" TargetMode="External"/><Relationship Id="rId495" Type="http://schemas.openxmlformats.org/officeDocument/2006/relationships/hyperlink" Target="https://etender.up.nic.in/" TargetMode="External"/><Relationship Id="rId716" Type="http://schemas.openxmlformats.org/officeDocument/2006/relationships/hyperlink" Target="https://mptenders.gov.in/" TargetMode="External"/><Relationship Id="rId758" Type="http://schemas.openxmlformats.org/officeDocument/2006/relationships/hyperlink" Target="https://mahatenders.gov.in/" TargetMode="External"/><Relationship Id="rId923" Type="http://schemas.openxmlformats.org/officeDocument/2006/relationships/hyperlink" Target="https://mptenders.gov.in/" TargetMode="External"/><Relationship Id="rId965" Type="http://schemas.openxmlformats.org/officeDocument/2006/relationships/hyperlink" Target="https://tntenders.gov.in/" TargetMode="External"/><Relationship Id="rId10" Type="http://schemas.openxmlformats.org/officeDocument/2006/relationships/hyperlink" Target="http://eproc.rajasthan.gov.in/" TargetMode="External"/><Relationship Id="rId52" Type="http://schemas.openxmlformats.org/officeDocument/2006/relationships/hyperlink" Target="https://mahatenders.gov.in/nicgep/app" TargetMode="External"/><Relationship Id="rId94" Type="http://schemas.openxmlformats.org/officeDocument/2006/relationships/hyperlink" Target="https://mptenders.gov.in/nicgep/app" TargetMode="External"/><Relationship Id="rId148" Type="http://schemas.openxmlformats.org/officeDocument/2006/relationships/hyperlink" Target="https://eprocure.gov.in/eprocure/app" TargetMode="External"/><Relationship Id="rId355" Type="http://schemas.openxmlformats.org/officeDocument/2006/relationships/hyperlink" Target="https://tenders.ongc.co.in/" TargetMode="External"/><Relationship Id="rId397" Type="http://schemas.openxmlformats.org/officeDocument/2006/relationships/hyperlink" Target="https://etender.up.nic.in/" TargetMode="External"/><Relationship Id="rId520" Type="http://schemas.openxmlformats.org/officeDocument/2006/relationships/hyperlink" Target="https://gem.gov.in/" TargetMode="External"/><Relationship Id="rId562" Type="http://schemas.openxmlformats.org/officeDocument/2006/relationships/hyperlink" Target="https://mptenders.gov.in/" TargetMode="External"/><Relationship Id="rId618" Type="http://schemas.openxmlformats.org/officeDocument/2006/relationships/hyperlink" Target="https://mptenders.gov.in/" TargetMode="External"/><Relationship Id="rId825" Type="http://schemas.openxmlformats.org/officeDocument/2006/relationships/hyperlink" Target="https://mptenders.gov.in/" TargetMode="External"/><Relationship Id="rId215" Type="http://schemas.openxmlformats.org/officeDocument/2006/relationships/hyperlink" Target="https://mptenders.gov.in/" TargetMode="External"/><Relationship Id="rId257" Type="http://schemas.openxmlformats.org/officeDocument/2006/relationships/hyperlink" Target="https://eprocure.gov.in/" TargetMode="External"/><Relationship Id="rId422" Type="http://schemas.openxmlformats.org/officeDocument/2006/relationships/hyperlink" Target="https://gem.gov.in/" TargetMode="External"/><Relationship Id="rId464" Type="http://schemas.openxmlformats.org/officeDocument/2006/relationships/hyperlink" Target="https://etender.up.nic.in/" TargetMode="External"/><Relationship Id="rId867" Type="http://schemas.openxmlformats.org/officeDocument/2006/relationships/hyperlink" Target="http://www.ireps.gov.in/" TargetMode="External"/><Relationship Id="rId299" Type="http://schemas.openxmlformats.org/officeDocument/2006/relationships/hyperlink" Target="https://mptenders.gov.in/" TargetMode="External"/><Relationship Id="rId727" Type="http://schemas.openxmlformats.org/officeDocument/2006/relationships/hyperlink" Target="https://etender.up.nic.in/" TargetMode="External"/><Relationship Id="rId934" Type="http://schemas.openxmlformats.org/officeDocument/2006/relationships/hyperlink" Target="https://eproc.cgstate.gov.in/" TargetMode="External"/><Relationship Id="rId63" Type="http://schemas.openxmlformats.org/officeDocument/2006/relationships/hyperlink" Target="https://etenders.gov.in/" TargetMode="External"/><Relationship Id="rId159" Type="http://schemas.openxmlformats.org/officeDocument/2006/relationships/hyperlink" Target="https://iocletenders.nic.in/" TargetMode="External"/><Relationship Id="rId366" Type="http://schemas.openxmlformats.org/officeDocument/2006/relationships/hyperlink" Target="https://mptenders.gov.in/" TargetMode="External"/><Relationship Id="rId573" Type="http://schemas.openxmlformats.org/officeDocument/2006/relationships/hyperlink" Target="https://etenders.hry.nic.in/" TargetMode="External"/><Relationship Id="rId780" Type="http://schemas.openxmlformats.org/officeDocument/2006/relationships/hyperlink" Target="https://gem.gov.in/" TargetMode="External"/><Relationship Id="rId226" Type="http://schemas.openxmlformats.org/officeDocument/2006/relationships/hyperlink" Target="https://mptenders.gov.in/" TargetMode="External"/><Relationship Id="rId433" Type="http://schemas.openxmlformats.org/officeDocument/2006/relationships/hyperlink" Target="https://mptenders.gov.in/" TargetMode="External"/><Relationship Id="rId878" Type="http://schemas.openxmlformats.org/officeDocument/2006/relationships/hyperlink" Target="https://eproc.cgstate.gov.in/" TargetMode="External"/><Relationship Id="rId640" Type="http://schemas.openxmlformats.org/officeDocument/2006/relationships/hyperlink" Target="https://gem.gov.in/" TargetMode="External"/><Relationship Id="rId738" Type="http://schemas.openxmlformats.org/officeDocument/2006/relationships/hyperlink" Target="https://gem.gov.in/" TargetMode="External"/><Relationship Id="rId945" Type="http://schemas.openxmlformats.org/officeDocument/2006/relationships/hyperlink" Target="https://www.ireps.gov.in/" TargetMode="External"/><Relationship Id="rId74" Type="http://schemas.openxmlformats.org/officeDocument/2006/relationships/hyperlink" Target="http://etenders.gov.in/eprocure/app" TargetMode="External"/><Relationship Id="rId377" Type="http://schemas.openxmlformats.org/officeDocument/2006/relationships/hyperlink" Target="https://gem.gov.in/" TargetMode="External"/><Relationship Id="rId500" Type="http://schemas.openxmlformats.org/officeDocument/2006/relationships/hyperlink" Target="https://eproc.rajasthan.gov.in/" TargetMode="External"/><Relationship Id="rId584" Type="http://schemas.openxmlformats.org/officeDocument/2006/relationships/hyperlink" Target="https://mahatenders.gov.in/" TargetMode="External"/><Relationship Id="rId805" Type="http://schemas.openxmlformats.org/officeDocument/2006/relationships/hyperlink" Target="https://gem.gov.in/" TargetMode="External"/><Relationship Id="rId5" Type="http://schemas.openxmlformats.org/officeDocument/2006/relationships/hyperlink" Target="https://mptenders.gov.in/nicgep/app" TargetMode="External"/><Relationship Id="rId237" Type="http://schemas.openxmlformats.org/officeDocument/2006/relationships/hyperlink" Target="https://iocletenders.nic.in/" TargetMode="External"/><Relationship Id="rId791" Type="http://schemas.openxmlformats.org/officeDocument/2006/relationships/hyperlink" Target="https://gem.gov.in/" TargetMode="External"/><Relationship Id="rId889" Type="http://schemas.openxmlformats.org/officeDocument/2006/relationships/hyperlink" Target="https://gem.gov.in/" TargetMode="External"/><Relationship Id="rId444" Type="http://schemas.openxmlformats.org/officeDocument/2006/relationships/hyperlink" Target="https://mptenders.gov.in/" TargetMode="External"/><Relationship Id="rId651" Type="http://schemas.openxmlformats.org/officeDocument/2006/relationships/hyperlink" Target="https://etender.up.nic.in/" TargetMode="External"/><Relationship Id="rId749" Type="http://schemas.openxmlformats.org/officeDocument/2006/relationships/hyperlink" Target="https://mptenders.gov.in/" TargetMode="External"/><Relationship Id="rId290" Type="http://schemas.openxmlformats.org/officeDocument/2006/relationships/hyperlink" Target="https://eprocure.gov.in/" TargetMode="External"/><Relationship Id="rId304" Type="http://schemas.openxmlformats.org/officeDocument/2006/relationships/hyperlink" Target="https://etenders.gov.in/" TargetMode="External"/><Relationship Id="rId388" Type="http://schemas.openxmlformats.org/officeDocument/2006/relationships/hyperlink" Target="https://etender.up.nic.in/" TargetMode="External"/><Relationship Id="rId511" Type="http://schemas.openxmlformats.org/officeDocument/2006/relationships/hyperlink" Target="https://gem.gov.in/" TargetMode="External"/><Relationship Id="rId609" Type="http://schemas.openxmlformats.org/officeDocument/2006/relationships/hyperlink" Target="https://gem.gov.in/" TargetMode="External"/><Relationship Id="rId956" Type="http://schemas.openxmlformats.org/officeDocument/2006/relationships/hyperlink" Target="https://gem.gov.in/" TargetMode="External"/><Relationship Id="rId85" Type="http://schemas.openxmlformats.org/officeDocument/2006/relationships/hyperlink" Target="https://uktenders.gov.in/nicgep/app" TargetMode="External"/><Relationship Id="rId150" Type="http://schemas.openxmlformats.org/officeDocument/2006/relationships/hyperlink" Target="https://etenders.hry.nic.in/nicgep/app" TargetMode="External"/><Relationship Id="rId595" Type="http://schemas.openxmlformats.org/officeDocument/2006/relationships/hyperlink" Target="https://etender.up.nic.in/" TargetMode="External"/><Relationship Id="rId816" Type="http://schemas.openxmlformats.org/officeDocument/2006/relationships/hyperlink" Target="https://gem.gov.in/" TargetMode="External"/><Relationship Id="rId248" Type="http://schemas.openxmlformats.org/officeDocument/2006/relationships/hyperlink" Target="https://gem.gov.in/" TargetMode="External"/><Relationship Id="rId455" Type="http://schemas.openxmlformats.org/officeDocument/2006/relationships/hyperlink" Target="https://eproc.rajasthan.gov.in/" TargetMode="External"/><Relationship Id="rId662" Type="http://schemas.openxmlformats.org/officeDocument/2006/relationships/hyperlink" Target="https://kppp.karnataka.gov.in/" TargetMode="External"/><Relationship Id="rId12" Type="http://schemas.openxmlformats.org/officeDocument/2006/relationships/hyperlink" Target="https://mptenders.gov.in/nicgep/app" TargetMode="External"/><Relationship Id="rId108" Type="http://schemas.openxmlformats.org/officeDocument/2006/relationships/hyperlink" Target="https://hptenders.gov.in/" TargetMode="External"/><Relationship Id="rId315" Type="http://schemas.openxmlformats.org/officeDocument/2006/relationships/hyperlink" Target="https://mptenders.gov.in/" TargetMode="External"/><Relationship Id="rId522" Type="http://schemas.openxmlformats.org/officeDocument/2006/relationships/hyperlink" Target="https://mptenders.gov.in/" TargetMode="External"/><Relationship Id="rId967" Type="http://schemas.openxmlformats.org/officeDocument/2006/relationships/hyperlink" Target="https://mptenders.gov.in/" TargetMode="External"/><Relationship Id="rId96" Type="http://schemas.openxmlformats.org/officeDocument/2006/relationships/hyperlink" Target="https://etenders.hry.nic.in/" TargetMode="External"/><Relationship Id="rId161" Type="http://schemas.openxmlformats.org/officeDocument/2006/relationships/hyperlink" Target="https://gem.gov.in/" TargetMode="External"/><Relationship Id="rId399" Type="http://schemas.openxmlformats.org/officeDocument/2006/relationships/hyperlink" Target="https://etender.up.nic.in/" TargetMode="External"/><Relationship Id="rId827" Type="http://schemas.openxmlformats.org/officeDocument/2006/relationships/hyperlink" Target="https://eproc.punjab.gov.in/" TargetMode="External"/><Relationship Id="rId259" Type="http://schemas.openxmlformats.org/officeDocument/2006/relationships/hyperlink" Target="https://jharkhandtenders.gov.in/" TargetMode="External"/><Relationship Id="rId466" Type="http://schemas.openxmlformats.org/officeDocument/2006/relationships/hyperlink" Target="https://gem.gov.in/" TargetMode="External"/><Relationship Id="rId673" Type="http://schemas.openxmlformats.org/officeDocument/2006/relationships/hyperlink" Target="https://gem.gov.in/" TargetMode="External"/><Relationship Id="rId880" Type="http://schemas.openxmlformats.org/officeDocument/2006/relationships/hyperlink" Target="https://meghalayatenders.gov.in/" TargetMode="External"/><Relationship Id="rId23" Type="http://schemas.openxmlformats.org/officeDocument/2006/relationships/hyperlink" Target="http://etenders.hry.nic.in/" TargetMode="External"/><Relationship Id="rId119" Type="http://schemas.openxmlformats.org/officeDocument/2006/relationships/hyperlink" Target="https://mptenders.gov.in/" TargetMode="External"/><Relationship Id="rId326" Type="http://schemas.openxmlformats.org/officeDocument/2006/relationships/hyperlink" Target="https://gem.gov.in/" TargetMode="External"/><Relationship Id="rId533" Type="http://schemas.openxmlformats.org/officeDocument/2006/relationships/hyperlink" Target="https://tendersodisha.gov.in/" TargetMode="External"/><Relationship Id="rId978" Type="http://schemas.openxmlformats.org/officeDocument/2006/relationships/hyperlink" Target="https://www.ireps.gov.in/" TargetMode="External"/><Relationship Id="rId740" Type="http://schemas.openxmlformats.org/officeDocument/2006/relationships/hyperlink" Target="https://mptenders.gov.in/" TargetMode="External"/><Relationship Id="rId838" Type="http://schemas.openxmlformats.org/officeDocument/2006/relationships/hyperlink" Target="http://www.ireps.gov.in/" TargetMode="External"/><Relationship Id="rId172" Type="http://schemas.openxmlformats.org/officeDocument/2006/relationships/hyperlink" Target="https://etenders.gov.in/eprocure/app" TargetMode="External"/><Relationship Id="rId477" Type="http://schemas.openxmlformats.org/officeDocument/2006/relationships/hyperlink" Target="https://eproc.rajasthan.gov.in/" TargetMode="External"/><Relationship Id="rId600" Type="http://schemas.openxmlformats.org/officeDocument/2006/relationships/hyperlink" Target="https://eproc.rajasthan.gov.in/" TargetMode="External"/><Relationship Id="rId684" Type="http://schemas.openxmlformats.org/officeDocument/2006/relationships/hyperlink" Target="https://gem.gov.in/" TargetMode="External"/><Relationship Id="rId337" Type="http://schemas.openxmlformats.org/officeDocument/2006/relationships/hyperlink" Target="https://gem.gov.in/" TargetMode="External"/><Relationship Id="rId891" Type="http://schemas.openxmlformats.org/officeDocument/2006/relationships/hyperlink" Target="https://mptenders.gov.in/" TargetMode="External"/><Relationship Id="rId905" Type="http://schemas.openxmlformats.org/officeDocument/2006/relationships/hyperlink" Target="https://etender.up.nic.in/" TargetMode="External"/><Relationship Id="rId34" Type="http://schemas.openxmlformats.org/officeDocument/2006/relationships/hyperlink" Target="https://jharkhandtenders.gov.in/" TargetMode="External"/><Relationship Id="rId544" Type="http://schemas.openxmlformats.org/officeDocument/2006/relationships/hyperlink" Target="https://gem.gov.in/" TargetMode="External"/><Relationship Id="rId751" Type="http://schemas.openxmlformats.org/officeDocument/2006/relationships/hyperlink" Target="https://etender.up.nic.in/" TargetMode="External"/><Relationship Id="rId849" Type="http://schemas.openxmlformats.org/officeDocument/2006/relationships/hyperlink" Target="https://gem.gov.in/" TargetMode="External"/><Relationship Id="rId183" Type="http://schemas.openxmlformats.org/officeDocument/2006/relationships/hyperlink" Target="https://mptenders.gov.in/" TargetMode="External"/><Relationship Id="rId390" Type="http://schemas.openxmlformats.org/officeDocument/2006/relationships/hyperlink" Target="https://mptenders.gov.in/" TargetMode="External"/><Relationship Id="rId404" Type="http://schemas.openxmlformats.org/officeDocument/2006/relationships/hyperlink" Target="https://gem.gov.in/" TargetMode="External"/><Relationship Id="rId611" Type="http://schemas.openxmlformats.org/officeDocument/2006/relationships/hyperlink" Target="https://gem.gov.in/" TargetMode="External"/><Relationship Id="rId250" Type="http://schemas.openxmlformats.org/officeDocument/2006/relationships/hyperlink" Target="https://mptenders.gov.in/" TargetMode="External"/><Relationship Id="rId488" Type="http://schemas.openxmlformats.org/officeDocument/2006/relationships/hyperlink" Target="https://etenders.hry.nic.in/" TargetMode="External"/><Relationship Id="rId695" Type="http://schemas.openxmlformats.org/officeDocument/2006/relationships/hyperlink" Target="https://gem.gov.in/" TargetMode="External"/><Relationship Id="rId709" Type="http://schemas.openxmlformats.org/officeDocument/2006/relationships/hyperlink" Target="https://etenders.kerala.gov.in/" TargetMode="External"/><Relationship Id="rId916" Type="http://schemas.openxmlformats.org/officeDocument/2006/relationships/hyperlink" Target="https://gem.gov.in/" TargetMode="External"/><Relationship Id="rId45" Type="http://schemas.openxmlformats.org/officeDocument/2006/relationships/hyperlink" Target="https://eproc.cgstate.gov.in/" TargetMode="External"/><Relationship Id="rId110" Type="http://schemas.openxmlformats.org/officeDocument/2006/relationships/hyperlink" Target="https://gem.gov.in/" TargetMode="External"/><Relationship Id="rId348" Type="http://schemas.openxmlformats.org/officeDocument/2006/relationships/hyperlink" Target="https://gem.gov.in/" TargetMode="External"/><Relationship Id="rId555" Type="http://schemas.openxmlformats.org/officeDocument/2006/relationships/hyperlink" Target="https://mptenders.gov.in/" TargetMode="External"/><Relationship Id="rId762" Type="http://schemas.openxmlformats.org/officeDocument/2006/relationships/hyperlink" Target="https://eproc2.bihar.gov.in/" TargetMode="External"/><Relationship Id="rId194" Type="http://schemas.openxmlformats.org/officeDocument/2006/relationships/hyperlink" Target="https://assamtenders.gov.in/" TargetMode="External"/><Relationship Id="rId208" Type="http://schemas.openxmlformats.org/officeDocument/2006/relationships/hyperlink" Target="https://tender.apeprocurement.gov.in/" TargetMode="External"/><Relationship Id="rId415" Type="http://schemas.openxmlformats.org/officeDocument/2006/relationships/hyperlink" Target="https://etender.up.nic.in/" TargetMode="External"/><Relationship Id="rId622" Type="http://schemas.openxmlformats.org/officeDocument/2006/relationships/hyperlink" Target="https://gem.gov.in/" TargetMode="External"/><Relationship Id="rId261" Type="http://schemas.openxmlformats.org/officeDocument/2006/relationships/hyperlink" Target="https://tenders.ladakh.gov.in/" TargetMode="External"/><Relationship Id="rId499" Type="http://schemas.openxmlformats.org/officeDocument/2006/relationships/hyperlink" Target="https://eproc.rajasthan.gov.in/" TargetMode="External"/><Relationship Id="rId927" Type="http://schemas.openxmlformats.org/officeDocument/2006/relationships/hyperlink" Target="https://wbtenders.gov.in/" TargetMode="External"/><Relationship Id="rId56" Type="http://schemas.openxmlformats.org/officeDocument/2006/relationships/hyperlink" Target="https://gem.gov.in/" TargetMode="External"/><Relationship Id="rId359" Type="http://schemas.openxmlformats.org/officeDocument/2006/relationships/hyperlink" Target="https://railtel.enivida.com/" TargetMode="External"/><Relationship Id="rId566" Type="http://schemas.openxmlformats.org/officeDocument/2006/relationships/hyperlink" Target="https://etenders.gov.in/" TargetMode="External"/><Relationship Id="rId773" Type="http://schemas.openxmlformats.org/officeDocument/2006/relationships/hyperlink" Target="https://gem.gov.in/" TargetMode="External"/><Relationship Id="rId121" Type="http://schemas.openxmlformats.org/officeDocument/2006/relationships/hyperlink" Target="https://govtprocurement.delhi.gov.in/" TargetMode="External"/><Relationship Id="rId219" Type="http://schemas.openxmlformats.org/officeDocument/2006/relationships/hyperlink" Target="https://gem.gov.in/" TargetMode="External"/><Relationship Id="rId426" Type="http://schemas.openxmlformats.org/officeDocument/2006/relationships/hyperlink" Target="https://gem.gov.in/" TargetMode="External"/><Relationship Id="rId633" Type="http://schemas.openxmlformats.org/officeDocument/2006/relationships/hyperlink" Target="https://mptenders.gov.in/" TargetMode="External"/><Relationship Id="rId980" Type="http://schemas.openxmlformats.org/officeDocument/2006/relationships/hyperlink" Target="https://gem.gov.in/" TargetMode="External"/><Relationship Id="rId840" Type="http://schemas.openxmlformats.org/officeDocument/2006/relationships/hyperlink" Target="https://gem.gov.in/" TargetMode="External"/><Relationship Id="rId938" Type="http://schemas.openxmlformats.org/officeDocument/2006/relationships/hyperlink" Target="https://gem.gov.in/" TargetMode="External"/><Relationship Id="rId67" Type="http://schemas.openxmlformats.org/officeDocument/2006/relationships/hyperlink" Target="https://eprocure.gov.in/eprocure/app" TargetMode="External"/><Relationship Id="rId272" Type="http://schemas.openxmlformats.org/officeDocument/2006/relationships/hyperlink" Target="https://jharkhandtenders.gov.in/" TargetMode="External"/><Relationship Id="rId577" Type="http://schemas.openxmlformats.org/officeDocument/2006/relationships/hyperlink" Target="https://etenders.gov.in/" TargetMode="External"/><Relationship Id="rId700" Type="http://schemas.openxmlformats.org/officeDocument/2006/relationships/hyperlink" Target="https://gem.gov.in/" TargetMode="External"/><Relationship Id="rId132" Type="http://schemas.openxmlformats.org/officeDocument/2006/relationships/hyperlink" Target="https://mptenders.gov.in/nicgep/app" TargetMode="External"/><Relationship Id="rId784" Type="http://schemas.openxmlformats.org/officeDocument/2006/relationships/hyperlink" Target="https://gem.gov.in/" TargetMode="External"/><Relationship Id="rId437" Type="http://schemas.openxmlformats.org/officeDocument/2006/relationships/hyperlink" Target="https://mptenders.gov.in/" TargetMode="External"/><Relationship Id="rId644" Type="http://schemas.openxmlformats.org/officeDocument/2006/relationships/hyperlink" Target="https://gem.gov.in/" TargetMode="External"/><Relationship Id="rId851" Type="http://schemas.openxmlformats.org/officeDocument/2006/relationships/hyperlink" Target="https://gem.gov.in/" TargetMode="External"/><Relationship Id="rId283" Type="http://schemas.openxmlformats.org/officeDocument/2006/relationships/hyperlink" Target="https://mptenders.gov.in/" TargetMode="External"/><Relationship Id="rId490" Type="http://schemas.openxmlformats.org/officeDocument/2006/relationships/hyperlink" Target="https://gem.gov.in/" TargetMode="External"/><Relationship Id="rId504" Type="http://schemas.openxmlformats.org/officeDocument/2006/relationships/hyperlink" Target="https://www.ocac.in/" TargetMode="External"/><Relationship Id="rId711" Type="http://schemas.openxmlformats.org/officeDocument/2006/relationships/hyperlink" Target="https://www.ireps.gov.in/" TargetMode="External"/><Relationship Id="rId949" Type="http://schemas.openxmlformats.org/officeDocument/2006/relationships/hyperlink" Target="https://www.ireps.gov.in/" TargetMode="External"/><Relationship Id="rId78" Type="http://schemas.openxmlformats.org/officeDocument/2006/relationships/hyperlink" Target="https://mahatenders.gov.in/nicgep/app" TargetMode="External"/><Relationship Id="rId143" Type="http://schemas.openxmlformats.org/officeDocument/2006/relationships/hyperlink" Target="https://mptenders.gov.in/nicgep/app" TargetMode="External"/><Relationship Id="rId350" Type="http://schemas.openxmlformats.org/officeDocument/2006/relationships/hyperlink" Target="https://gem.gov.in/" TargetMode="External"/><Relationship Id="rId588" Type="http://schemas.openxmlformats.org/officeDocument/2006/relationships/hyperlink" Target="https://tendersutl.gov.in/" TargetMode="External"/><Relationship Id="rId795" Type="http://schemas.openxmlformats.org/officeDocument/2006/relationships/hyperlink" Target="https://mptenders.gov.in/" TargetMode="External"/><Relationship Id="rId809" Type="http://schemas.openxmlformats.org/officeDocument/2006/relationships/hyperlink" Target="https://gem.gov.in/" TargetMode="External"/><Relationship Id="rId9" Type="http://schemas.openxmlformats.org/officeDocument/2006/relationships/hyperlink" Target="https://assamtenders.gov.in/nicgep/app" TargetMode="External"/><Relationship Id="rId210" Type="http://schemas.openxmlformats.org/officeDocument/2006/relationships/hyperlink" Target="https://etender.up.nic.in/" TargetMode="External"/><Relationship Id="rId448" Type="http://schemas.openxmlformats.org/officeDocument/2006/relationships/hyperlink" Target="https://eprocure.gov.in/eprocure/" TargetMode="External"/><Relationship Id="rId655" Type="http://schemas.openxmlformats.org/officeDocument/2006/relationships/hyperlink" Target="https://gem.gov.in/" TargetMode="External"/><Relationship Id="rId862" Type="http://schemas.openxmlformats.org/officeDocument/2006/relationships/hyperlink" Target="https://mptenders.gov.in/" TargetMode="External"/><Relationship Id="rId294" Type="http://schemas.openxmlformats.org/officeDocument/2006/relationships/hyperlink" Target="https://mptenders.gov.in/" TargetMode="External"/><Relationship Id="rId308" Type="http://schemas.openxmlformats.org/officeDocument/2006/relationships/hyperlink" Target="https://govtprocurement.delhi.gov.in/" TargetMode="External"/><Relationship Id="rId515" Type="http://schemas.openxmlformats.org/officeDocument/2006/relationships/hyperlink" Target="https://etenders.kerala.gov.in/" TargetMode="External"/><Relationship Id="rId722" Type="http://schemas.openxmlformats.org/officeDocument/2006/relationships/hyperlink" Target="https://jktenders.gov.in/" TargetMode="External"/><Relationship Id="rId89" Type="http://schemas.openxmlformats.org/officeDocument/2006/relationships/hyperlink" Target="https://etenders.hry.nic.in/nicgep/app" TargetMode="External"/><Relationship Id="rId154" Type="http://schemas.openxmlformats.org/officeDocument/2006/relationships/hyperlink" Target="https://etenders.gov.in/eprocure/app" TargetMode="External"/><Relationship Id="rId361" Type="http://schemas.openxmlformats.org/officeDocument/2006/relationships/hyperlink" Target="https://mptenders.gov.in/" TargetMode="External"/><Relationship Id="rId599" Type="http://schemas.openxmlformats.org/officeDocument/2006/relationships/hyperlink" Target="https://mptenders.gov.in/" TargetMode="External"/><Relationship Id="rId459" Type="http://schemas.openxmlformats.org/officeDocument/2006/relationships/hyperlink" Target="https://eprocure.gov.in/" TargetMode="External"/><Relationship Id="rId666" Type="http://schemas.openxmlformats.org/officeDocument/2006/relationships/hyperlink" Target="https://tntenders.gov.in/" TargetMode="External"/><Relationship Id="rId873" Type="http://schemas.openxmlformats.org/officeDocument/2006/relationships/hyperlink" Target="https://gem.gov.in/" TargetMode="External"/><Relationship Id="rId16" Type="http://schemas.openxmlformats.org/officeDocument/2006/relationships/hyperlink" Target="https://hptenders.gov.in/nicgep/app" TargetMode="External"/><Relationship Id="rId221" Type="http://schemas.openxmlformats.org/officeDocument/2006/relationships/hyperlink" Target="https://eproc.punjab.gov.in/" TargetMode="External"/><Relationship Id="rId319" Type="http://schemas.openxmlformats.org/officeDocument/2006/relationships/hyperlink" Target="https://eproc.rajasthan.gov.in/" TargetMode="External"/><Relationship Id="rId526" Type="http://schemas.openxmlformats.org/officeDocument/2006/relationships/hyperlink" Target="https://gem.gov.in/" TargetMode="External"/><Relationship Id="rId733" Type="http://schemas.openxmlformats.org/officeDocument/2006/relationships/hyperlink" Target="https://gem.gov.in/" TargetMode="External"/><Relationship Id="rId940" Type="http://schemas.openxmlformats.org/officeDocument/2006/relationships/hyperlink" Target="https://tripuratenders.gov.in/" TargetMode="External"/><Relationship Id="rId165" Type="http://schemas.openxmlformats.org/officeDocument/2006/relationships/hyperlink" Target="https://mptenders.gov.in/" TargetMode="External"/><Relationship Id="rId372" Type="http://schemas.openxmlformats.org/officeDocument/2006/relationships/hyperlink" Target="https://mptenders.gov.in/" TargetMode="External"/><Relationship Id="rId677" Type="http://schemas.openxmlformats.org/officeDocument/2006/relationships/hyperlink" Target="https://gem.gov.in/" TargetMode="External"/><Relationship Id="rId800" Type="http://schemas.openxmlformats.org/officeDocument/2006/relationships/hyperlink" Target="https://mptenders.gov.in/" TargetMode="External"/><Relationship Id="rId232" Type="http://schemas.openxmlformats.org/officeDocument/2006/relationships/hyperlink" Target="https://gem.gov.in/" TargetMode="External"/><Relationship Id="rId884" Type="http://schemas.openxmlformats.org/officeDocument/2006/relationships/hyperlink" Target="https://mptenders.gov.in/" TargetMode="External"/><Relationship Id="rId27" Type="http://schemas.openxmlformats.org/officeDocument/2006/relationships/hyperlink" Target="https://mahatenders.gov.in/" TargetMode="External"/><Relationship Id="rId537" Type="http://schemas.openxmlformats.org/officeDocument/2006/relationships/hyperlink" Target="https://gem.gov.in/" TargetMode="External"/><Relationship Id="rId744" Type="http://schemas.openxmlformats.org/officeDocument/2006/relationships/hyperlink" Target="https://tender.nprocure.com/" TargetMode="External"/><Relationship Id="rId951" Type="http://schemas.openxmlformats.org/officeDocument/2006/relationships/hyperlink" Target="https://gem.gov.in/" TargetMode="External"/><Relationship Id="rId80" Type="http://schemas.openxmlformats.org/officeDocument/2006/relationships/hyperlink" Target="https://mptenders.gov.in/nicgep/app" TargetMode="External"/><Relationship Id="rId176" Type="http://schemas.openxmlformats.org/officeDocument/2006/relationships/hyperlink" Target="https://etender.up.nic.in/" TargetMode="External"/><Relationship Id="rId383" Type="http://schemas.openxmlformats.org/officeDocument/2006/relationships/hyperlink" Target="https://gem.gov.in/" TargetMode="External"/><Relationship Id="rId590" Type="http://schemas.openxmlformats.org/officeDocument/2006/relationships/hyperlink" Target="https://tender.nprocure.com/" TargetMode="External"/><Relationship Id="rId604" Type="http://schemas.openxmlformats.org/officeDocument/2006/relationships/hyperlink" Target="https://govtprocurement.delhi.gov.in/" TargetMode="External"/><Relationship Id="rId811" Type="http://schemas.openxmlformats.org/officeDocument/2006/relationships/hyperlink" Target="https://gem.gov.in/" TargetMode="External"/><Relationship Id="rId243" Type="http://schemas.openxmlformats.org/officeDocument/2006/relationships/hyperlink" Target="https://uktenders.gov.in/" TargetMode="External"/><Relationship Id="rId450" Type="http://schemas.openxmlformats.org/officeDocument/2006/relationships/hyperlink" Target="https://mptenders.gov.in/" TargetMode="External"/><Relationship Id="rId688" Type="http://schemas.openxmlformats.org/officeDocument/2006/relationships/hyperlink" Target="https://mptenders.gov.in/" TargetMode="External"/><Relationship Id="rId895" Type="http://schemas.openxmlformats.org/officeDocument/2006/relationships/hyperlink" Target="https://gem.gov.in/" TargetMode="External"/><Relationship Id="rId909" Type="http://schemas.openxmlformats.org/officeDocument/2006/relationships/hyperlink" Target="https://mptenders.gov.in/" TargetMode="External"/><Relationship Id="rId38" Type="http://schemas.openxmlformats.org/officeDocument/2006/relationships/hyperlink" Target="https://eprocure.gov.in/epublish/app" TargetMode="External"/><Relationship Id="rId103" Type="http://schemas.openxmlformats.org/officeDocument/2006/relationships/hyperlink" Target="http://tender.apeprocurement.gov.in/" TargetMode="External"/><Relationship Id="rId310" Type="http://schemas.openxmlformats.org/officeDocument/2006/relationships/hyperlink" Target="https://mptenders.gov.in/" TargetMode="External"/><Relationship Id="rId548" Type="http://schemas.openxmlformats.org/officeDocument/2006/relationships/hyperlink" Target="https://mptenders.gov.in/" TargetMode="External"/><Relationship Id="rId755" Type="http://schemas.openxmlformats.org/officeDocument/2006/relationships/hyperlink" Target="https://tenders.itiltd.in/" TargetMode="External"/><Relationship Id="rId962" Type="http://schemas.openxmlformats.org/officeDocument/2006/relationships/hyperlink" Target="https://mptenders.gov.in/" TargetMode="External"/><Relationship Id="rId91" Type="http://schemas.openxmlformats.org/officeDocument/2006/relationships/hyperlink" Target="https://gem.gov.in/" TargetMode="External"/><Relationship Id="rId187" Type="http://schemas.openxmlformats.org/officeDocument/2006/relationships/hyperlink" Target="https://mptenders.gov.in/" TargetMode="External"/><Relationship Id="rId394" Type="http://schemas.openxmlformats.org/officeDocument/2006/relationships/hyperlink" Target="https://gem.gov.in/" TargetMode="External"/><Relationship Id="rId408" Type="http://schemas.openxmlformats.org/officeDocument/2006/relationships/hyperlink" Target="https://gem.gov.in/" TargetMode="External"/><Relationship Id="rId615" Type="http://schemas.openxmlformats.org/officeDocument/2006/relationships/hyperlink" Target="https://gem.gov.in/" TargetMode="External"/><Relationship Id="rId822" Type="http://schemas.openxmlformats.org/officeDocument/2006/relationships/hyperlink" Target="https://eproc.cgstate.gov.in/" TargetMode="External"/><Relationship Id="rId254" Type="http://schemas.openxmlformats.org/officeDocument/2006/relationships/hyperlink" Target="https://gem.gov.in/" TargetMode="External"/><Relationship Id="rId699" Type="http://schemas.openxmlformats.org/officeDocument/2006/relationships/hyperlink" Target="https://mptenders.gov.in/" TargetMode="External"/><Relationship Id="rId49" Type="http://schemas.openxmlformats.org/officeDocument/2006/relationships/hyperlink" Target="https://etenders.hry.nic.in/" TargetMode="External"/><Relationship Id="rId114" Type="http://schemas.openxmlformats.org/officeDocument/2006/relationships/hyperlink" Target="https://gem.gov.in/" TargetMode="External"/><Relationship Id="rId461" Type="http://schemas.openxmlformats.org/officeDocument/2006/relationships/hyperlink" Target="https://gem.gov.in/" TargetMode="External"/><Relationship Id="rId559" Type="http://schemas.openxmlformats.org/officeDocument/2006/relationships/hyperlink" Target="https://gem.gov.in/" TargetMode="External"/><Relationship Id="rId766" Type="http://schemas.openxmlformats.org/officeDocument/2006/relationships/hyperlink" Target="https://eproc.rajasthan.gov.in/" TargetMode="External"/><Relationship Id="rId198" Type="http://schemas.openxmlformats.org/officeDocument/2006/relationships/hyperlink" Target="https://lnkd.in/dfAvGDqq" TargetMode="External"/><Relationship Id="rId321" Type="http://schemas.openxmlformats.org/officeDocument/2006/relationships/hyperlink" Target="https://govtprocurement.delhi.gov.in/" TargetMode="External"/><Relationship Id="rId419" Type="http://schemas.openxmlformats.org/officeDocument/2006/relationships/hyperlink" Target="https://eproc.punjab.gov.in/" TargetMode="External"/><Relationship Id="rId626" Type="http://schemas.openxmlformats.org/officeDocument/2006/relationships/hyperlink" Target="https://eproc.rajasthan.gov.in/" TargetMode="External"/><Relationship Id="rId973" Type="http://schemas.openxmlformats.org/officeDocument/2006/relationships/hyperlink" Target="https://www.ireps.gov.in/" TargetMode="External"/><Relationship Id="rId833" Type="http://schemas.openxmlformats.org/officeDocument/2006/relationships/hyperlink" Target="https://mptenders.gov.in/" TargetMode="External"/><Relationship Id="rId265" Type="http://schemas.openxmlformats.org/officeDocument/2006/relationships/hyperlink" Target="https://etender.up.nic.in/" TargetMode="External"/><Relationship Id="rId472" Type="http://schemas.openxmlformats.org/officeDocument/2006/relationships/hyperlink" Target="https://mpsdp.mp.gov.in/tender.php" TargetMode="External"/><Relationship Id="rId900" Type="http://schemas.openxmlformats.org/officeDocument/2006/relationships/hyperlink" Target="https://mptenders.gov.in/" TargetMode="External"/><Relationship Id="rId125" Type="http://schemas.openxmlformats.org/officeDocument/2006/relationships/hyperlink" Target="https://iocletenders.nic.in/" TargetMode="External"/><Relationship Id="rId332" Type="http://schemas.openxmlformats.org/officeDocument/2006/relationships/hyperlink" Target="https://www.ocac.in/tender/576" TargetMode="External"/><Relationship Id="rId777" Type="http://schemas.openxmlformats.org/officeDocument/2006/relationships/hyperlink" Target="https://gem.gov.in/" TargetMode="External"/><Relationship Id="rId984" Type="http://schemas.openxmlformats.org/officeDocument/2006/relationships/hyperlink" Target="https://www.ireps.gov.in/" TargetMode="External"/><Relationship Id="rId637" Type="http://schemas.openxmlformats.org/officeDocument/2006/relationships/hyperlink" Target="https://mahatenders.gov.in/" TargetMode="External"/><Relationship Id="rId844" Type="http://schemas.openxmlformats.org/officeDocument/2006/relationships/hyperlink" Target="https://gem.gov.in/" TargetMode="External"/><Relationship Id="rId276" Type="http://schemas.openxmlformats.org/officeDocument/2006/relationships/hyperlink" Target="https://eprocure.gov.in/" TargetMode="External"/><Relationship Id="rId483" Type="http://schemas.openxmlformats.org/officeDocument/2006/relationships/hyperlink" Target="https://jharkhandtenders.gov.in/" TargetMode="External"/><Relationship Id="rId690" Type="http://schemas.openxmlformats.org/officeDocument/2006/relationships/hyperlink" Target="https://gem.gov.in/" TargetMode="External"/><Relationship Id="rId704" Type="http://schemas.openxmlformats.org/officeDocument/2006/relationships/hyperlink" Target="https://eproc.rajasthan.gov.in/" TargetMode="External"/><Relationship Id="rId911" Type="http://schemas.openxmlformats.org/officeDocument/2006/relationships/hyperlink" Target="https://gem.gov.in/" TargetMode="External"/><Relationship Id="rId40" Type="http://schemas.openxmlformats.org/officeDocument/2006/relationships/hyperlink" Target="https://etender.up.nic.in/" TargetMode="External"/><Relationship Id="rId136" Type="http://schemas.openxmlformats.org/officeDocument/2006/relationships/hyperlink" Target="https://mptenders.gov.in/nicgep/app" TargetMode="External"/><Relationship Id="rId343" Type="http://schemas.openxmlformats.org/officeDocument/2006/relationships/hyperlink" Target="https://gem.gov.in/" TargetMode="External"/><Relationship Id="rId550" Type="http://schemas.openxmlformats.org/officeDocument/2006/relationships/hyperlink" Target="https://mptenders.gov.in/" TargetMode="External"/><Relationship Id="rId788" Type="http://schemas.openxmlformats.org/officeDocument/2006/relationships/hyperlink" Target="https://mptenders.gov.in/" TargetMode="External"/><Relationship Id="rId203" Type="http://schemas.openxmlformats.org/officeDocument/2006/relationships/hyperlink" Target="https://mptenders.gov.in/" TargetMode="External"/><Relationship Id="rId648" Type="http://schemas.openxmlformats.org/officeDocument/2006/relationships/hyperlink" Target="https://mptenders.gov.in/" TargetMode="External"/><Relationship Id="rId855" Type="http://schemas.openxmlformats.org/officeDocument/2006/relationships/hyperlink" Target="https://mptenders.gov.in/" TargetMode="External"/><Relationship Id="rId287" Type="http://schemas.openxmlformats.org/officeDocument/2006/relationships/hyperlink" Target="https://aiimsbhopal.edu.in/index_controller/manualTender" TargetMode="External"/><Relationship Id="rId410" Type="http://schemas.openxmlformats.org/officeDocument/2006/relationships/hyperlink" Target="https://tntenders.gov.in/" TargetMode="External"/><Relationship Id="rId494" Type="http://schemas.openxmlformats.org/officeDocument/2006/relationships/hyperlink" Target="https://mptenders.gov.in/" TargetMode="External"/><Relationship Id="rId508" Type="http://schemas.openxmlformats.org/officeDocument/2006/relationships/hyperlink" Target="https://etender.up.nic.in/" TargetMode="External"/><Relationship Id="rId715" Type="http://schemas.openxmlformats.org/officeDocument/2006/relationships/hyperlink" Target="https://mptenders.gov.in/" TargetMode="External"/><Relationship Id="rId922" Type="http://schemas.openxmlformats.org/officeDocument/2006/relationships/hyperlink" Target="https://mptenders.gov.in/" TargetMode="External"/><Relationship Id="rId147" Type="http://schemas.openxmlformats.org/officeDocument/2006/relationships/hyperlink" Target="https://eproc.cgstate.gov.in/" TargetMode="External"/><Relationship Id="rId354" Type="http://schemas.openxmlformats.org/officeDocument/2006/relationships/hyperlink" Target="https://gem.gov.in/" TargetMode="External"/><Relationship Id="rId799" Type="http://schemas.openxmlformats.org/officeDocument/2006/relationships/hyperlink" Target="https://mptenders.gov.in/" TargetMode="External"/><Relationship Id="rId51" Type="http://schemas.openxmlformats.org/officeDocument/2006/relationships/hyperlink" Target="https://mahatenders.gov.in/" TargetMode="External"/><Relationship Id="rId561" Type="http://schemas.openxmlformats.org/officeDocument/2006/relationships/hyperlink" Target="https://etender.up.nic.in/" TargetMode="External"/><Relationship Id="rId659" Type="http://schemas.openxmlformats.org/officeDocument/2006/relationships/hyperlink" Target="https://eprocure.gov.in/" TargetMode="External"/><Relationship Id="rId866" Type="http://schemas.openxmlformats.org/officeDocument/2006/relationships/hyperlink" Target="https://mptenders.gov.in/" TargetMode="External"/><Relationship Id="rId214" Type="http://schemas.openxmlformats.org/officeDocument/2006/relationships/hyperlink" Target="https://eprocure.gov.in/" TargetMode="External"/><Relationship Id="rId298" Type="http://schemas.openxmlformats.org/officeDocument/2006/relationships/hyperlink" Target="https://mptenders.gov.in/" TargetMode="External"/><Relationship Id="rId421" Type="http://schemas.openxmlformats.org/officeDocument/2006/relationships/hyperlink" Target="https://etender.up.nic.in/" TargetMode="External"/><Relationship Id="rId519" Type="http://schemas.openxmlformats.org/officeDocument/2006/relationships/hyperlink" Target="https://etender.up.nic.in/" TargetMode="External"/><Relationship Id="rId158" Type="http://schemas.openxmlformats.org/officeDocument/2006/relationships/hyperlink" Target="https://iocletenders.nic.in/" TargetMode="External"/><Relationship Id="rId726" Type="http://schemas.openxmlformats.org/officeDocument/2006/relationships/hyperlink" Target="https://gem.gov.in/" TargetMode="External"/><Relationship Id="rId933" Type="http://schemas.openxmlformats.org/officeDocument/2006/relationships/hyperlink" Target="https://gem.gov.in/" TargetMode="External"/><Relationship Id="rId62" Type="http://schemas.openxmlformats.org/officeDocument/2006/relationships/hyperlink" Target="https://enivida.odisha.gov.in/" TargetMode="External"/><Relationship Id="rId365" Type="http://schemas.openxmlformats.org/officeDocument/2006/relationships/hyperlink" Target="https://mptenders.gov.in/" TargetMode="External"/><Relationship Id="rId572" Type="http://schemas.openxmlformats.org/officeDocument/2006/relationships/hyperlink" Target="https://mptenders.gov.in/" TargetMode="External"/><Relationship Id="rId225" Type="http://schemas.openxmlformats.org/officeDocument/2006/relationships/hyperlink" Target="https://tntenders.gov.in/" TargetMode="External"/><Relationship Id="rId432" Type="http://schemas.openxmlformats.org/officeDocument/2006/relationships/hyperlink" Target="https://eproc.rajasthan.gov.in/" TargetMode="External"/><Relationship Id="rId877" Type="http://schemas.openxmlformats.org/officeDocument/2006/relationships/hyperlink" Target="https://mptenders.gov.in/" TargetMode="External"/><Relationship Id="rId737" Type="http://schemas.openxmlformats.org/officeDocument/2006/relationships/hyperlink" Target="https://mptenders.gov.in/" TargetMode="External"/><Relationship Id="rId944" Type="http://schemas.openxmlformats.org/officeDocument/2006/relationships/hyperlink" Target="https://www.ireps.gov.in/" TargetMode="External"/><Relationship Id="rId73" Type="http://schemas.openxmlformats.org/officeDocument/2006/relationships/hyperlink" Target="https://mptenders.gov.in/" TargetMode="External"/><Relationship Id="rId169" Type="http://schemas.openxmlformats.org/officeDocument/2006/relationships/hyperlink" Target="https://hptenders.gov.in/" TargetMode="External"/><Relationship Id="rId376" Type="http://schemas.openxmlformats.org/officeDocument/2006/relationships/hyperlink" Target="https://mptenders.gov.in/" TargetMode="External"/><Relationship Id="rId583" Type="http://schemas.openxmlformats.org/officeDocument/2006/relationships/hyperlink" Target="https://etenders.hry.nic.in/" TargetMode="External"/><Relationship Id="rId790" Type="http://schemas.openxmlformats.org/officeDocument/2006/relationships/hyperlink" Target="https://jharkhandtenders.gov.in/" TargetMode="External"/><Relationship Id="rId804" Type="http://schemas.openxmlformats.org/officeDocument/2006/relationships/hyperlink" Target="https://gem.gov.in/" TargetMode="External"/><Relationship Id="rId4" Type="http://schemas.openxmlformats.org/officeDocument/2006/relationships/hyperlink" Target="https://etender.up.nic.in/" TargetMode="External"/><Relationship Id="rId236" Type="http://schemas.openxmlformats.org/officeDocument/2006/relationships/hyperlink" Target="https://gem.gov.in/" TargetMode="External"/><Relationship Id="rId443" Type="http://schemas.openxmlformats.org/officeDocument/2006/relationships/hyperlink" Target="https://gem.gov.in/" TargetMode="External"/><Relationship Id="rId650" Type="http://schemas.openxmlformats.org/officeDocument/2006/relationships/hyperlink" Target="https://etenders.hry.nic.in/" TargetMode="External"/><Relationship Id="rId888" Type="http://schemas.openxmlformats.org/officeDocument/2006/relationships/hyperlink" Target="https://gem.gov.in/" TargetMode="External"/><Relationship Id="rId303" Type="http://schemas.openxmlformats.org/officeDocument/2006/relationships/hyperlink" Target="https://etenders.gov.in/" TargetMode="External"/><Relationship Id="rId748" Type="http://schemas.openxmlformats.org/officeDocument/2006/relationships/hyperlink" Target="https://mptenders.gov.in/" TargetMode="External"/><Relationship Id="rId955" Type="http://schemas.openxmlformats.org/officeDocument/2006/relationships/hyperlink" Target="https://gem.gov.in/" TargetMode="External"/><Relationship Id="rId84" Type="http://schemas.openxmlformats.org/officeDocument/2006/relationships/hyperlink" Target="https://mptenders.gov.in/" TargetMode="External"/><Relationship Id="rId387" Type="http://schemas.openxmlformats.org/officeDocument/2006/relationships/hyperlink" Target="https://mptenders.gov.in/" TargetMode="External"/><Relationship Id="rId510" Type="http://schemas.openxmlformats.org/officeDocument/2006/relationships/hyperlink" Target="https://gem.gov.in/" TargetMode="External"/><Relationship Id="rId594" Type="http://schemas.openxmlformats.org/officeDocument/2006/relationships/hyperlink" Target="https://mahatenders.gov.in/" TargetMode="External"/><Relationship Id="rId608" Type="http://schemas.openxmlformats.org/officeDocument/2006/relationships/hyperlink" Target="https://mahatenders.gov.in/" TargetMode="External"/><Relationship Id="rId815" Type="http://schemas.openxmlformats.org/officeDocument/2006/relationships/hyperlink" Target="https://mptenders.gov.in/" TargetMode="External"/><Relationship Id="rId247" Type="http://schemas.openxmlformats.org/officeDocument/2006/relationships/hyperlink" Target="https://mptenders.gov.in/" TargetMode="External"/><Relationship Id="rId899" Type="http://schemas.openxmlformats.org/officeDocument/2006/relationships/hyperlink" Target="https://mptenders.gov.in/" TargetMode="External"/><Relationship Id="rId107" Type="http://schemas.openxmlformats.org/officeDocument/2006/relationships/hyperlink" Target="https://hptenders.gov.in/" TargetMode="External"/><Relationship Id="rId454" Type="http://schemas.openxmlformats.org/officeDocument/2006/relationships/hyperlink" Target="https://eproc.rajasthan.gov.in/" TargetMode="External"/><Relationship Id="rId661" Type="http://schemas.openxmlformats.org/officeDocument/2006/relationships/hyperlink" Target="https://kppp.karnataka.gov.in/" TargetMode="External"/><Relationship Id="rId759" Type="http://schemas.openxmlformats.org/officeDocument/2006/relationships/hyperlink" Target="https://eproc2.bihar.gov.in/" TargetMode="External"/><Relationship Id="rId966" Type="http://schemas.openxmlformats.org/officeDocument/2006/relationships/hyperlink" Target="https://etender.up.nic.in/" TargetMode="External"/><Relationship Id="rId11" Type="http://schemas.openxmlformats.org/officeDocument/2006/relationships/hyperlink" Target="https://ddtenders.gov.in/nicgep/app" TargetMode="External"/><Relationship Id="rId314" Type="http://schemas.openxmlformats.org/officeDocument/2006/relationships/hyperlink" Target="https://etender.up.nic.in/" TargetMode="External"/><Relationship Id="rId398" Type="http://schemas.openxmlformats.org/officeDocument/2006/relationships/hyperlink" Target="https://etender.up.nic.in/" TargetMode="External"/><Relationship Id="rId521" Type="http://schemas.openxmlformats.org/officeDocument/2006/relationships/hyperlink" Target="https://etender.up.nic.in/" TargetMode="External"/><Relationship Id="rId619" Type="http://schemas.openxmlformats.org/officeDocument/2006/relationships/hyperlink" Target="https://etender.up.nic.in/" TargetMode="External"/><Relationship Id="rId95" Type="http://schemas.openxmlformats.org/officeDocument/2006/relationships/hyperlink" Target="https://mptenders.gov.in/nicgep/app" TargetMode="External"/><Relationship Id="rId160" Type="http://schemas.openxmlformats.org/officeDocument/2006/relationships/hyperlink" Target="https://assamtenders.gov.in/" TargetMode="External"/><Relationship Id="rId826" Type="http://schemas.openxmlformats.org/officeDocument/2006/relationships/hyperlink" Target="https://mptenders.gov.in/" TargetMode="External"/><Relationship Id="rId258" Type="http://schemas.openxmlformats.org/officeDocument/2006/relationships/hyperlink" Target="https://iocletenders.nic.in/" TargetMode="External"/><Relationship Id="rId465" Type="http://schemas.openxmlformats.org/officeDocument/2006/relationships/hyperlink" Target="https://etender.up.nic.in/" TargetMode="External"/><Relationship Id="rId672" Type="http://schemas.openxmlformats.org/officeDocument/2006/relationships/hyperlink" Target="https://mptenders.gov.in/" TargetMode="External"/><Relationship Id="rId22" Type="http://schemas.openxmlformats.org/officeDocument/2006/relationships/hyperlink" Target="https://mptenders.gov.in/" TargetMode="External"/><Relationship Id="rId118" Type="http://schemas.openxmlformats.org/officeDocument/2006/relationships/hyperlink" Target="https://tender.apeprocurement.gov.in/login.html" TargetMode="External"/><Relationship Id="rId325" Type="http://schemas.openxmlformats.org/officeDocument/2006/relationships/hyperlink" Target="https://gem.gov.in/" TargetMode="External"/><Relationship Id="rId532" Type="http://schemas.openxmlformats.org/officeDocument/2006/relationships/hyperlink" Target="https://gem.gov.in/" TargetMode="External"/><Relationship Id="rId977" Type="http://schemas.openxmlformats.org/officeDocument/2006/relationships/hyperlink" Target="https://www.ireps.gov.in/" TargetMode="External"/><Relationship Id="rId171" Type="http://schemas.openxmlformats.org/officeDocument/2006/relationships/hyperlink" Target="https://etenders.gov.in/eprocure/app" TargetMode="External"/><Relationship Id="rId837" Type="http://schemas.openxmlformats.org/officeDocument/2006/relationships/hyperlink" Target="https://gem.gov.in/" TargetMode="External"/><Relationship Id="rId269" Type="http://schemas.openxmlformats.org/officeDocument/2006/relationships/hyperlink" Target="https://gem.gov.in/" TargetMode="External"/><Relationship Id="rId476" Type="http://schemas.openxmlformats.org/officeDocument/2006/relationships/hyperlink" Target="https://eproc.rajasthan.gov.in/" TargetMode="External"/><Relationship Id="rId683" Type="http://schemas.openxmlformats.org/officeDocument/2006/relationships/hyperlink" Target="https://mptenders.gov.in/" TargetMode="External"/><Relationship Id="rId890" Type="http://schemas.openxmlformats.org/officeDocument/2006/relationships/hyperlink" Target="https://gem.gov.in/" TargetMode="External"/><Relationship Id="rId904" Type="http://schemas.openxmlformats.org/officeDocument/2006/relationships/hyperlink" Target="https://mptenders.gov.in/" TargetMode="External"/><Relationship Id="rId33" Type="http://schemas.openxmlformats.org/officeDocument/2006/relationships/hyperlink" Target="https://etenders.gov.in/" TargetMode="External"/><Relationship Id="rId129" Type="http://schemas.openxmlformats.org/officeDocument/2006/relationships/hyperlink" Target="https://iocletenders.nic.in/" TargetMode="External"/><Relationship Id="rId336" Type="http://schemas.openxmlformats.org/officeDocument/2006/relationships/hyperlink" Target="https://mahatenders.gov.in/" TargetMode="External"/><Relationship Id="rId543" Type="http://schemas.openxmlformats.org/officeDocument/2006/relationships/hyperlink" Target="https://mptenders.gov.in/" TargetMode="External"/><Relationship Id="rId182" Type="http://schemas.openxmlformats.org/officeDocument/2006/relationships/hyperlink" Target="https://mptenders.gov.in/" TargetMode="External"/><Relationship Id="rId403" Type="http://schemas.openxmlformats.org/officeDocument/2006/relationships/hyperlink" Target="https://etender.up.nic.in/" TargetMode="External"/><Relationship Id="rId750" Type="http://schemas.openxmlformats.org/officeDocument/2006/relationships/hyperlink" Target="https://hptenders.gov.in/" TargetMode="External"/><Relationship Id="rId848" Type="http://schemas.openxmlformats.org/officeDocument/2006/relationships/hyperlink" Target="https://gem.gov.in/" TargetMode="External"/><Relationship Id="rId487" Type="http://schemas.openxmlformats.org/officeDocument/2006/relationships/hyperlink" Target="https://mptenders.gov.in/" TargetMode="External"/><Relationship Id="rId610" Type="http://schemas.openxmlformats.org/officeDocument/2006/relationships/hyperlink" Target="https://gem.gov.in/" TargetMode="External"/><Relationship Id="rId694" Type="http://schemas.openxmlformats.org/officeDocument/2006/relationships/hyperlink" Target="https://mahatenders.gov.in/" TargetMode="External"/><Relationship Id="rId708" Type="http://schemas.openxmlformats.org/officeDocument/2006/relationships/hyperlink" Target="https://mptenders.gov.in/" TargetMode="External"/><Relationship Id="rId915" Type="http://schemas.openxmlformats.org/officeDocument/2006/relationships/hyperlink" Target="https://gem.gov.in/" TargetMode="External"/><Relationship Id="rId347" Type="http://schemas.openxmlformats.org/officeDocument/2006/relationships/hyperlink" Target="https://jharkhandtenders.gov.in/" TargetMode="External"/><Relationship Id="rId44" Type="http://schemas.openxmlformats.org/officeDocument/2006/relationships/hyperlink" Target="https://tender.telangana.gov.in/" TargetMode="External"/><Relationship Id="rId554" Type="http://schemas.openxmlformats.org/officeDocument/2006/relationships/hyperlink" Target="https://assamtenders.gov.in/" TargetMode="External"/><Relationship Id="rId761" Type="http://schemas.openxmlformats.org/officeDocument/2006/relationships/hyperlink" Target="https://uktenders.gov.in/" TargetMode="External"/><Relationship Id="rId859" Type="http://schemas.openxmlformats.org/officeDocument/2006/relationships/hyperlink" Target="https://mptenders.gov.in/" TargetMode="External"/><Relationship Id="rId193" Type="http://schemas.openxmlformats.org/officeDocument/2006/relationships/hyperlink" Target="https://govtprocurement.delhi.gov.in/" TargetMode="External"/><Relationship Id="rId207" Type="http://schemas.openxmlformats.org/officeDocument/2006/relationships/hyperlink" Target="https://eprocure.gov.in/" TargetMode="External"/><Relationship Id="rId414" Type="http://schemas.openxmlformats.org/officeDocument/2006/relationships/hyperlink" Target="https://etender.up.nic.in/" TargetMode="External"/><Relationship Id="rId498" Type="http://schemas.openxmlformats.org/officeDocument/2006/relationships/hyperlink" Target="https://etender.up.nic.in/" TargetMode="External"/><Relationship Id="rId621" Type="http://schemas.openxmlformats.org/officeDocument/2006/relationships/hyperlink" Target="https://gem.gov.in/" TargetMode="External"/><Relationship Id="rId260" Type="http://schemas.openxmlformats.org/officeDocument/2006/relationships/hyperlink" Target="https://gem.gov.in/" TargetMode="External"/><Relationship Id="rId719" Type="http://schemas.openxmlformats.org/officeDocument/2006/relationships/hyperlink" Target="https://govtprocurement.delhi.gov.in/" TargetMode="External"/><Relationship Id="rId926" Type="http://schemas.openxmlformats.org/officeDocument/2006/relationships/hyperlink" Target="https://eproc.punjab.gov.in/" TargetMode="External"/><Relationship Id="rId55" Type="http://schemas.openxmlformats.org/officeDocument/2006/relationships/hyperlink" Target="http://uktenders.gov.in/" TargetMode="External"/><Relationship Id="rId120" Type="http://schemas.openxmlformats.org/officeDocument/2006/relationships/hyperlink" Target="https://mptenders.gov.in/" TargetMode="External"/><Relationship Id="rId358" Type="http://schemas.openxmlformats.org/officeDocument/2006/relationships/hyperlink" Target="https://gem.gov.in/" TargetMode="External"/><Relationship Id="rId565" Type="http://schemas.openxmlformats.org/officeDocument/2006/relationships/hyperlink" Target="https://gem.gov.in/" TargetMode="External"/><Relationship Id="rId772" Type="http://schemas.openxmlformats.org/officeDocument/2006/relationships/hyperlink" Target="https://gem.gov.in/" TargetMode="External"/><Relationship Id="rId218" Type="http://schemas.openxmlformats.org/officeDocument/2006/relationships/hyperlink" Target="https://etenders.gov.in/" TargetMode="External"/><Relationship Id="rId425" Type="http://schemas.openxmlformats.org/officeDocument/2006/relationships/hyperlink" Target="https://gem.gov.in/" TargetMode="External"/><Relationship Id="rId632" Type="http://schemas.openxmlformats.org/officeDocument/2006/relationships/hyperlink" Target="https://gem.gov.in/" TargetMode="External"/><Relationship Id="rId271" Type="http://schemas.openxmlformats.org/officeDocument/2006/relationships/hyperlink" Target="https://hptenders.gov.in/" TargetMode="External"/><Relationship Id="rId937" Type="http://schemas.openxmlformats.org/officeDocument/2006/relationships/hyperlink" Target="https://mptenders.gov.in/" TargetMode="External"/><Relationship Id="rId66" Type="http://schemas.openxmlformats.org/officeDocument/2006/relationships/hyperlink" Target="https://etenders.gov.in/eprocure/app" TargetMode="External"/><Relationship Id="rId131" Type="http://schemas.openxmlformats.org/officeDocument/2006/relationships/hyperlink" Target="https://eprocure.gov.in/epublish/app" TargetMode="External"/><Relationship Id="rId369" Type="http://schemas.openxmlformats.org/officeDocument/2006/relationships/hyperlink" Target="https://mptenders.gov.in/" TargetMode="External"/><Relationship Id="rId576" Type="http://schemas.openxmlformats.org/officeDocument/2006/relationships/hyperlink" Target="https://etenders.gov.in/" TargetMode="External"/><Relationship Id="rId783" Type="http://schemas.openxmlformats.org/officeDocument/2006/relationships/hyperlink" Target="https://gem.gov.in/" TargetMode="External"/><Relationship Id="rId229" Type="http://schemas.openxmlformats.org/officeDocument/2006/relationships/hyperlink" Target="https://eprocure.gov.in/" TargetMode="External"/><Relationship Id="rId436" Type="http://schemas.openxmlformats.org/officeDocument/2006/relationships/hyperlink" Target="https://eproc.punjab.gov.in/" TargetMode="External"/><Relationship Id="rId643" Type="http://schemas.openxmlformats.org/officeDocument/2006/relationships/hyperlink" Target="https://mptenders.gov.in/" TargetMode="External"/><Relationship Id="rId850" Type="http://schemas.openxmlformats.org/officeDocument/2006/relationships/hyperlink" Target="https://mptenders.gov.in/" TargetMode="External"/><Relationship Id="rId948" Type="http://schemas.openxmlformats.org/officeDocument/2006/relationships/hyperlink" Target="https://www.ireps.gov.in/" TargetMode="External"/><Relationship Id="rId77" Type="http://schemas.openxmlformats.org/officeDocument/2006/relationships/hyperlink" Target="https://tendersodisha.gov.in/nicgep/app" TargetMode="External"/><Relationship Id="rId282" Type="http://schemas.openxmlformats.org/officeDocument/2006/relationships/hyperlink" Target="https://etender.up.nic.in/" TargetMode="External"/><Relationship Id="rId503" Type="http://schemas.openxmlformats.org/officeDocument/2006/relationships/hyperlink" Target="https://etender.up.nic.in/" TargetMode="External"/><Relationship Id="rId587" Type="http://schemas.openxmlformats.org/officeDocument/2006/relationships/hyperlink" Target="https://mptenders.gov.in/" TargetMode="External"/><Relationship Id="rId710" Type="http://schemas.openxmlformats.org/officeDocument/2006/relationships/hyperlink" Target="https://gem.gov.in/" TargetMode="External"/><Relationship Id="rId808" Type="http://schemas.openxmlformats.org/officeDocument/2006/relationships/hyperlink" Target="https://mptenders.gov.in/" TargetMode="External"/><Relationship Id="rId8" Type="http://schemas.openxmlformats.org/officeDocument/2006/relationships/hyperlink" Target="https://mptenders.gov.in/nicgep/app" TargetMode="External"/><Relationship Id="rId142" Type="http://schemas.openxmlformats.org/officeDocument/2006/relationships/hyperlink" Target="https://jharkhandtenders.gov.in/nicgep/app" TargetMode="External"/><Relationship Id="rId447" Type="http://schemas.openxmlformats.org/officeDocument/2006/relationships/hyperlink" Target="https://eproc.rajasthan.gov.in/" TargetMode="External"/><Relationship Id="rId794" Type="http://schemas.openxmlformats.org/officeDocument/2006/relationships/hyperlink" Target="https://mptenders.gov.in/" TargetMode="External"/><Relationship Id="rId654" Type="http://schemas.openxmlformats.org/officeDocument/2006/relationships/hyperlink" Target="https://gem.gov.in/" TargetMode="External"/><Relationship Id="rId861" Type="http://schemas.openxmlformats.org/officeDocument/2006/relationships/hyperlink" Target="https://assamtenders.gov.in/" TargetMode="External"/><Relationship Id="rId959" Type="http://schemas.openxmlformats.org/officeDocument/2006/relationships/hyperlink" Target="https://gem.gov.in/" TargetMode="External"/><Relationship Id="rId293" Type="http://schemas.openxmlformats.org/officeDocument/2006/relationships/hyperlink" Target="https://assamtenders.gov.in/" TargetMode="External"/><Relationship Id="rId307" Type="http://schemas.openxmlformats.org/officeDocument/2006/relationships/hyperlink" Target="https://tenders.ongc.co.in/" TargetMode="External"/><Relationship Id="rId514" Type="http://schemas.openxmlformats.org/officeDocument/2006/relationships/hyperlink" Target="https://gem.gov.in/" TargetMode="External"/><Relationship Id="rId721" Type="http://schemas.openxmlformats.org/officeDocument/2006/relationships/hyperlink" Target="https://gem.gov.in/" TargetMode="External"/><Relationship Id="rId88" Type="http://schemas.openxmlformats.org/officeDocument/2006/relationships/hyperlink" Target="https://jharkhandtenders.gov.in/nicgep/app" TargetMode="External"/><Relationship Id="rId153" Type="http://schemas.openxmlformats.org/officeDocument/2006/relationships/hyperlink" Target="https://iocletenders.nic.in/" TargetMode="External"/><Relationship Id="rId360" Type="http://schemas.openxmlformats.org/officeDocument/2006/relationships/hyperlink" Target="https://tender.apeprocurement.gov.in/" TargetMode="External"/><Relationship Id="rId598" Type="http://schemas.openxmlformats.org/officeDocument/2006/relationships/hyperlink" Target="https://eproc.rajasthan.gov.in/" TargetMode="External"/><Relationship Id="rId819" Type="http://schemas.openxmlformats.org/officeDocument/2006/relationships/hyperlink" Target="http://www.ireps.gov.in/" TargetMode="External"/><Relationship Id="rId220" Type="http://schemas.openxmlformats.org/officeDocument/2006/relationships/hyperlink" Target="https://etenders.gov.in/" TargetMode="External"/><Relationship Id="rId458" Type="http://schemas.openxmlformats.org/officeDocument/2006/relationships/hyperlink" Target="https://mptenders.gov.in/" TargetMode="External"/><Relationship Id="rId665" Type="http://schemas.openxmlformats.org/officeDocument/2006/relationships/hyperlink" Target="https://tntenders.gov.in/" TargetMode="External"/><Relationship Id="rId872" Type="http://schemas.openxmlformats.org/officeDocument/2006/relationships/hyperlink" Target="https://gem.gov.in/" TargetMode="External"/><Relationship Id="rId15" Type="http://schemas.openxmlformats.org/officeDocument/2006/relationships/hyperlink" Target="http://eproc.rajasthan.gov.in/" TargetMode="External"/><Relationship Id="rId318" Type="http://schemas.openxmlformats.org/officeDocument/2006/relationships/hyperlink" Target="https://mptenders.gov.in/" TargetMode="External"/><Relationship Id="rId525" Type="http://schemas.openxmlformats.org/officeDocument/2006/relationships/hyperlink" Target="http://odishatransport.gov.in/" TargetMode="External"/><Relationship Id="rId732" Type="http://schemas.openxmlformats.org/officeDocument/2006/relationships/hyperlink" Target="https://mptenders.gov.in/" TargetMode="External"/><Relationship Id="rId99" Type="http://schemas.openxmlformats.org/officeDocument/2006/relationships/hyperlink" Target="https://rbi.org.in/Scripts/BS_ViewTenders.aspx" TargetMode="External"/><Relationship Id="rId164" Type="http://schemas.openxmlformats.org/officeDocument/2006/relationships/hyperlink" Target="https://gem.gov.in/" TargetMode="External"/><Relationship Id="rId371" Type="http://schemas.openxmlformats.org/officeDocument/2006/relationships/hyperlink" Target="https://mahatenders.gov.in/" TargetMode="External"/><Relationship Id="rId469" Type="http://schemas.openxmlformats.org/officeDocument/2006/relationships/hyperlink" Target="https://gem.gov.in/" TargetMode="External"/><Relationship Id="rId676" Type="http://schemas.openxmlformats.org/officeDocument/2006/relationships/hyperlink" Target="https://gem.gov.in/" TargetMode="External"/><Relationship Id="rId883" Type="http://schemas.openxmlformats.org/officeDocument/2006/relationships/hyperlink" Target="https://odisha.gov.in/state-tenders-advertisement" TargetMode="External"/><Relationship Id="rId26" Type="http://schemas.openxmlformats.org/officeDocument/2006/relationships/hyperlink" Target="https://jktenders.gov.in/nicgep/app" TargetMode="External"/><Relationship Id="rId231" Type="http://schemas.openxmlformats.org/officeDocument/2006/relationships/hyperlink" Target="http://tripuratenders.gov.in/" TargetMode="External"/><Relationship Id="rId329" Type="http://schemas.openxmlformats.org/officeDocument/2006/relationships/hyperlink" Target="https://govtprocurement.delhi.gov.in/" TargetMode="External"/><Relationship Id="rId536" Type="http://schemas.openxmlformats.org/officeDocument/2006/relationships/hyperlink" Target="https://eprocure.gov.in/" TargetMode="External"/><Relationship Id="rId175" Type="http://schemas.openxmlformats.org/officeDocument/2006/relationships/hyperlink" Target="http://tender.apeprocurement.gov.in/" TargetMode="External"/><Relationship Id="rId743" Type="http://schemas.openxmlformats.org/officeDocument/2006/relationships/hyperlink" Target="https://mptenders.gov.in/" TargetMode="External"/><Relationship Id="rId950" Type="http://schemas.openxmlformats.org/officeDocument/2006/relationships/hyperlink" Target="https://www.ireps.gov.in/" TargetMode="External"/><Relationship Id="rId382" Type="http://schemas.openxmlformats.org/officeDocument/2006/relationships/hyperlink" Target="https://gem.gov.in/" TargetMode="External"/><Relationship Id="rId603" Type="http://schemas.openxmlformats.org/officeDocument/2006/relationships/hyperlink" Target="https://etenders.hry.nic.in/" TargetMode="External"/><Relationship Id="rId687" Type="http://schemas.openxmlformats.org/officeDocument/2006/relationships/hyperlink" Target="https://gem.gov.in/" TargetMode="External"/><Relationship Id="rId810" Type="http://schemas.openxmlformats.org/officeDocument/2006/relationships/hyperlink" Target="https://uktenders.gov.in/" TargetMode="External"/><Relationship Id="rId908" Type="http://schemas.openxmlformats.org/officeDocument/2006/relationships/hyperlink" Target="https://mptenders.gov.in/" TargetMode="External"/><Relationship Id="rId242" Type="http://schemas.openxmlformats.org/officeDocument/2006/relationships/hyperlink" Target="https://uktenders.gov.in/" TargetMode="External"/><Relationship Id="rId894" Type="http://schemas.openxmlformats.org/officeDocument/2006/relationships/hyperlink" Target="https://gem.gov.in/" TargetMode="External"/><Relationship Id="rId37" Type="http://schemas.openxmlformats.org/officeDocument/2006/relationships/hyperlink" Target="https://govtprocurement.delhi.gov.in/" TargetMode="External"/><Relationship Id="rId102" Type="http://schemas.openxmlformats.org/officeDocument/2006/relationships/hyperlink" Target="https://mptenders.gov.in/" TargetMode="External"/><Relationship Id="rId547" Type="http://schemas.openxmlformats.org/officeDocument/2006/relationships/hyperlink" Target="https://sbi.co.in/web/sbi-in-the-news/procurement-news" TargetMode="External"/><Relationship Id="rId754" Type="http://schemas.openxmlformats.org/officeDocument/2006/relationships/hyperlink" Target="https://eprocure.gov.in/" TargetMode="External"/><Relationship Id="rId961" Type="http://schemas.openxmlformats.org/officeDocument/2006/relationships/hyperlink" Target="https://mptenders.gov.in/" TargetMode="External"/><Relationship Id="rId90" Type="http://schemas.openxmlformats.org/officeDocument/2006/relationships/hyperlink" Target="https://mptenders.gov.in/nicgep/app" TargetMode="External"/><Relationship Id="rId186" Type="http://schemas.openxmlformats.org/officeDocument/2006/relationships/hyperlink" Target="https://www.getco.co.in/tender/index.html?page=1" TargetMode="External"/><Relationship Id="rId393" Type="http://schemas.openxmlformats.org/officeDocument/2006/relationships/hyperlink" Target="https://eprocure.gov.in/" TargetMode="External"/><Relationship Id="rId407" Type="http://schemas.openxmlformats.org/officeDocument/2006/relationships/hyperlink" Target="https://gem.gov.in/" TargetMode="External"/><Relationship Id="rId614" Type="http://schemas.openxmlformats.org/officeDocument/2006/relationships/hyperlink" Target="https://gem.gov.in/" TargetMode="External"/><Relationship Id="rId821" Type="http://schemas.openxmlformats.org/officeDocument/2006/relationships/hyperlink" Target="https://etender.up.nic.in/" TargetMode="External"/><Relationship Id="rId253" Type="http://schemas.openxmlformats.org/officeDocument/2006/relationships/hyperlink" Target="https://tntenders.gov.in/" TargetMode="External"/><Relationship Id="rId460" Type="http://schemas.openxmlformats.org/officeDocument/2006/relationships/hyperlink" Target="https://eproc.rajasthan.gov.in/" TargetMode="External"/><Relationship Id="rId698" Type="http://schemas.openxmlformats.org/officeDocument/2006/relationships/hyperlink" Target="https://mptenders.gov.in/" TargetMode="External"/><Relationship Id="rId919" Type="http://schemas.openxmlformats.org/officeDocument/2006/relationships/hyperlink" Target="https://mahatenders.gov.in/" TargetMode="External"/><Relationship Id="rId48" Type="http://schemas.openxmlformats.org/officeDocument/2006/relationships/hyperlink" Target="http://www.mptenders.gov.in/" TargetMode="External"/><Relationship Id="rId113" Type="http://schemas.openxmlformats.org/officeDocument/2006/relationships/hyperlink" Target="https://eprocure.gov.in/eprocure/app" TargetMode="External"/><Relationship Id="rId320" Type="http://schemas.openxmlformats.org/officeDocument/2006/relationships/hyperlink" Target="https://mptenders.gov.in/" TargetMode="External"/><Relationship Id="rId558" Type="http://schemas.openxmlformats.org/officeDocument/2006/relationships/hyperlink" Target="https://eproc.punjab.gov.in/" TargetMode="External"/><Relationship Id="rId765" Type="http://schemas.openxmlformats.org/officeDocument/2006/relationships/hyperlink" Target="https://gem.gov.in/" TargetMode="External"/><Relationship Id="rId972" Type="http://schemas.openxmlformats.org/officeDocument/2006/relationships/hyperlink" Target="https://www.ireps.gov.in/" TargetMode="External"/><Relationship Id="rId197" Type="http://schemas.openxmlformats.org/officeDocument/2006/relationships/hyperlink" Target="https://mptenders.gov.in/" TargetMode="External"/><Relationship Id="rId418" Type="http://schemas.openxmlformats.org/officeDocument/2006/relationships/hyperlink" Target="https://tender.nprocure.com/" TargetMode="External"/><Relationship Id="rId625" Type="http://schemas.openxmlformats.org/officeDocument/2006/relationships/hyperlink" Target="https://mptenders.gov.in/" TargetMode="External"/><Relationship Id="rId832" Type="http://schemas.openxmlformats.org/officeDocument/2006/relationships/hyperlink" Target="https://mptenders.gov.in/" TargetMode="External"/><Relationship Id="rId264" Type="http://schemas.openxmlformats.org/officeDocument/2006/relationships/hyperlink" Target="https://tender.apeprocurement.gov.in/" TargetMode="External"/><Relationship Id="rId471" Type="http://schemas.openxmlformats.org/officeDocument/2006/relationships/hyperlink" Target="https://gem.gov.in/" TargetMode="External"/><Relationship Id="rId59" Type="http://schemas.openxmlformats.org/officeDocument/2006/relationships/hyperlink" Target="http://www.mptenders.gov.in/" TargetMode="External"/><Relationship Id="rId124" Type="http://schemas.openxmlformats.org/officeDocument/2006/relationships/hyperlink" Target="https://www.mptenders.gov.in/" TargetMode="External"/><Relationship Id="rId569" Type="http://schemas.openxmlformats.org/officeDocument/2006/relationships/hyperlink" Target="https://mahatenders.gov.in/" TargetMode="External"/><Relationship Id="rId776" Type="http://schemas.openxmlformats.org/officeDocument/2006/relationships/hyperlink" Target="https://gem.gov.in/" TargetMode="External"/><Relationship Id="rId983" Type="http://schemas.openxmlformats.org/officeDocument/2006/relationships/hyperlink" Target="https://www.ireps.gov.in/" TargetMode="External"/><Relationship Id="rId331" Type="http://schemas.openxmlformats.org/officeDocument/2006/relationships/hyperlink" Target="https://iocletenders.nic.in/" TargetMode="External"/><Relationship Id="rId429" Type="http://schemas.openxmlformats.org/officeDocument/2006/relationships/hyperlink" Target="https://mptenders.gov.in/" TargetMode="External"/><Relationship Id="rId636" Type="http://schemas.openxmlformats.org/officeDocument/2006/relationships/hyperlink" Target="https://tendersutl.gov.in/" TargetMode="External"/><Relationship Id="rId843" Type="http://schemas.openxmlformats.org/officeDocument/2006/relationships/hyperlink" Target="https://mptenders.gov.in/" TargetMode="External"/><Relationship Id="rId275" Type="http://schemas.openxmlformats.org/officeDocument/2006/relationships/hyperlink" Target="https://eproc.punjab.gov.in/" TargetMode="External"/><Relationship Id="rId482" Type="http://schemas.openxmlformats.org/officeDocument/2006/relationships/hyperlink" Target="https://gem.gov.in/" TargetMode="External"/><Relationship Id="rId703" Type="http://schemas.openxmlformats.org/officeDocument/2006/relationships/hyperlink" Target="https://gem.gov.in/" TargetMode="External"/><Relationship Id="rId910" Type="http://schemas.openxmlformats.org/officeDocument/2006/relationships/hyperlink" Target="https://uktenders.gov.in/" TargetMode="External"/><Relationship Id="rId135" Type="http://schemas.openxmlformats.org/officeDocument/2006/relationships/hyperlink" Target="https://mptenders.gov.in/nicgep/app" TargetMode="External"/><Relationship Id="rId342" Type="http://schemas.openxmlformats.org/officeDocument/2006/relationships/hyperlink" Target="https://gem.gov.in/" TargetMode="External"/><Relationship Id="rId787" Type="http://schemas.openxmlformats.org/officeDocument/2006/relationships/hyperlink" Target="https://mptenders.gov.in/" TargetMode="External"/><Relationship Id="rId202" Type="http://schemas.openxmlformats.org/officeDocument/2006/relationships/hyperlink" Target="https://gem.gov.in/" TargetMode="External"/><Relationship Id="rId647" Type="http://schemas.openxmlformats.org/officeDocument/2006/relationships/hyperlink" Target="https://mptenders.gov.in/" TargetMode="External"/><Relationship Id="rId854" Type="http://schemas.openxmlformats.org/officeDocument/2006/relationships/hyperlink" Target="https://mptenders.gov.in/" TargetMode="External"/><Relationship Id="rId286" Type="http://schemas.openxmlformats.org/officeDocument/2006/relationships/hyperlink" Target="https://aiimsbhopal.edu.in/" TargetMode="External"/><Relationship Id="rId493" Type="http://schemas.openxmlformats.org/officeDocument/2006/relationships/hyperlink" Target="https://gem.gov.in/" TargetMode="External"/><Relationship Id="rId507" Type="http://schemas.openxmlformats.org/officeDocument/2006/relationships/hyperlink" Target="https://mptenders.gov.in/" TargetMode="External"/><Relationship Id="rId714" Type="http://schemas.openxmlformats.org/officeDocument/2006/relationships/hyperlink" Target="https://etender.up.nic.in/" TargetMode="External"/><Relationship Id="rId921" Type="http://schemas.openxmlformats.org/officeDocument/2006/relationships/hyperlink" Target="https://gem.gov.in/" TargetMode="External"/><Relationship Id="rId50" Type="http://schemas.openxmlformats.org/officeDocument/2006/relationships/hyperlink" Target="https://etenders.kerala.gov.in/" TargetMode="External"/><Relationship Id="rId146" Type="http://schemas.openxmlformats.org/officeDocument/2006/relationships/hyperlink" Target="https://mptenders.gov.in/nicgep/app" TargetMode="External"/><Relationship Id="rId353" Type="http://schemas.openxmlformats.org/officeDocument/2006/relationships/hyperlink" Target="https://gem.gov.in/" TargetMode="External"/><Relationship Id="rId560" Type="http://schemas.openxmlformats.org/officeDocument/2006/relationships/hyperlink" Target="https://mptenders.gov.in/" TargetMode="External"/><Relationship Id="rId798" Type="http://schemas.openxmlformats.org/officeDocument/2006/relationships/hyperlink" Target="https://etender.up.nic.in/" TargetMode="External"/><Relationship Id="rId213" Type="http://schemas.openxmlformats.org/officeDocument/2006/relationships/hyperlink" Target="https://etenders.gov.in/" TargetMode="External"/><Relationship Id="rId420" Type="http://schemas.openxmlformats.org/officeDocument/2006/relationships/hyperlink" Target="https://mptenders.gov.in/" TargetMode="External"/><Relationship Id="rId658" Type="http://schemas.openxmlformats.org/officeDocument/2006/relationships/hyperlink" Target="https://mptenders.gov.in/" TargetMode="External"/><Relationship Id="rId865" Type="http://schemas.openxmlformats.org/officeDocument/2006/relationships/hyperlink" Target="https://mptenders.gov.in/" TargetMode="External"/><Relationship Id="rId297" Type="http://schemas.openxmlformats.org/officeDocument/2006/relationships/hyperlink" Target="https://gem.gov.in/" TargetMode="External"/><Relationship Id="rId518" Type="http://schemas.openxmlformats.org/officeDocument/2006/relationships/hyperlink" Target="https://mptenders.gov.in/" TargetMode="External"/><Relationship Id="rId725" Type="http://schemas.openxmlformats.org/officeDocument/2006/relationships/hyperlink" Target="https://gem.gov.in/" TargetMode="External"/><Relationship Id="rId932" Type="http://schemas.openxmlformats.org/officeDocument/2006/relationships/hyperlink" Target="https://gem.gov.in/" TargetMode="External"/><Relationship Id="rId157" Type="http://schemas.openxmlformats.org/officeDocument/2006/relationships/hyperlink" Target="https://govtprocurement.delhi.gov.in/" TargetMode="External"/><Relationship Id="rId364" Type="http://schemas.openxmlformats.org/officeDocument/2006/relationships/hyperlink" Target="https://mptenders.gov.in/" TargetMode="External"/><Relationship Id="rId61" Type="http://schemas.openxmlformats.org/officeDocument/2006/relationships/hyperlink" Target="https://eproc.rajasthan.gov.in/nicgep/app" TargetMode="External"/><Relationship Id="rId571" Type="http://schemas.openxmlformats.org/officeDocument/2006/relationships/hyperlink" Target="https://mptenders.gov.in/" TargetMode="External"/><Relationship Id="rId669" Type="http://schemas.openxmlformats.org/officeDocument/2006/relationships/hyperlink" Target="https://etender.up.nic.in/" TargetMode="External"/><Relationship Id="rId876" Type="http://schemas.openxmlformats.org/officeDocument/2006/relationships/hyperlink" Target="https://eprocurement.mjunction.in/epspropartner/openarea/tender-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3"/>
  <sheetViews>
    <sheetView zoomScale="40" zoomScaleNormal="40" zoomScaleSheetLayoutView="25" workbookViewId="0">
      <selection activeCell="R15" sqref="R15"/>
    </sheetView>
  </sheetViews>
  <sheetFormatPr defaultColWidth="8.81640625" defaultRowHeight="27.5"/>
  <cols>
    <col min="1" max="1" width="9.1796875" style="2473" customWidth="1"/>
    <col min="2" max="2" width="18.54296875" style="2473" customWidth="1"/>
    <col min="3" max="3" width="10" style="2473" customWidth="1"/>
    <col min="4" max="4" width="23.453125" style="2473" bestFit="1" customWidth="1"/>
    <col min="5" max="5" width="122.1796875" style="2473" customWidth="1"/>
    <col min="6" max="6" width="43.453125" style="2473" customWidth="1"/>
    <col min="7" max="8" width="44.26953125" style="2473" customWidth="1"/>
    <col min="9" max="9" width="43.81640625" style="2473" customWidth="1"/>
    <col min="10" max="10" width="34.453125" style="2473" bestFit="1" customWidth="1"/>
    <col min="11" max="11" width="23.1796875" style="2473" customWidth="1"/>
    <col min="12" max="12" width="17.81640625" style="2473" customWidth="1"/>
    <col min="13" max="13" width="40.1796875" style="2480" customWidth="1"/>
    <col min="14" max="14" width="72.7265625" style="2473" customWidth="1"/>
    <col min="15" max="15" width="20.26953125" style="2478" customWidth="1"/>
    <col min="16" max="16" width="54.81640625" style="2594" customWidth="1"/>
    <col min="17" max="17" width="67.54296875" style="2473" customWidth="1"/>
    <col min="18" max="18" width="102.7265625" style="2509" customWidth="1"/>
    <col min="19" max="19" width="42" style="2473" customWidth="1"/>
    <col min="20" max="20" width="122.7265625" style="2585" customWidth="1"/>
    <col min="21" max="16384" width="8.81640625" style="2473"/>
  </cols>
  <sheetData>
    <row r="1" spans="1:22" ht="33.65" customHeight="1">
      <c r="A1" s="2988" t="s">
        <v>6159</v>
      </c>
      <c r="B1" s="2989"/>
      <c r="C1" s="2989"/>
      <c r="D1" s="2989"/>
      <c r="E1" s="2989"/>
      <c r="F1" s="2989"/>
      <c r="G1" s="2989"/>
      <c r="H1" s="2989"/>
      <c r="I1" s="2989"/>
      <c r="J1" s="2989"/>
      <c r="K1" s="2989"/>
      <c r="L1" s="2989"/>
      <c r="M1" s="2989"/>
      <c r="N1" s="2989"/>
      <c r="O1" s="2989"/>
      <c r="P1" s="2990"/>
      <c r="Q1" s="2981"/>
      <c r="R1" s="2982"/>
      <c r="S1" s="2982"/>
      <c r="T1" s="2979"/>
    </row>
    <row r="2" spans="1:22" ht="34.5" customHeight="1">
      <c r="A2" s="2991" t="s">
        <v>0</v>
      </c>
      <c r="B2" s="2992"/>
      <c r="C2" s="2992"/>
      <c r="D2" s="2992"/>
      <c r="E2" s="2992"/>
      <c r="F2" s="2992"/>
      <c r="G2" s="2992"/>
      <c r="H2" s="2992"/>
      <c r="I2" s="2992"/>
      <c r="J2" s="2992"/>
      <c r="K2" s="2992"/>
      <c r="L2" s="2992"/>
      <c r="M2" s="2992"/>
      <c r="N2" s="2992"/>
      <c r="O2" s="2992"/>
      <c r="P2" s="2993"/>
      <c r="Q2" s="2983"/>
      <c r="R2" s="2984"/>
      <c r="S2" s="2984"/>
      <c r="T2" s="2980"/>
    </row>
    <row r="3" spans="1:22" s="2478" customFormat="1" ht="81" customHeight="1">
      <c r="A3" s="2896" t="s">
        <v>1</v>
      </c>
      <c r="B3" s="2876" t="s">
        <v>2</v>
      </c>
      <c r="C3" s="2876" t="s">
        <v>3</v>
      </c>
      <c r="D3" s="2876" t="s">
        <v>4</v>
      </c>
      <c r="E3" s="2877" t="s">
        <v>5</v>
      </c>
      <c r="F3" s="2876" t="s">
        <v>6</v>
      </c>
      <c r="G3" s="2876" t="s">
        <v>7</v>
      </c>
      <c r="H3" s="2878" t="s">
        <v>8</v>
      </c>
      <c r="I3" s="2879" t="s">
        <v>9</v>
      </c>
      <c r="J3" s="2876" t="s">
        <v>10</v>
      </c>
      <c r="K3" s="2880" t="s">
        <v>11</v>
      </c>
      <c r="L3" s="2881" t="s">
        <v>12</v>
      </c>
      <c r="M3" s="2882" t="s">
        <v>13</v>
      </c>
      <c r="N3" s="2876" t="s">
        <v>14</v>
      </c>
      <c r="O3" s="2876" t="s">
        <v>5779</v>
      </c>
      <c r="P3" s="2912" t="s">
        <v>15</v>
      </c>
      <c r="Q3" s="890" t="s">
        <v>16</v>
      </c>
      <c r="R3" s="1295" t="s">
        <v>17</v>
      </c>
      <c r="S3" s="1295" t="s">
        <v>18</v>
      </c>
      <c r="T3" s="2897"/>
    </row>
    <row r="4" spans="1:22" s="2583" customFormat="1" ht="99.65" customHeight="1">
      <c r="A4" s="828">
        <v>1</v>
      </c>
      <c r="B4" s="2361" t="s">
        <v>19</v>
      </c>
      <c r="C4" s="1491" t="s">
        <v>68</v>
      </c>
      <c r="D4" s="2364">
        <v>4.7</v>
      </c>
      <c r="E4" s="2512" t="s">
        <v>5809</v>
      </c>
      <c r="F4" s="2476" t="s">
        <v>22</v>
      </c>
      <c r="G4" s="2367" t="s">
        <v>5810</v>
      </c>
      <c r="H4" s="2368" t="s">
        <v>6130</v>
      </c>
      <c r="I4" s="2368" t="s">
        <v>6131</v>
      </c>
      <c r="J4" s="2360">
        <v>400000</v>
      </c>
      <c r="K4" s="2369">
        <v>0.05</v>
      </c>
      <c r="L4" s="2370">
        <v>0.23</v>
      </c>
      <c r="M4" s="2367" t="s">
        <v>34</v>
      </c>
      <c r="N4" s="2475" t="s">
        <v>6132</v>
      </c>
      <c r="O4" s="2367" t="s">
        <v>5781</v>
      </c>
      <c r="P4" s="2371" t="s">
        <v>79</v>
      </c>
      <c r="Q4" s="2356"/>
      <c r="R4" s="2581" t="s">
        <v>5850</v>
      </c>
      <c r="S4" s="2358" t="s">
        <v>729</v>
      </c>
      <c r="T4" s="2898" t="s">
        <v>6106</v>
      </c>
      <c r="U4" s="2473"/>
      <c r="V4" s="2582"/>
    </row>
    <row r="5" spans="1:22" s="2583" customFormat="1" ht="81.75" customHeight="1">
      <c r="A5" s="828">
        <v>2</v>
      </c>
      <c r="B5" s="1491" t="s">
        <v>19</v>
      </c>
      <c r="C5" s="367" t="s">
        <v>20</v>
      </c>
      <c r="D5" s="2577">
        <v>33.020000000000003</v>
      </c>
      <c r="E5" s="2474" t="s">
        <v>5946</v>
      </c>
      <c r="F5" s="830" t="s">
        <v>43</v>
      </c>
      <c r="G5" s="1820" t="s">
        <v>43</v>
      </c>
      <c r="H5" s="1820" t="s">
        <v>5949</v>
      </c>
      <c r="I5" s="1820" t="s">
        <v>5950</v>
      </c>
      <c r="J5" s="2511">
        <v>5000000</v>
      </c>
      <c r="K5" s="2576">
        <v>0.05</v>
      </c>
      <c r="L5" s="1820">
        <v>1.65</v>
      </c>
      <c r="M5" s="1820" t="s">
        <v>5084</v>
      </c>
      <c r="N5" s="1820" t="s">
        <v>49</v>
      </c>
      <c r="O5" s="1820" t="s">
        <v>5780</v>
      </c>
      <c r="P5" s="1496" t="s">
        <v>5951</v>
      </c>
      <c r="Q5" s="2907"/>
      <c r="R5" s="2587" t="s">
        <v>6108</v>
      </c>
      <c r="S5" s="2588" t="s">
        <v>6109</v>
      </c>
      <c r="T5" s="2898" t="s">
        <v>6110</v>
      </c>
      <c r="U5" s="2473"/>
      <c r="V5" s="2582"/>
    </row>
    <row r="6" spans="1:22" s="2583" customFormat="1" ht="56.5" customHeight="1">
      <c r="A6" s="828">
        <v>3</v>
      </c>
      <c r="B6" s="2361" t="s">
        <v>19</v>
      </c>
      <c r="C6" s="1491" t="s">
        <v>20</v>
      </c>
      <c r="D6" s="2362">
        <v>5</v>
      </c>
      <c r="E6" s="1207" t="s">
        <v>5817</v>
      </c>
      <c r="F6" s="830" t="s">
        <v>43</v>
      </c>
      <c r="G6" s="1820" t="s">
        <v>43</v>
      </c>
      <c r="H6" s="2363" t="s">
        <v>5994</v>
      </c>
      <c r="I6" s="2363" t="s">
        <v>5995</v>
      </c>
      <c r="J6" s="861">
        <v>150000</v>
      </c>
      <c r="K6" s="862">
        <v>0.03</v>
      </c>
      <c r="L6" s="829">
        <v>0.15</v>
      </c>
      <c r="M6" s="1820" t="s">
        <v>61</v>
      </c>
      <c r="N6" s="1821" t="s">
        <v>5996</v>
      </c>
      <c r="O6" s="1820" t="s">
        <v>5780</v>
      </c>
      <c r="P6" s="1496" t="s">
        <v>5710</v>
      </c>
      <c r="Q6" s="2356" t="s">
        <v>5845</v>
      </c>
      <c r="R6" s="2581" t="s">
        <v>5846</v>
      </c>
      <c r="S6" s="2358" t="s">
        <v>5830</v>
      </c>
      <c r="T6" s="2898" t="s">
        <v>6111</v>
      </c>
      <c r="U6" s="2473"/>
      <c r="V6" s="2582"/>
    </row>
    <row r="7" spans="1:22" s="2583" customFormat="1" ht="59.25" customHeight="1">
      <c r="A7" s="828">
        <v>4</v>
      </c>
      <c r="B7" s="1491" t="s">
        <v>63</v>
      </c>
      <c r="C7" s="367" t="s">
        <v>20</v>
      </c>
      <c r="D7" s="2577">
        <v>27.54</v>
      </c>
      <c r="E7" s="1207" t="s">
        <v>5936</v>
      </c>
      <c r="F7" s="830" t="s">
        <v>75</v>
      </c>
      <c r="G7" s="1820" t="s">
        <v>5938</v>
      </c>
      <c r="H7" s="1820" t="s">
        <v>6134</v>
      </c>
      <c r="I7" s="1820" t="s">
        <v>6133</v>
      </c>
      <c r="J7" s="2575">
        <v>3754721</v>
      </c>
      <c r="K7" s="2576">
        <v>0.05</v>
      </c>
      <c r="L7" s="1820">
        <v>1.37</v>
      </c>
      <c r="M7" s="1820" t="s">
        <v>5939</v>
      </c>
      <c r="N7" s="2578" t="s">
        <v>6135</v>
      </c>
      <c r="O7" s="1820" t="s">
        <v>5781</v>
      </c>
      <c r="P7" s="1496" t="s">
        <v>5940</v>
      </c>
      <c r="Q7" s="2907"/>
      <c r="R7" s="2587"/>
      <c r="S7" s="2494"/>
      <c r="T7" s="2898" t="s">
        <v>6107</v>
      </c>
      <c r="U7" s="2473"/>
      <c r="V7" s="2582"/>
    </row>
    <row r="8" spans="1:22" s="2583" customFormat="1" ht="67.150000000000006" customHeight="1">
      <c r="A8" s="828">
        <v>5</v>
      </c>
      <c r="B8" s="1491" t="s">
        <v>63</v>
      </c>
      <c r="C8" s="1491" t="s">
        <v>68</v>
      </c>
      <c r="D8" s="2355">
        <v>0.67</v>
      </c>
      <c r="E8" s="1207" t="s">
        <v>6136</v>
      </c>
      <c r="F8" s="830" t="s">
        <v>43</v>
      </c>
      <c r="G8" s="1820" t="s">
        <v>43</v>
      </c>
      <c r="H8" s="2363" t="s">
        <v>6034</v>
      </c>
      <c r="I8" s="2363" t="s">
        <v>6035</v>
      </c>
      <c r="J8" s="861">
        <v>134660</v>
      </c>
      <c r="K8" s="862">
        <v>0.1</v>
      </c>
      <c r="L8" s="829">
        <v>6.7000000000000004E-2</v>
      </c>
      <c r="M8" s="1820" t="s">
        <v>83</v>
      </c>
      <c r="N8" s="1820" t="s">
        <v>49</v>
      </c>
      <c r="O8" s="1820" t="s">
        <v>5781</v>
      </c>
      <c r="P8" s="1496" t="s">
        <v>5710</v>
      </c>
      <c r="Q8" s="2356"/>
      <c r="R8" s="2581"/>
      <c r="S8" s="2358"/>
      <c r="T8" s="2898"/>
      <c r="U8" s="2473"/>
      <c r="V8" s="2582"/>
    </row>
    <row r="9" spans="1:22" ht="91.5" customHeight="1">
      <c r="A9" s="828">
        <v>6</v>
      </c>
      <c r="B9" s="2361" t="s">
        <v>45</v>
      </c>
      <c r="C9" s="1491" t="s">
        <v>20</v>
      </c>
      <c r="D9" s="2470">
        <v>50</v>
      </c>
      <c r="E9" s="2862" t="s">
        <v>80</v>
      </c>
      <c r="F9" s="2863" t="s">
        <v>81</v>
      </c>
      <c r="G9" s="2863" t="s">
        <v>82</v>
      </c>
      <c r="H9" s="2863" t="s">
        <v>5960</v>
      </c>
      <c r="I9" s="2863" t="s">
        <v>5962</v>
      </c>
      <c r="J9" s="2360">
        <v>5000000</v>
      </c>
      <c r="K9" s="2864">
        <v>0.1</v>
      </c>
      <c r="L9" s="2865">
        <v>5</v>
      </c>
      <c r="M9" s="2866" t="s">
        <v>83</v>
      </c>
      <c r="N9" s="2867" t="s">
        <v>5961</v>
      </c>
      <c r="O9" s="2866" t="s">
        <v>5781</v>
      </c>
      <c r="P9" s="2913" t="s">
        <v>84</v>
      </c>
      <c r="Q9" s="2908" t="s">
        <v>114</v>
      </c>
      <c r="R9" s="2471" t="s">
        <v>6114</v>
      </c>
      <c r="S9" s="2472" t="s">
        <v>6112</v>
      </c>
      <c r="T9" s="2895" t="s">
        <v>6113</v>
      </c>
    </row>
    <row r="10" spans="1:22" s="2583" customFormat="1" ht="117" customHeight="1">
      <c r="A10" s="828">
        <v>7</v>
      </c>
      <c r="B10" s="1491" t="s">
        <v>45</v>
      </c>
      <c r="C10" s="1491" t="s">
        <v>20</v>
      </c>
      <c r="D10" s="2355">
        <v>16</v>
      </c>
      <c r="E10" s="1207" t="s">
        <v>85</v>
      </c>
      <c r="F10" s="830" t="s">
        <v>86</v>
      </c>
      <c r="G10" s="1820" t="s">
        <v>87</v>
      </c>
      <c r="H10" s="1820" t="s">
        <v>6083</v>
      </c>
      <c r="I10" s="1820" t="s">
        <v>6084</v>
      </c>
      <c r="J10" s="861">
        <v>3200000</v>
      </c>
      <c r="K10" s="862">
        <v>0.05</v>
      </c>
      <c r="L10" s="829">
        <v>0.8</v>
      </c>
      <c r="M10" s="1820" t="s">
        <v>34</v>
      </c>
      <c r="N10" s="1821" t="s">
        <v>6085</v>
      </c>
      <c r="O10" s="1820" t="s">
        <v>5780</v>
      </c>
      <c r="P10" s="1496" t="s">
        <v>89</v>
      </c>
      <c r="Q10" s="2356" t="s">
        <v>6115</v>
      </c>
      <c r="R10" s="2581" t="s">
        <v>5878</v>
      </c>
      <c r="S10" s="2358"/>
      <c r="T10" s="2898" t="s">
        <v>6116</v>
      </c>
      <c r="U10" s="2473"/>
      <c r="V10" s="2582"/>
    </row>
    <row r="11" spans="1:22" s="2583" customFormat="1" ht="91.5" customHeight="1">
      <c r="A11" s="828">
        <v>8</v>
      </c>
      <c r="B11" s="1491" t="s">
        <v>19</v>
      </c>
      <c r="C11" s="1491" t="s">
        <v>29</v>
      </c>
      <c r="D11" s="2355">
        <v>7.5</v>
      </c>
      <c r="E11" s="1207" t="s">
        <v>30</v>
      </c>
      <c r="F11" s="830" t="s">
        <v>31</v>
      </c>
      <c r="G11" s="1820" t="s">
        <v>32</v>
      </c>
      <c r="H11" s="1820" t="s">
        <v>6079</v>
      </c>
      <c r="I11" s="1820" t="s">
        <v>6080</v>
      </c>
      <c r="J11" s="861">
        <v>1500000</v>
      </c>
      <c r="K11" s="862">
        <v>0.03</v>
      </c>
      <c r="L11" s="829">
        <v>0.22</v>
      </c>
      <c r="M11" s="1820" t="s">
        <v>34</v>
      </c>
      <c r="N11" s="1821" t="s">
        <v>6081</v>
      </c>
      <c r="O11" s="1820" t="s">
        <v>5780</v>
      </c>
      <c r="P11" s="1496" t="s">
        <v>35</v>
      </c>
      <c r="Q11" s="2356" t="s">
        <v>36</v>
      </c>
      <c r="R11" s="2581" t="s">
        <v>37</v>
      </c>
      <c r="S11" s="2358" t="s">
        <v>5841</v>
      </c>
      <c r="T11" s="2898" t="s">
        <v>6117</v>
      </c>
      <c r="U11" s="2473"/>
      <c r="V11" s="2582"/>
    </row>
    <row r="12" spans="1:22" s="2583" customFormat="1" ht="99.75" customHeight="1">
      <c r="A12" s="828">
        <v>9</v>
      </c>
      <c r="B12" s="1491" t="s">
        <v>19</v>
      </c>
      <c r="C12" s="1491" t="s">
        <v>29</v>
      </c>
      <c r="D12" s="2355">
        <v>4.5</v>
      </c>
      <c r="E12" s="1207" t="s">
        <v>38</v>
      </c>
      <c r="F12" s="830" t="s">
        <v>31</v>
      </c>
      <c r="G12" s="1820" t="s">
        <v>32</v>
      </c>
      <c r="H12" s="1820" t="s">
        <v>6079</v>
      </c>
      <c r="I12" s="1820" t="s">
        <v>6080</v>
      </c>
      <c r="J12" s="861">
        <v>900000</v>
      </c>
      <c r="K12" s="862">
        <v>0.03</v>
      </c>
      <c r="L12" s="829">
        <v>0.13</v>
      </c>
      <c r="M12" s="1820" t="s">
        <v>34</v>
      </c>
      <c r="N12" s="1821" t="s">
        <v>6081</v>
      </c>
      <c r="O12" s="1820" t="s">
        <v>5780</v>
      </c>
      <c r="P12" s="1496" t="s">
        <v>35</v>
      </c>
      <c r="Q12" s="2356" t="s">
        <v>36</v>
      </c>
      <c r="R12" s="2581" t="s">
        <v>37</v>
      </c>
      <c r="S12" s="2358" t="s">
        <v>5841</v>
      </c>
      <c r="T12" s="2898" t="s">
        <v>6117</v>
      </c>
      <c r="U12" s="2473"/>
      <c r="V12" s="2582"/>
    </row>
    <row r="13" spans="1:22" s="2583" customFormat="1" ht="59.25" customHeight="1">
      <c r="A13" s="828">
        <v>10</v>
      </c>
      <c r="B13" s="1491" t="s">
        <v>45</v>
      </c>
      <c r="C13" s="367" t="s">
        <v>68</v>
      </c>
      <c r="D13" s="2577">
        <v>17.5</v>
      </c>
      <c r="E13" s="1207" t="s">
        <v>6023</v>
      </c>
      <c r="F13" s="1818" t="s">
        <v>43</v>
      </c>
      <c r="G13" s="1820" t="s">
        <v>43</v>
      </c>
      <c r="H13" s="2363" t="s">
        <v>6025</v>
      </c>
      <c r="I13" s="2363" t="s">
        <v>6026</v>
      </c>
      <c r="J13" s="2575">
        <v>3501000</v>
      </c>
      <c r="K13" s="2576">
        <v>0.05</v>
      </c>
      <c r="L13" s="1820">
        <v>0.87</v>
      </c>
      <c r="M13" s="1820" t="s">
        <v>5235</v>
      </c>
      <c r="N13" s="1820" t="s">
        <v>49</v>
      </c>
      <c r="O13" s="1820" t="s">
        <v>5781</v>
      </c>
      <c r="P13" s="1496" t="s">
        <v>6028</v>
      </c>
      <c r="Q13" s="2909" t="s">
        <v>6126</v>
      </c>
      <c r="R13" s="2905" t="s">
        <v>6127</v>
      </c>
      <c r="S13" s="2494"/>
      <c r="T13" s="2898"/>
      <c r="U13" s="2473"/>
      <c r="V13" s="2582"/>
    </row>
    <row r="14" spans="1:22" s="2583" customFormat="1" ht="59.25" customHeight="1">
      <c r="A14" s="828">
        <v>11</v>
      </c>
      <c r="B14" s="2918" t="s">
        <v>45</v>
      </c>
      <c r="C14" s="2606" t="s">
        <v>68</v>
      </c>
      <c r="D14" s="2919">
        <v>352</v>
      </c>
      <c r="E14" s="2920" t="s">
        <v>6001</v>
      </c>
      <c r="F14" s="2921" t="s">
        <v>22</v>
      </c>
      <c r="G14" s="2922" t="s">
        <v>6002</v>
      </c>
      <c r="H14" s="2922" t="s">
        <v>6003</v>
      </c>
      <c r="I14" s="2922" t="s">
        <v>6004</v>
      </c>
      <c r="J14" s="2923">
        <v>36257266</v>
      </c>
      <c r="K14" s="2924">
        <v>0.05</v>
      </c>
      <c r="L14" s="2922">
        <v>17.600000000000001</v>
      </c>
      <c r="M14" s="2922" t="s">
        <v>5974</v>
      </c>
      <c r="N14" s="2925" t="s">
        <v>6005</v>
      </c>
      <c r="O14" s="2922" t="s">
        <v>5781</v>
      </c>
      <c r="P14" s="2926" t="s">
        <v>6029</v>
      </c>
      <c r="Q14" s="2909" t="s">
        <v>6128</v>
      </c>
      <c r="R14" s="2587" t="s">
        <v>6129</v>
      </c>
      <c r="S14" s="2494"/>
      <c r="T14" s="2898"/>
      <c r="U14" s="2473"/>
      <c r="V14" s="2582"/>
    </row>
    <row r="15" spans="1:22" s="2583" customFormat="1" ht="241.5" customHeight="1" thickBot="1">
      <c r="A15" s="828">
        <v>12</v>
      </c>
      <c r="B15" s="1491" t="s">
        <v>19</v>
      </c>
      <c r="C15" s="1491" t="s">
        <v>68</v>
      </c>
      <c r="D15" s="2355">
        <v>3.5</v>
      </c>
      <c r="E15" s="1207" t="s">
        <v>6098</v>
      </c>
      <c r="F15" s="1818" t="s">
        <v>22</v>
      </c>
      <c r="G15" s="1820" t="s">
        <v>6097</v>
      </c>
      <c r="H15" s="1820" t="s">
        <v>6096</v>
      </c>
      <c r="I15" s="1820" t="s">
        <v>6099</v>
      </c>
      <c r="J15" s="861">
        <v>700000</v>
      </c>
      <c r="K15" s="862">
        <v>0.05</v>
      </c>
      <c r="L15" s="829">
        <v>0.17499999999999999</v>
      </c>
      <c r="M15" s="1820" t="s">
        <v>1156</v>
      </c>
      <c r="N15" s="1820" t="s">
        <v>49</v>
      </c>
      <c r="O15" s="1820" t="s">
        <v>5781</v>
      </c>
      <c r="P15" s="1496" t="s">
        <v>5710</v>
      </c>
      <c r="Q15" s="2356"/>
      <c r="R15" s="2581" t="s">
        <v>6162</v>
      </c>
      <c r="S15" s="2358"/>
      <c r="T15" s="2898"/>
      <c r="U15" s="2473"/>
      <c r="V15" s="2582"/>
    </row>
    <row r="16" spans="1:22" s="2478" customFormat="1" ht="45" customHeight="1" thickBot="1">
      <c r="A16" s="2994" t="s">
        <v>104</v>
      </c>
      <c r="B16" s="2995"/>
      <c r="C16" s="2995"/>
      <c r="D16" s="2927">
        <f>SUM(D4:D15)</f>
        <v>521.93000000000006</v>
      </c>
      <c r="E16" s="2995"/>
      <c r="F16" s="2995"/>
      <c r="G16" s="2995"/>
      <c r="H16" s="2995"/>
      <c r="I16" s="2995"/>
      <c r="J16" s="2928">
        <f>SUM(J4:J15)</f>
        <v>60497647</v>
      </c>
      <c r="K16" s="2929"/>
      <c r="L16" s="2930">
        <f>SUM(L4:L15)</f>
        <v>28.262000000000004</v>
      </c>
      <c r="M16" s="2997"/>
      <c r="N16" s="2997"/>
      <c r="O16" s="2997"/>
      <c r="P16" s="2998"/>
      <c r="Q16" s="2909"/>
      <c r="R16" s="2587"/>
      <c r="S16" s="2588"/>
      <c r="T16" s="2895"/>
      <c r="V16" s="2586"/>
    </row>
    <row r="17" spans="1:22" ht="36.75" customHeight="1">
      <c r="A17" s="2999" t="s">
        <v>105</v>
      </c>
      <c r="B17" s="3000"/>
      <c r="C17" s="3000"/>
      <c r="D17" s="3000"/>
      <c r="E17" s="3000"/>
      <c r="F17" s="3000"/>
      <c r="G17" s="3000"/>
      <c r="H17" s="3000"/>
      <c r="I17" s="3000"/>
      <c r="J17" s="3000"/>
      <c r="K17" s="3000"/>
      <c r="L17" s="3000"/>
      <c r="M17" s="3000"/>
      <c r="N17" s="3000"/>
      <c r="O17" s="3000"/>
      <c r="P17" s="3001"/>
      <c r="Q17" s="2909"/>
      <c r="R17" s="2587"/>
      <c r="S17" s="2588"/>
      <c r="T17" s="2895"/>
    </row>
    <row r="18" spans="1:22" s="2583" customFormat="1" ht="161.25" customHeight="1">
      <c r="A18" s="828">
        <v>13</v>
      </c>
      <c r="B18" s="2361" t="s">
        <v>45</v>
      </c>
      <c r="C18" s="1491" t="s">
        <v>20</v>
      </c>
      <c r="D18" s="2883">
        <v>115</v>
      </c>
      <c r="E18" s="2884" t="s">
        <v>5764</v>
      </c>
      <c r="F18" s="2885" t="s">
        <v>5714</v>
      </c>
      <c r="G18" s="2886" t="s">
        <v>5713</v>
      </c>
      <c r="H18" s="2887" t="s">
        <v>6086</v>
      </c>
      <c r="I18" s="2887" t="s">
        <v>6087</v>
      </c>
      <c r="J18" s="2888">
        <v>23000000</v>
      </c>
      <c r="K18" s="2889">
        <v>0.05</v>
      </c>
      <c r="L18" s="2890">
        <f>D18*K18</f>
        <v>5.75</v>
      </c>
      <c r="M18" s="2886" t="s">
        <v>34</v>
      </c>
      <c r="N18" s="2891" t="s">
        <v>6088</v>
      </c>
      <c r="O18" s="2886" t="s">
        <v>5780</v>
      </c>
      <c r="P18" s="2914" t="s">
        <v>5959</v>
      </c>
      <c r="Q18" s="2356" t="s">
        <v>5856</v>
      </c>
      <c r="R18" s="2357" t="s">
        <v>5857</v>
      </c>
      <c r="S18" s="2358" t="s">
        <v>5858</v>
      </c>
      <c r="T18" s="2898" t="s">
        <v>5859</v>
      </c>
      <c r="U18" s="2473"/>
      <c r="V18" s="2582"/>
    </row>
    <row r="19" spans="1:22" s="2583" customFormat="1" ht="73.150000000000006" customHeight="1" thickBot="1">
      <c r="A19" s="2917">
        <v>14</v>
      </c>
      <c r="B19" s="2918" t="s">
        <v>19</v>
      </c>
      <c r="C19" s="2918" t="s">
        <v>20</v>
      </c>
      <c r="D19" s="2931">
        <v>25</v>
      </c>
      <c r="E19" s="2932" t="s">
        <v>5879</v>
      </c>
      <c r="F19" s="2933" t="s">
        <v>5882</v>
      </c>
      <c r="G19" s="2934" t="s">
        <v>5742</v>
      </c>
      <c r="H19" s="2934" t="s">
        <v>5881</v>
      </c>
      <c r="I19" s="2934" t="s">
        <v>5884</v>
      </c>
      <c r="J19" s="2935">
        <v>5000000</v>
      </c>
      <c r="K19" s="2936">
        <v>0.03</v>
      </c>
      <c r="L19" s="2937">
        <v>0.75</v>
      </c>
      <c r="M19" s="2934" t="s">
        <v>5883</v>
      </c>
      <c r="N19" s="2938" t="s">
        <v>5928</v>
      </c>
      <c r="O19" s="2934" t="s">
        <v>5781</v>
      </c>
      <c r="P19" s="2939" t="s">
        <v>753</v>
      </c>
      <c r="Q19" s="2356" t="s">
        <v>6122</v>
      </c>
      <c r="R19" s="2581" t="s">
        <v>6124</v>
      </c>
      <c r="S19" s="2358" t="s">
        <v>6125</v>
      </c>
      <c r="T19" s="2898" t="s">
        <v>6123</v>
      </c>
      <c r="U19" s="2473"/>
      <c r="V19" s="2582"/>
    </row>
    <row r="20" spans="1:22" ht="57" customHeight="1" thickBot="1">
      <c r="A20" s="2996" t="s">
        <v>118</v>
      </c>
      <c r="B20" s="2976"/>
      <c r="C20" s="2976"/>
      <c r="D20" s="2940">
        <f>SUM(D18:D19)</f>
        <v>140</v>
      </c>
      <c r="E20" s="2976"/>
      <c r="F20" s="2976"/>
      <c r="G20" s="2976"/>
      <c r="H20" s="2976"/>
      <c r="I20" s="2976"/>
      <c r="J20" s="2941">
        <f>SUM(J18:J19)</f>
        <v>28000000</v>
      </c>
      <c r="K20" s="2942"/>
      <c r="L20" s="2943">
        <f>SUM(L18:L19)</f>
        <v>6.5</v>
      </c>
      <c r="M20" s="3002"/>
      <c r="N20" s="3002"/>
      <c r="O20" s="3002"/>
      <c r="P20" s="3003"/>
      <c r="Q20" s="2909"/>
      <c r="R20" s="2587"/>
      <c r="S20" s="2588"/>
      <c r="T20" s="2895"/>
    </row>
    <row r="21" spans="1:22" s="2583" customFormat="1" ht="49.15" customHeight="1" thickBot="1">
      <c r="A21" s="2985" t="s">
        <v>6158</v>
      </c>
      <c r="B21" s="2986"/>
      <c r="C21" s="2986"/>
      <c r="D21" s="2986"/>
      <c r="E21" s="2986"/>
      <c r="F21" s="2986"/>
      <c r="G21" s="2986"/>
      <c r="H21" s="2986"/>
      <c r="I21" s="2986"/>
      <c r="J21" s="2986"/>
      <c r="K21" s="2986"/>
      <c r="L21" s="2986"/>
      <c r="M21" s="2986"/>
      <c r="N21" s="2986"/>
      <c r="O21" s="2986"/>
      <c r="P21" s="2987"/>
      <c r="Q21" s="2907"/>
      <c r="R21" s="2580" t="s">
        <v>130</v>
      </c>
      <c r="S21" s="2494"/>
      <c r="T21" s="2899"/>
      <c r="U21" s="2473"/>
      <c r="V21" s="2582"/>
    </row>
    <row r="22" spans="1:22" s="2583" customFormat="1" ht="93.75" customHeight="1">
      <c r="A22" s="828">
        <v>15</v>
      </c>
      <c r="B22" s="1491" t="s">
        <v>45</v>
      </c>
      <c r="C22" s="1491" t="s">
        <v>20</v>
      </c>
      <c r="D22" s="2640">
        <v>2.5</v>
      </c>
      <c r="E22" s="2648" t="s">
        <v>5871</v>
      </c>
      <c r="F22" s="2649" t="s">
        <v>43</v>
      </c>
      <c r="G22" s="2650" t="s">
        <v>43</v>
      </c>
      <c r="H22" s="2650" t="s">
        <v>5987</v>
      </c>
      <c r="I22" s="2650" t="s">
        <v>5988</v>
      </c>
      <c r="J22" s="2643">
        <v>500000</v>
      </c>
      <c r="K22" s="2651">
        <v>0.03</v>
      </c>
      <c r="L22" s="2652">
        <v>7.4999999999999997E-2</v>
      </c>
      <c r="M22" s="2650" t="s">
        <v>5872</v>
      </c>
      <c r="N22" s="2653" t="s">
        <v>6142</v>
      </c>
      <c r="O22" s="2650" t="s">
        <v>5780</v>
      </c>
      <c r="P22" s="2654" t="s">
        <v>28</v>
      </c>
      <c r="Q22" s="2356"/>
      <c r="R22" s="2581"/>
      <c r="S22" s="2358"/>
      <c r="T22" s="2899" t="s">
        <v>5851</v>
      </c>
      <c r="U22" s="2473"/>
      <c r="V22" s="2582"/>
    </row>
    <row r="23" spans="1:22" s="2583" customFormat="1" ht="91.5" customHeight="1">
      <c r="A23" s="2626">
        <v>16</v>
      </c>
      <c r="B23" s="2297" t="s">
        <v>45</v>
      </c>
      <c r="C23" s="2297" t="s">
        <v>68</v>
      </c>
      <c r="D23" s="2950">
        <v>2.62</v>
      </c>
      <c r="E23" s="2951" t="s">
        <v>6054</v>
      </c>
      <c r="F23" s="2952" t="s">
        <v>43</v>
      </c>
      <c r="G23" s="2953" t="s">
        <v>43</v>
      </c>
      <c r="H23" s="2953" t="s">
        <v>6139</v>
      </c>
      <c r="I23" s="2953" t="s">
        <v>6140</v>
      </c>
      <c r="J23" s="2954">
        <v>524279</v>
      </c>
      <c r="K23" s="2955">
        <v>0.05</v>
      </c>
      <c r="L23" s="2956">
        <v>0.13100000000000001</v>
      </c>
      <c r="M23" s="2953" t="s">
        <v>6073</v>
      </c>
      <c r="N23" s="2978" t="s">
        <v>6141</v>
      </c>
      <c r="O23" s="2978"/>
      <c r="P23" s="2957" t="s">
        <v>89</v>
      </c>
      <c r="Q23" s="2356"/>
      <c r="R23" s="2581"/>
      <c r="S23" s="2358"/>
      <c r="T23" s="2898"/>
      <c r="U23" s="2473"/>
      <c r="V23" s="2582"/>
    </row>
    <row r="24" spans="1:22" s="2583" customFormat="1" ht="93.65" customHeight="1">
      <c r="A24" s="828">
        <v>17</v>
      </c>
      <c r="B24" s="2361" t="s">
        <v>45</v>
      </c>
      <c r="C24" s="1491" t="s">
        <v>68</v>
      </c>
      <c r="D24" s="2659">
        <v>102.8</v>
      </c>
      <c r="E24" s="2648" t="s">
        <v>6144</v>
      </c>
      <c r="F24" s="2657" t="s">
        <v>6145</v>
      </c>
      <c r="G24" s="2650" t="s">
        <v>3804</v>
      </c>
      <c r="H24" s="2650" t="s">
        <v>6151</v>
      </c>
      <c r="I24" s="2650" t="s">
        <v>6150</v>
      </c>
      <c r="J24" s="2643">
        <v>10400000</v>
      </c>
      <c r="K24" s="2651">
        <v>0.05</v>
      </c>
      <c r="L24" s="2652">
        <v>5.14</v>
      </c>
      <c r="M24" s="2650" t="s">
        <v>6147</v>
      </c>
      <c r="N24" s="2975" t="s">
        <v>6149</v>
      </c>
      <c r="O24" s="2975"/>
      <c r="P24" s="2916" t="s">
        <v>6146</v>
      </c>
      <c r="Q24" s="2356"/>
      <c r="R24" s="2581"/>
      <c r="S24" s="2358"/>
      <c r="T24" s="2898"/>
      <c r="U24" s="2473"/>
      <c r="V24" s="2582"/>
    </row>
    <row r="25" spans="1:22" s="2583" customFormat="1" ht="99" customHeight="1">
      <c r="A25" s="2626">
        <v>18</v>
      </c>
      <c r="B25" s="2361" t="s">
        <v>45</v>
      </c>
      <c r="C25" s="1491" t="s">
        <v>20</v>
      </c>
      <c r="D25" s="2659">
        <v>14.01</v>
      </c>
      <c r="E25" s="2648" t="s">
        <v>46</v>
      </c>
      <c r="F25" s="2657" t="s">
        <v>47</v>
      </c>
      <c r="G25" s="2650" t="s">
        <v>48</v>
      </c>
      <c r="H25" s="2861" t="s">
        <v>5926</v>
      </c>
      <c r="I25" s="2861" t="s">
        <v>5927</v>
      </c>
      <c r="J25" s="2643">
        <v>3000000</v>
      </c>
      <c r="K25" s="2651">
        <v>0.05</v>
      </c>
      <c r="L25" s="2652">
        <v>0.7</v>
      </c>
      <c r="M25" s="2650" t="s">
        <v>34</v>
      </c>
      <c r="N25" s="2653" t="s">
        <v>5925</v>
      </c>
      <c r="O25" s="2650" t="s">
        <v>5781</v>
      </c>
      <c r="P25" s="2654" t="s">
        <v>5958</v>
      </c>
      <c r="Q25" s="2356" t="s">
        <v>5847</v>
      </c>
      <c r="R25" s="2581" t="s">
        <v>5848</v>
      </c>
      <c r="S25" s="2358" t="s">
        <v>5849</v>
      </c>
      <c r="T25" s="2898" t="s">
        <v>6118</v>
      </c>
      <c r="U25" s="2473"/>
      <c r="V25" s="2582"/>
    </row>
    <row r="26" spans="1:22" s="2583" customFormat="1" ht="59.25" customHeight="1">
      <c r="A26" s="828">
        <v>19</v>
      </c>
      <c r="B26" s="1491" t="s">
        <v>63</v>
      </c>
      <c r="C26" s="367" t="s">
        <v>68</v>
      </c>
      <c r="D26" s="2874">
        <v>22.76</v>
      </c>
      <c r="E26" s="2648" t="s">
        <v>5972</v>
      </c>
      <c r="F26" s="2657" t="s">
        <v>22</v>
      </c>
      <c r="G26" s="2650" t="s">
        <v>96</v>
      </c>
      <c r="H26" s="2650" t="s">
        <v>6104</v>
      </c>
      <c r="I26" s="2650" t="s">
        <v>6105</v>
      </c>
      <c r="J26" s="2875">
        <v>4553000</v>
      </c>
      <c r="K26" s="2658">
        <v>0.05</v>
      </c>
      <c r="L26" s="2650">
        <v>1.1359999999999999</v>
      </c>
      <c r="M26" s="2650" t="s">
        <v>5974</v>
      </c>
      <c r="N26" s="2975" t="s">
        <v>6103</v>
      </c>
      <c r="O26" s="2975"/>
      <c r="P26" s="2654" t="s">
        <v>5975</v>
      </c>
      <c r="Q26" s="2907"/>
      <c r="R26" s="2587"/>
      <c r="S26" s="2494"/>
      <c r="T26" s="2898"/>
      <c r="U26" s="2473"/>
      <c r="V26" s="2582"/>
    </row>
    <row r="27" spans="1:22" s="2583" customFormat="1" ht="102.75" customHeight="1">
      <c r="A27" s="2626">
        <v>20</v>
      </c>
      <c r="B27" s="1491" t="s">
        <v>45</v>
      </c>
      <c r="C27" s="1491" t="s">
        <v>68</v>
      </c>
      <c r="D27" s="2659">
        <v>170</v>
      </c>
      <c r="E27" s="2660" t="s">
        <v>6052</v>
      </c>
      <c r="F27" s="2649" t="s">
        <v>6062</v>
      </c>
      <c r="G27" s="2650" t="s">
        <v>5750</v>
      </c>
      <c r="H27" s="2650" t="s">
        <v>6137</v>
      </c>
      <c r="I27" s="2650" t="s">
        <v>6138</v>
      </c>
      <c r="J27" s="2892">
        <v>17000000</v>
      </c>
      <c r="K27" s="2651">
        <v>0.05</v>
      </c>
      <c r="L27" s="2652">
        <v>8.5</v>
      </c>
      <c r="M27" s="2650" t="s">
        <v>61</v>
      </c>
      <c r="N27" s="2975" t="s">
        <v>6092</v>
      </c>
      <c r="O27" s="2975"/>
      <c r="P27" s="2654" t="s">
        <v>6063</v>
      </c>
      <c r="Q27" s="2356"/>
      <c r="R27" s="2581"/>
      <c r="S27" s="2358"/>
      <c r="T27" s="2898"/>
      <c r="U27" s="2473"/>
      <c r="V27" s="2582"/>
    </row>
    <row r="28" spans="1:22" s="2583" customFormat="1" ht="59.25" customHeight="1">
      <c r="A28" s="828">
        <v>21</v>
      </c>
      <c r="B28" s="1491" t="s">
        <v>45</v>
      </c>
      <c r="C28" s="367" t="s">
        <v>20</v>
      </c>
      <c r="D28" s="2650" t="s">
        <v>68</v>
      </c>
      <c r="E28" s="2648" t="s">
        <v>135</v>
      </c>
      <c r="F28" s="2649" t="s">
        <v>75</v>
      </c>
      <c r="G28" s="2650" t="s">
        <v>136</v>
      </c>
      <c r="H28" s="2650" t="s">
        <v>6089</v>
      </c>
      <c r="I28" s="2650" t="s">
        <v>6090</v>
      </c>
      <c r="J28" s="2650" t="s">
        <v>68</v>
      </c>
      <c r="K28" s="2658" t="s">
        <v>68</v>
      </c>
      <c r="L28" s="2650" t="s">
        <v>68</v>
      </c>
      <c r="M28" s="2650" t="s">
        <v>68</v>
      </c>
      <c r="N28" s="2975" t="s">
        <v>6091</v>
      </c>
      <c r="O28" s="2975"/>
      <c r="P28" s="2654" t="s">
        <v>41</v>
      </c>
      <c r="Q28" s="2907"/>
      <c r="R28" s="2587"/>
      <c r="S28" s="2494"/>
      <c r="T28" s="2898"/>
      <c r="U28" s="2473"/>
      <c r="V28" s="2582"/>
    </row>
    <row r="29" spans="1:22" s="2583" customFormat="1" ht="133.5" customHeight="1">
      <c r="A29" s="2626">
        <v>22</v>
      </c>
      <c r="B29" s="1491" t="s">
        <v>68</v>
      </c>
      <c r="C29" s="1491" t="s">
        <v>68</v>
      </c>
      <c r="D29" s="2640">
        <v>2.5</v>
      </c>
      <c r="E29" s="2648" t="s">
        <v>6093</v>
      </c>
      <c r="F29" s="2657" t="s">
        <v>6067</v>
      </c>
      <c r="G29" s="2650" t="s">
        <v>6066</v>
      </c>
      <c r="H29" s="2650" t="s">
        <v>6003</v>
      </c>
      <c r="I29" s="2650" t="s">
        <v>6143</v>
      </c>
      <c r="J29" s="2643">
        <v>500000</v>
      </c>
      <c r="K29" s="2651">
        <v>0.03</v>
      </c>
      <c r="L29" s="2652">
        <v>7.4999999999999997E-2</v>
      </c>
      <c r="M29" s="2650" t="s">
        <v>6070</v>
      </c>
      <c r="N29" s="2975" t="s">
        <v>6160</v>
      </c>
      <c r="O29" s="2975"/>
      <c r="P29" s="2654" t="s">
        <v>6100</v>
      </c>
      <c r="Q29" s="2356"/>
      <c r="R29" s="2581"/>
      <c r="S29" s="2358"/>
      <c r="T29" s="2898"/>
      <c r="U29" s="2473"/>
      <c r="V29" s="2582"/>
    </row>
    <row r="30" spans="1:22" s="2583" customFormat="1" ht="111.75" customHeight="1">
      <c r="A30" s="828">
        <v>23</v>
      </c>
      <c r="B30" s="1491" t="s">
        <v>68</v>
      </c>
      <c r="C30" s="1491" t="s">
        <v>68</v>
      </c>
      <c r="D30" s="2640">
        <v>2.5</v>
      </c>
      <c r="E30" s="2648" t="s">
        <v>6069</v>
      </c>
      <c r="F30" s="2657" t="s">
        <v>6067</v>
      </c>
      <c r="G30" s="2650" t="s">
        <v>6066</v>
      </c>
      <c r="H30" s="2650" t="s">
        <v>6003</v>
      </c>
      <c r="I30" s="2650" t="s">
        <v>6143</v>
      </c>
      <c r="J30" s="2643">
        <v>500000</v>
      </c>
      <c r="K30" s="2651">
        <v>0.03</v>
      </c>
      <c r="L30" s="2652">
        <v>7.4999999999999997E-2</v>
      </c>
      <c r="M30" s="2650" t="s">
        <v>6071</v>
      </c>
      <c r="N30" s="2975" t="s">
        <v>6161</v>
      </c>
      <c r="O30" s="2975"/>
      <c r="P30" s="2654" t="s">
        <v>98</v>
      </c>
      <c r="Q30" s="2356"/>
      <c r="R30" s="2581"/>
      <c r="S30" s="2358"/>
      <c r="T30" s="2898"/>
      <c r="U30" s="2473"/>
      <c r="V30" s="2582"/>
    </row>
    <row r="31" spans="1:22" s="2583" customFormat="1" ht="97.5" customHeight="1">
      <c r="A31" s="2626">
        <v>24</v>
      </c>
      <c r="B31" s="1491" t="s">
        <v>68</v>
      </c>
      <c r="C31" s="1491" t="s">
        <v>68</v>
      </c>
      <c r="D31" s="2640">
        <v>2.5</v>
      </c>
      <c r="E31" s="2648" t="s">
        <v>6075</v>
      </c>
      <c r="F31" s="2657" t="s">
        <v>6067</v>
      </c>
      <c r="G31" s="2650" t="s">
        <v>6066</v>
      </c>
      <c r="H31" s="2650" t="s">
        <v>6003</v>
      </c>
      <c r="I31" s="2650" t="s">
        <v>6143</v>
      </c>
      <c r="J31" s="2643">
        <v>500000</v>
      </c>
      <c r="K31" s="2651">
        <v>0.03</v>
      </c>
      <c r="L31" s="2652">
        <v>7.4999999999999997E-2</v>
      </c>
      <c r="M31" s="2650" t="s">
        <v>6071</v>
      </c>
      <c r="N31" s="2975" t="s">
        <v>6161</v>
      </c>
      <c r="O31" s="2975"/>
      <c r="P31" s="2654" t="s">
        <v>98</v>
      </c>
      <c r="Q31" s="2356"/>
      <c r="R31" s="2581"/>
      <c r="S31" s="2358"/>
      <c r="T31" s="2898"/>
      <c r="U31" s="2473"/>
      <c r="V31" s="2582"/>
    </row>
    <row r="32" spans="1:22" ht="87" customHeight="1">
      <c r="A32" s="828">
        <v>25</v>
      </c>
      <c r="B32" s="2361" t="s">
        <v>51</v>
      </c>
      <c r="C32" s="2361" t="s">
        <v>20</v>
      </c>
      <c r="D32" s="2652">
        <v>400</v>
      </c>
      <c r="E32" s="2660" t="s">
        <v>52</v>
      </c>
      <c r="F32" s="2859">
        <v>45996.625</v>
      </c>
      <c r="G32" s="2650" t="s">
        <v>53</v>
      </c>
      <c r="H32" s="2860" t="s">
        <v>6077</v>
      </c>
      <c r="I32" s="2860" t="s">
        <v>6078</v>
      </c>
      <c r="J32" s="2643">
        <v>40000000</v>
      </c>
      <c r="K32" s="2651">
        <v>0.05</v>
      </c>
      <c r="L32" s="2652">
        <v>20</v>
      </c>
      <c r="M32" s="2650" t="s">
        <v>54</v>
      </c>
      <c r="N32" s="2653" t="s">
        <v>6082</v>
      </c>
      <c r="O32" s="2650" t="s">
        <v>5781</v>
      </c>
      <c r="P32" s="2916" t="s">
        <v>55</v>
      </c>
      <c r="Q32" s="2911" t="s">
        <v>56</v>
      </c>
      <c r="R32" s="2902" t="s">
        <v>5732</v>
      </c>
      <c r="S32" s="2584" t="s">
        <v>57</v>
      </c>
      <c r="T32" s="2895" t="s">
        <v>6121</v>
      </c>
    </row>
    <row r="33" spans="1:22" s="2590" customFormat="1" ht="51.65" customHeight="1" thickBot="1">
      <c r="A33" s="2626">
        <v>26</v>
      </c>
      <c r="B33" s="2944" t="s">
        <v>45</v>
      </c>
      <c r="C33" s="2606"/>
      <c r="D33" s="2945"/>
      <c r="E33" s="2635" t="s">
        <v>137</v>
      </c>
      <c r="F33" s="2613" t="s">
        <v>68</v>
      </c>
      <c r="G33" s="2607" t="s">
        <v>138</v>
      </c>
      <c r="H33" s="2945"/>
      <c r="I33" s="2945"/>
      <c r="J33" s="2946"/>
      <c r="K33" s="2947"/>
      <c r="L33" s="2945"/>
      <c r="M33" s="2945"/>
      <c r="N33" s="2977"/>
      <c r="O33" s="2977"/>
      <c r="P33" s="2948"/>
      <c r="Q33" s="2909"/>
      <c r="R33" s="2587"/>
      <c r="S33" s="2588"/>
      <c r="T33" s="2899"/>
      <c r="U33" s="2478"/>
      <c r="V33" s="2589"/>
    </row>
    <row r="34" spans="1:22" s="2590" customFormat="1" ht="52.9" customHeight="1" thickBot="1">
      <c r="A34" s="2996" t="s">
        <v>118</v>
      </c>
      <c r="B34" s="2976"/>
      <c r="C34" s="2940"/>
      <c r="D34" s="2940">
        <f>SUM(D22:D33)</f>
        <v>722.19</v>
      </c>
      <c r="E34" s="2976"/>
      <c r="F34" s="2976"/>
      <c r="G34" s="2976"/>
      <c r="H34" s="2976"/>
      <c r="I34" s="2976"/>
      <c r="J34" s="2941">
        <f>SUM(J22:J33)</f>
        <v>77477279</v>
      </c>
      <c r="K34" s="2942"/>
      <c r="L34" s="2949">
        <f>SUM(L22:L33)</f>
        <v>35.906999999999996</v>
      </c>
      <c r="M34" s="3002"/>
      <c r="N34" s="3002"/>
      <c r="O34" s="3002"/>
      <c r="P34" s="3003"/>
      <c r="Q34" s="2909"/>
      <c r="R34" s="2587"/>
      <c r="S34" s="2588"/>
      <c r="T34" s="2899"/>
      <c r="U34" s="2478"/>
      <c r="V34" s="2589"/>
    </row>
    <row r="35" spans="1:22" s="2590" customFormat="1" ht="36.65" customHeight="1">
      <c r="A35" s="3006" t="s">
        <v>139</v>
      </c>
      <c r="B35" s="3007"/>
      <c r="C35" s="3007"/>
      <c r="D35" s="3007"/>
      <c r="E35" s="3007"/>
      <c r="F35" s="3007"/>
      <c r="G35" s="3007"/>
      <c r="H35" s="3007"/>
      <c r="I35" s="3007"/>
      <c r="J35" s="3007"/>
      <c r="K35" s="3007"/>
      <c r="L35" s="3007"/>
      <c r="M35" s="3007"/>
      <c r="N35" s="3007"/>
      <c r="O35" s="3007"/>
      <c r="P35" s="3007"/>
      <c r="Q35" s="2588"/>
      <c r="R35" s="2587"/>
      <c r="S35" s="2588"/>
      <c r="T35" s="2899"/>
      <c r="U35" s="2478"/>
      <c r="V35" s="2589"/>
    </row>
    <row r="36" spans="1:22" s="2590" customFormat="1" ht="97.5" customHeight="1">
      <c r="A36" s="2900" t="s">
        <v>5744</v>
      </c>
      <c r="B36" s="3004" t="s">
        <v>2</v>
      </c>
      <c r="C36" s="3004"/>
      <c r="D36" s="3005" t="s">
        <v>5</v>
      </c>
      <c r="E36" s="3005"/>
      <c r="F36" s="2894" t="s">
        <v>140</v>
      </c>
      <c r="G36" s="2893" t="s">
        <v>141</v>
      </c>
      <c r="H36" s="2893" t="s">
        <v>7</v>
      </c>
      <c r="I36" s="2893" t="s">
        <v>142</v>
      </c>
      <c r="J36" s="2893" t="s">
        <v>143</v>
      </c>
      <c r="K36" s="2893" t="s">
        <v>144</v>
      </c>
      <c r="L36" s="2893" t="s">
        <v>145</v>
      </c>
      <c r="M36" s="2893" t="s">
        <v>146</v>
      </c>
      <c r="N36" s="2893" t="s">
        <v>147</v>
      </c>
      <c r="O36" s="3004" t="s">
        <v>148</v>
      </c>
      <c r="P36" s="3004"/>
      <c r="Q36" s="2588"/>
      <c r="R36" s="2587"/>
      <c r="S36" s="2588"/>
      <c r="T36" s="2899"/>
      <c r="U36" s="2478"/>
      <c r="V36" s="2589"/>
    </row>
    <row r="41" spans="1:22" s="2583" customFormat="1" ht="52.9" customHeight="1">
      <c r="A41" s="2473"/>
      <c r="B41" s="2473"/>
      <c r="C41" s="2473"/>
      <c r="D41" s="2473"/>
      <c r="E41" s="2473"/>
      <c r="F41" s="2473"/>
      <c r="G41" s="2473"/>
      <c r="H41" s="2473"/>
      <c r="I41" s="2473"/>
      <c r="J41" s="2473"/>
      <c r="K41" s="2473"/>
      <c r="L41" s="2473"/>
      <c r="M41" s="2480"/>
      <c r="N41" s="2473"/>
      <c r="O41" s="2478"/>
      <c r="P41" s="2594"/>
      <c r="Q41" s="2473"/>
      <c r="R41" s="2509"/>
      <c r="S41" s="2473"/>
      <c r="T41" s="2477"/>
      <c r="U41" s="2473"/>
      <c r="V41" s="2582"/>
    </row>
    <row r="42" spans="1:22" s="2583" customFormat="1" ht="52.9" customHeight="1">
      <c r="A42" s="2473"/>
      <c r="B42" s="2473"/>
      <c r="C42" s="2473"/>
      <c r="D42" s="2473"/>
      <c r="E42" s="2473"/>
      <c r="F42" s="2473"/>
      <c r="G42" s="2473"/>
      <c r="H42" s="2473"/>
      <c r="I42" s="2473"/>
      <c r="J42" s="2473"/>
      <c r="K42" s="2473"/>
      <c r="L42" s="2473"/>
      <c r="M42" s="2480"/>
      <c r="N42" s="2473"/>
      <c r="O42" s="2478"/>
      <c r="P42" s="2594"/>
      <c r="Q42" s="2473"/>
      <c r="R42" s="2509"/>
      <c r="S42" s="2473"/>
      <c r="T42" s="2477"/>
      <c r="U42" s="2473"/>
      <c r="V42" s="2582"/>
    </row>
    <row r="43" spans="1:22" s="2583" customFormat="1" ht="52.9" customHeight="1">
      <c r="A43" s="2473"/>
      <c r="B43" s="2473"/>
      <c r="C43" s="2473"/>
      <c r="D43" s="2473"/>
      <c r="E43" s="2473"/>
      <c r="F43" s="2473"/>
      <c r="G43" s="2473"/>
      <c r="H43" s="2473"/>
      <c r="I43" s="2473"/>
      <c r="J43" s="2473"/>
      <c r="K43" s="2473"/>
      <c r="L43" s="2473"/>
      <c r="M43" s="2480"/>
      <c r="N43" s="2473"/>
      <c r="O43" s="2478"/>
      <c r="P43" s="2594"/>
      <c r="Q43" s="2473"/>
      <c r="R43" s="2509"/>
      <c r="S43" s="2473"/>
      <c r="T43" s="2477"/>
      <c r="U43" s="2473"/>
      <c r="V43" s="2582"/>
    </row>
    <row r="44" spans="1:22" s="2583" customFormat="1" ht="52.9" customHeight="1">
      <c r="A44" s="2473"/>
      <c r="B44" s="2473"/>
      <c r="C44" s="2473"/>
      <c r="D44" s="2473"/>
      <c r="E44" s="2473"/>
      <c r="F44" s="2473"/>
      <c r="G44" s="2473"/>
      <c r="H44" s="2473"/>
      <c r="I44" s="2473"/>
      <c r="J44" s="2473"/>
      <c r="K44" s="2473"/>
      <c r="L44" s="2473"/>
      <c r="M44" s="2480"/>
      <c r="N44" s="2473"/>
      <c r="O44" s="2478"/>
      <c r="P44" s="2594"/>
      <c r="Q44" s="2473"/>
      <c r="R44" s="2509"/>
      <c r="S44" s="2473"/>
      <c r="T44" s="2477"/>
      <c r="U44" s="2473"/>
      <c r="V44" s="2582"/>
    </row>
    <row r="45" spans="1:22" s="2583" customFormat="1" ht="52.9" customHeight="1">
      <c r="A45" s="2473"/>
      <c r="B45" s="2473"/>
      <c r="C45" s="2473"/>
      <c r="D45" s="2473"/>
      <c r="E45" s="2473"/>
      <c r="F45" s="2473"/>
      <c r="G45" s="2473"/>
      <c r="H45" s="2473"/>
      <c r="I45" s="2473"/>
      <c r="J45" s="2473"/>
      <c r="K45" s="2473"/>
      <c r="L45" s="2473"/>
      <c r="M45" s="2480"/>
      <c r="N45" s="2473"/>
      <c r="O45" s="2478"/>
      <c r="P45" s="2594"/>
      <c r="Q45" s="2473"/>
      <c r="R45" s="2509"/>
      <c r="S45" s="2473"/>
      <c r="T45" s="2477"/>
      <c r="U45" s="2473"/>
      <c r="V45" s="2582"/>
    </row>
    <row r="46" spans="1:22" s="2583" customFormat="1" ht="52.9" customHeight="1">
      <c r="A46" s="2473"/>
      <c r="B46" s="2473"/>
      <c r="C46" s="2473"/>
      <c r="D46" s="2473"/>
      <c r="E46" s="2473"/>
      <c r="F46" s="2473"/>
      <c r="G46" s="2473"/>
      <c r="H46" s="2473"/>
      <c r="I46" s="2473"/>
      <c r="J46" s="2473"/>
      <c r="K46" s="2473"/>
      <c r="L46" s="2473"/>
      <c r="M46" s="2480"/>
      <c r="N46" s="2473"/>
      <c r="O46" s="2478"/>
      <c r="P46" s="2594"/>
      <c r="Q46" s="2473"/>
      <c r="R46" s="2509"/>
      <c r="S46" s="2473"/>
      <c r="T46" s="2477"/>
      <c r="U46" s="2473"/>
      <c r="V46" s="2582"/>
    </row>
    <row r="47" spans="1:22" s="2583" customFormat="1" ht="52.9" customHeight="1">
      <c r="A47" s="2473"/>
      <c r="B47" s="2473"/>
      <c r="C47" s="2473"/>
      <c r="D47" s="2473"/>
      <c r="E47" s="2473"/>
      <c r="F47" s="2473"/>
      <c r="G47" s="2473"/>
      <c r="H47" s="2473"/>
      <c r="I47" s="2473"/>
      <c r="J47" s="2473"/>
      <c r="K47" s="2473"/>
      <c r="L47" s="2473"/>
      <c r="M47" s="2480"/>
      <c r="N47" s="2473"/>
      <c r="O47" s="2478"/>
      <c r="P47" s="2594"/>
      <c r="Q47" s="2473"/>
      <c r="R47" s="2509"/>
      <c r="S47" s="2473"/>
      <c r="T47" s="2477"/>
      <c r="U47" s="2473"/>
      <c r="V47" s="2582"/>
    </row>
    <row r="48" spans="1:22" s="2583" customFormat="1" ht="52.9" customHeight="1">
      <c r="A48" s="2473"/>
      <c r="B48" s="2473"/>
      <c r="C48" s="2473"/>
      <c r="D48" s="2473"/>
      <c r="E48" s="2473"/>
      <c r="F48" s="2473"/>
      <c r="G48" s="2473"/>
      <c r="H48" s="2473"/>
      <c r="I48" s="2473"/>
      <c r="J48" s="2473"/>
      <c r="K48" s="2473"/>
      <c r="L48" s="2473"/>
      <c r="M48" s="2480"/>
      <c r="N48" s="2473"/>
      <c r="O48" s="2478"/>
      <c r="P48" s="2594"/>
      <c r="Q48" s="2473"/>
      <c r="R48" s="2509"/>
      <c r="S48" s="2473"/>
      <c r="T48" s="2477"/>
      <c r="U48" s="2473"/>
      <c r="V48" s="2582"/>
    </row>
    <row r="49" spans="1:22">
      <c r="V49" s="2595"/>
    </row>
    <row r="50" spans="1:22" s="2579" customFormat="1" ht="27.65" customHeight="1">
      <c r="A50" s="2473"/>
      <c r="B50" s="2473"/>
      <c r="C50" s="2473"/>
      <c r="D50" s="2473"/>
      <c r="E50" s="2473"/>
      <c r="F50" s="2473"/>
      <c r="G50" s="2473"/>
      <c r="H50" s="2473"/>
      <c r="I50" s="2473"/>
      <c r="J50" s="2473"/>
      <c r="K50" s="2473"/>
      <c r="L50" s="2473"/>
      <c r="M50" s="2480"/>
      <c r="N50" s="2473"/>
      <c r="O50" s="2478"/>
      <c r="P50" s="2594"/>
      <c r="Q50" s="2596"/>
      <c r="R50" s="2904"/>
      <c r="S50" s="2596"/>
      <c r="T50" s="2597"/>
    </row>
    <row r="51" spans="1:22" s="2478" customFormat="1" ht="95.5" customHeight="1">
      <c r="A51" s="2473"/>
      <c r="B51" s="2473"/>
      <c r="C51" s="2473"/>
      <c r="D51" s="2473"/>
      <c r="E51" s="2473"/>
      <c r="F51" s="2473"/>
      <c r="G51" s="2473"/>
      <c r="H51" s="2473"/>
      <c r="I51" s="2473"/>
      <c r="J51" s="2473"/>
      <c r="K51" s="2473"/>
      <c r="L51" s="2473"/>
      <c r="M51" s="2480"/>
      <c r="N51" s="2473"/>
      <c r="P51" s="2594"/>
      <c r="R51" s="2509"/>
      <c r="T51" s="2585"/>
    </row>
    <row r="52" spans="1:22" ht="51.65" customHeight="1"/>
    <row r="53" spans="1:22" ht="51.65" customHeight="1"/>
  </sheetData>
  <mergeCells count="28">
    <mergeCell ref="O36:P36"/>
    <mergeCell ref="B36:C36"/>
    <mergeCell ref="D36:E36"/>
    <mergeCell ref="A35:P35"/>
    <mergeCell ref="A34:B34"/>
    <mergeCell ref="M34:P34"/>
    <mergeCell ref="N23:O23"/>
    <mergeCell ref="N29:O29"/>
    <mergeCell ref="N30:O30"/>
    <mergeCell ref="T1:T2"/>
    <mergeCell ref="Q1:S2"/>
    <mergeCell ref="A21:P21"/>
    <mergeCell ref="A1:P1"/>
    <mergeCell ref="A2:P2"/>
    <mergeCell ref="A16:C16"/>
    <mergeCell ref="A20:C20"/>
    <mergeCell ref="E16:I16"/>
    <mergeCell ref="M16:P16"/>
    <mergeCell ref="A17:P17"/>
    <mergeCell ref="E20:I20"/>
    <mergeCell ref="M20:P20"/>
    <mergeCell ref="N31:O31"/>
    <mergeCell ref="N28:O28"/>
    <mergeCell ref="E34:I34"/>
    <mergeCell ref="N33:O33"/>
    <mergeCell ref="N24:O24"/>
    <mergeCell ref="N26:O26"/>
    <mergeCell ref="N27:O27"/>
  </mergeCells>
  <pageMargins left="0.11811023622047245" right="0.11811023622047245" top="0.19685039370078741" bottom="0.15748031496062992" header="0" footer="0"/>
  <pageSetup paperSize="9" scale="23" fitToHeight="0" orientation="landscape" r:id="rId1"/>
  <colBreaks count="1" manualBreakCount="1">
    <brk id="16" max="6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6"/>
  <sheetViews>
    <sheetView topLeftCell="A28" zoomScale="85" zoomScaleNormal="85" workbookViewId="0">
      <selection activeCell="E33" sqref="D33:E33"/>
    </sheetView>
  </sheetViews>
  <sheetFormatPr defaultColWidth="8.81640625" defaultRowHeight="15"/>
  <cols>
    <col min="1" max="1" width="10.453125" style="2711" customWidth="1"/>
    <col min="2" max="2" width="13.81640625" style="2714" customWidth="1"/>
    <col min="3" max="3" width="85.26953125" style="2686" customWidth="1"/>
    <col min="4" max="4" width="52.26953125" style="2686" customWidth="1"/>
    <col min="5" max="5" width="38.26953125" style="2686" customWidth="1"/>
    <col min="6" max="6" width="35" style="2714" customWidth="1"/>
    <col min="7" max="7" width="25.1796875" style="2686" customWidth="1"/>
    <col min="8" max="16384" width="8.81640625" style="2686"/>
  </cols>
  <sheetData>
    <row r="1" spans="1:6" ht="15.5" thickBot="1">
      <c r="A1" s="2683"/>
      <c r="B1" s="2684" t="s">
        <v>152</v>
      </c>
      <c r="C1" s="2684" t="s">
        <v>5</v>
      </c>
      <c r="D1" s="2684" t="s">
        <v>154</v>
      </c>
      <c r="E1" s="2684" t="s">
        <v>153</v>
      </c>
      <c r="F1" s="2685"/>
    </row>
    <row r="2" spans="1:6" ht="39" customHeight="1" thickBot="1">
      <c r="A2" s="3011"/>
      <c r="B2" s="3012"/>
      <c r="C2" s="3012"/>
      <c r="D2" s="3012"/>
      <c r="E2" s="3012"/>
      <c r="F2" s="3013"/>
    </row>
    <row r="3" spans="1:6" ht="39" customHeight="1">
      <c r="A3" s="2694"/>
      <c r="B3" s="2693">
        <v>1</v>
      </c>
      <c r="C3" s="2697" t="s">
        <v>5809</v>
      </c>
      <c r="D3" s="2698" t="s">
        <v>167</v>
      </c>
      <c r="E3" s="2693" t="s">
        <v>5808</v>
      </c>
      <c r="F3" s="2699" t="s">
        <v>6130</v>
      </c>
    </row>
    <row r="4" spans="1:6" ht="39" customHeight="1">
      <c r="B4" s="2693">
        <v>2</v>
      </c>
      <c r="C4" s="2712" t="s">
        <v>5946</v>
      </c>
      <c r="D4" s="2713" t="s">
        <v>167</v>
      </c>
      <c r="E4" s="2714" t="s">
        <v>5945</v>
      </c>
      <c r="F4" s="2715" t="s">
        <v>5948</v>
      </c>
    </row>
    <row r="5" spans="1:6" ht="39" customHeight="1">
      <c r="A5" s="2687"/>
      <c r="B5" s="2693">
        <v>3</v>
      </c>
      <c r="C5" s="2689" t="s">
        <v>5719</v>
      </c>
      <c r="D5" s="2716" t="s">
        <v>167</v>
      </c>
      <c r="E5" s="2717" t="s">
        <v>5711</v>
      </c>
      <c r="F5" s="2718" t="s">
        <v>5994</v>
      </c>
    </row>
    <row r="6" spans="1:6" ht="39" customHeight="1" thickBot="1">
      <c r="A6" s="2700"/>
      <c r="B6" s="2693">
        <v>4</v>
      </c>
      <c r="C6" s="2701" t="s">
        <v>5936</v>
      </c>
      <c r="D6" s="2702" t="s">
        <v>5937</v>
      </c>
      <c r="E6" s="2703">
        <v>145257</v>
      </c>
      <c r="F6" s="2704" t="s">
        <v>6134</v>
      </c>
    </row>
    <row r="7" spans="1:6" ht="39" customHeight="1" thickBot="1">
      <c r="A7" s="2687"/>
      <c r="B7" s="2693">
        <v>5</v>
      </c>
      <c r="C7" s="2689" t="s">
        <v>6033</v>
      </c>
      <c r="D7" s="2716" t="s">
        <v>167</v>
      </c>
      <c r="E7" s="2717" t="s">
        <v>6036</v>
      </c>
      <c r="F7" s="2718" t="s">
        <v>6034</v>
      </c>
    </row>
    <row r="8" spans="1:6" ht="39" customHeight="1">
      <c r="A8" s="2719" t="s">
        <v>6155</v>
      </c>
      <c r="B8" s="2693">
        <v>6</v>
      </c>
      <c r="C8" s="2695" t="s">
        <v>80</v>
      </c>
      <c r="D8" s="2906" t="s">
        <v>177</v>
      </c>
      <c r="E8" s="2691" t="s">
        <v>176</v>
      </c>
      <c r="F8" s="2707" t="s">
        <v>5960</v>
      </c>
    </row>
    <row r="9" spans="1:6" ht="39" customHeight="1">
      <c r="A9" s="2687"/>
      <c r="B9" s="2693">
        <v>7</v>
      </c>
      <c r="C9" s="2705" t="s">
        <v>85</v>
      </c>
      <c r="D9" s="2706" t="s">
        <v>179</v>
      </c>
      <c r="E9" s="2691" t="s">
        <v>178</v>
      </c>
      <c r="F9" s="2707" t="s">
        <v>6083</v>
      </c>
    </row>
    <row r="10" spans="1:6" ht="39" customHeight="1">
      <c r="A10" s="2687"/>
      <c r="B10" s="2693">
        <v>8</v>
      </c>
      <c r="C10" s="2689" t="s">
        <v>30</v>
      </c>
      <c r="D10" s="2690" t="s">
        <v>159</v>
      </c>
      <c r="E10" s="2691" t="s">
        <v>158</v>
      </c>
      <c r="F10" s="2692" t="s">
        <v>6079</v>
      </c>
    </row>
    <row r="11" spans="1:6" ht="39" customHeight="1">
      <c r="A11" s="2687"/>
      <c r="B11" s="2693">
        <v>9</v>
      </c>
      <c r="C11" s="2689" t="s">
        <v>38</v>
      </c>
      <c r="D11" s="2690" t="s">
        <v>159</v>
      </c>
      <c r="E11" s="2691" t="s">
        <v>160</v>
      </c>
      <c r="F11" s="2692" t="s">
        <v>6079</v>
      </c>
    </row>
    <row r="12" spans="1:6" ht="39" customHeight="1" thickBot="1">
      <c r="A12" s="2700"/>
      <c r="B12" s="2693">
        <v>10</v>
      </c>
      <c r="C12" s="2701" t="s">
        <v>6023</v>
      </c>
      <c r="D12" s="2702" t="s">
        <v>3294</v>
      </c>
      <c r="E12" s="2703" t="s">
        <v>6024</v>
      </c>
      <c r="F12" s="2704" t="s">
        <v>6025</v>
      </c>
    </row>
    <row r="13" spans="1:6" ht="39" customHeight="1" thickBot="1">
      <c r="A13" s="2700"/>
      <c r="B13" s="2693">
        <v>11</v>
      </c>
      <c r="C13" s="2720" t="s">
        <v>6001</v>
      </c>
      <c r="D13" s="2702" t="s">
        <v>6013</v>
      </c>
      <c r="E13" s="2703" t="s">
        <v>6012</v>
      </c>
      <c r="F13" s="2704" t="s">
        <v>6003</v>
      </c>
    </row>
    <row r="14" spans="1:6" s="2732" customFormat="1" ht="39" customHeight="1">
      <c r="B14" s="2693">
        <v>12</v>
      </c>
      <c r="C14" s="2961" t="s">
        <v>6094</v>
      </c>
      <c r="D14" s="2858" t="s">
        <v>167</v>
      </c>
      <c r="E14" s="2857" t="s">
        <v>6095</v>
      </c>
      <c r="F14" s="2873" t="s">
        <v>6102</v>
      </c>
    </row>
    <row r="15" spans="1:6" ht="18" customHeight="1">
      <c r="A15" s="3008"/>
      <c r="B15" s="3009"/>
      <c r="C15" s="3009"/>
      <c r="D15" s="3009"/>
      <c r="E15" s="3009"/>
      <c r="F15" s="3010"/>
    </row>
    <row r="16" spans="1:6" ht="39" customHeight="1">
      <c r="A16" s="2687"/>
      <c r="B16" s="2688">
        <v>13</v>
      </c>
      <c r="C16" s="2722" t="s">
        <v>5765</v>
      </c>
      <c r="D16" s="2716" t="s">
        <v>290</v>
      </c>
      <c r="E16" s="2717" t="s">
        <v>5712</v>
      </c>
      <c r="F16" s="2718" t="s">
        <v>6086</v>
      </c>
    </row>
    <row r="17" spans="1:7" ht="39" customHeight="1">
      <c r="A17" s="2723"/>
      <c r="B17" s="2693">
        <v>14</v>
      </c>
      <c r="C17" s="2722" t="s">
        <v>5879</v>
      </c>
      <c r="D17" s="2724" t="s">
        <v>159</v>
      </c>
      <c r="E17" s="2688" t="s">
        <v>5880</v>
      </c>
      <c r="F17" s="2725" t="s">
        <v>5881</v>
      </c>
    </row>
    <row r="18" spans="1:7" ht="18" customHeight="1">
      <c r="A18" s="3014"/>
      <c r="B18" s="3014"/>
      <c r="C18" s="3014"/>
      <c r="D18" s="3014"/>
      <c r="E18" s="3014"/>
      <c r="F18" s="3014"/>
    </row>
    <row r="19" spans="1:7" ht="39" customHeight="1">
      <c r="A19" s="2723"/>
      <c r="B19" s="2688">
        <v>16</v>
      </c>
      <c r="C19" s="2726" t="s">
        <v>5871</v>
      </c>
      <c r="D19" s="2706" t="s">
        <v>162</v>
      </c>
      <c r="E19" s="2691" t="s">
        <v>5877</v>
      </c>
      <c r="F19" s="2707" t="s">
        <v>5987</v>
      </c>
    </row>
    <row r="20" spans="1:7" ht="39" customHeight="1">
      <c r="A20" s="2687"/>
      <c r="B20" s="2688">
        <v>17</v>
      </c>
      <c r="C20" s="2872" t="s">
        <v>46</v>
      </c>
      <c r="D20" s="2708" t="s">
        <v>156</v>
      </c>
      <c r="E20" s="2709" t="s">
        <v>165</v>
      </c>
      <c r="F20" s="2710" t="s">
        <v>5926</v>
      </c>
    </row>
    <row r="21" spans="1:7" s="2732" customFormat="1" ht="39" customHeight="1">
      <c r="A21" s="2728"/>
      <c r="B21" s="2688">
        <v>18</v>
      </c>
      <c r="C21" s="2729" t="s">
        <v>6052</v>
      </c>
      <c r="D21" s="2730" t="s">
        <v>167</v>
      </c>
      <c r="E21" s="2731" t="s">
        <v>6053</v>
      </c>
      <c r="F21" s="2728" t="s">
        <v>6056</v>
      </c>
    </row>
    <row r="22" spans="1:7" s="2732" customFormat="1" ht="39" customHeight="1">
      <c r="A22" s="2728"/>
      <c r="B22" s="2688">
        <v>19</v>
      </c>
      <c r="C22" s="2729" t="s">
        <v>6054</v>
      </c>
      <c r="D22" s="2730" t="s">
        <v>6013</v>
      </c>
      <c r="E22" s="2731" t="s">
        <v>6055</v>
      </c>
      <c r="F22" s="2728"/>
    </row>
    <row r="23" spans="1:7" ht="39" customHeight="1">
      <c r="A23" s="2723"/>
      <c r="B23" s="2688">
        <v>15</v>
      </c>
      <c r="C23" s="2726" t="s">
        <v>135</v>
      </c>
      <c r="D23" s="2690" t="s">
        <v>192</v>
      </c>
      <c r="E23" s="2717" t="s">
        <v>191</v>
      </c>
      <c r="F23" s="2718" t="s">
        <v>6089</v>
      </c>
    </row>
    <row r="24" spans="1:7" s="2732" customFormat="1" ht="39" customHeight="1">
      <c r="A24" s="2728">
        <v>1</v>
      </c>
      <c r="B24" s="2688">
        <v>20</v>
      </c>
      <c r="C24" s="2729" t="s">
        <v>6093</v>
      </c>
      <c r="D24" s="2730" t="s">
        <v>159</v>
      </c>
      <c r="E24" s="2731" t="s">
        <v>6065</v>
      </c>
      <c r="F24" s="2962" t="s">
        <v>6156</v>
      </c>
    </row>
    <row r="25" spans="1:7" s="2732" customFormat="1" ht="39" customHeight="1">
      <c r="A25" s="2728">
        <v>1</v>
      </c>
      <c r="B25" s="2688">
        <v>21</v>
      </c>
      <c r="C25" s="2729" t="s">
        <v>6069</v>
      </c>
      <c r="D25" s="2730" t="s">
        <v>159</v>
      </c>
      <c r="E25" s="2731" t="s">
        <v>6068</v>
      </c>
      <c r="F25" s="2962" t="s">
        <v>6156</v>
      </c>
    </row>
    <row r="26" spans="1:7" s="2732" customFormat="1" ht="39" customHeight="1">
      <c r="A26" s="2728">
        <v>1</v>
      </c>
      <c r="B26" s="2688">
        <v>22</v>
      </c>
      <c r="C26" s="2729" t="s">
        <v>6074</v>
      </c>
      <c r="D26" s="2730" t="s">
        <v>159</v>
      </c>
      <c r="E26" s="2731" t="s">
        <v>6072</v>
      </c>
      <c r="F26" s="2962" t="s">
        <v>6156</v>
      </c>
    </row>
    <row r="27" spans="1:7" ht="39" customHeight="1">
      <c r="A27" s="2694"/>
      <c r="B27" s="2688">
        <v>23</v>
      </c>
      <c r="C27" s="2727" t="s">
        <v>52</v>
      </c>
      <c r="D27" s="2696" t="s">
        <v>168</v>
      </c>
      <c r="E27" s="2691">
        <v>247325</v>
      </c>
      <c r="F27" s="2692" t="s">
        <v>6077</v>
      </c>
    </row>
    <row r="28" spans="1:7" s="2732" customFormat="1" ht="39" customHeight="1">
      <c r="B28" s="2688">
        <v>24</v>
      </c>
      <c r="C28" s="2856" t="s">
        <v>6144</v>
      </c>
      <c r="D28" s="2858" t="s">
        <v>6148</v>
      </c>
      <c r="E28" s="2857">
        <v>186699</v>
      </c>
      <c r="F28" s="2873"/>
    </row>
    <row r="29" spans="1:7" ht="39" customHeight="1">
      <c r="A29" s="2723">
        <v>1</v>
      </c>
      <c r="B29" s="2688">
        <v>25</v>
      </c>
      <c r="C29" s="2726" t="s">
        <v>5972</v>
      </c>
      <c r="D29" s="2716" t="s">
        <v>3276</v>
      </c>
      <c r="E29" s="2717" t="s">
        <v>5973</v>
      </c>
      <c r="F29" s="2718" t="s">
        <v>6157</v>
      </c>
    </row>
    <row r="30" spans="1:7" ht="39" customHeight="1">
      <c r="A30" s="2733"/>
      <c r="B30" s="2734"/>
      <c r="C30" s="2735"/>
      <c r="D30" s="2736"/>
      <c r="E30" s="2737"/>
      <c r="F30" s="2738"/>
      <c r="G30" s="2739"/>
    </row>
    <row r="32" spans="1:7" s="2732" customFormat="1" ht="39" customHeight="1">
      <c r="A32" s="2728"/>
      <c r="B32" s="2688">
        <v>19</v>
      </c>
      <c r="C32" s="2729" t="s">
        <v>6050</v>
      </c>
      <c r="D32" s="2730" t="s">
        <v>167</v>
      </c>
      <c r="E32" s="2731" t="s">
        <v>6051</v>
      </c>
      <c r="F32" s="2752" t="s">
        <v>302</v>
      </c>
    </row>
    <row r="33" spans="1:7" ht="39" customHeight="1">
      <c r="A33" s="2723"/>
      <c r="B33" s="2688">
        <v>16</v>
      </c>
      <c r="C33" s="2727" t="s">
        <v>58</v>
      </c>
      <c r="D33" s="2706" t="s">
        <v>170</v>
      </c>
      <c r="E33" s="2691" t="s">
        <v>169</v>
      </c>
      <c r="F33" s="2800" t="s">
        <v>313</v>
      </c>
      <c r="G33" s="2707" t="s">
        <v>5971</v>
      </c>
    </row>
    <row r="34" spans="1:7" ht="39" customHeight="1" thickBot="1">
      <c r="A34" s="2700"/>
      <c r="B34" s="2693">
        <v>17</v>
      </c>
      <c r="C34" s="2701" t="s">
        <v>5932</v>
      </c>
      <c r="D34" s="2702" t="s">
        <v>170</v>
      </c>
      <c r="E34" s="2703" t="s">
        <v>5933</v>
      </c>
      <c r="F34" s="2704" t="s">
        <v>5924</v>
      </c>
      <c r="G34" s="2704" t="s">
        <v>6014</v>
      </c>
    </row>
    <row r="35" spans="1:7" ht="39" customHeight="1" thickBot="1">
      <c r="A35" s="2740"/>
      <c r="B35" s="2693">
        <v>14</v>
      </c>
      <c r="C35" s="2689" t="s">
        <v>5718</v>
      </c>
      <c r="D35" s="2716" t="s">
        <v>167</v>
      </c>
      <c r="E35" s="2717" t="s">
        <v>5708</v>
      </c>
      <c r="F35" s="2704" t="s">
        <v>5924</v>
      </c>
      <c r="G35" s="2718" t="s">
        <v>6032</v>
      </c>
    </row>
    <row r="36" spans="1:7" ht="39" customHeight="1" thickBot="1">
      <c r="A36" s="2687"/>
      <c r="B36" s="2693">
        <v>8</v>
      </c>
      <c r="C36" s="2741" t="s">
        <v>5864</v>
      </c>
      <c r="D36" s="2742" t="s">
        <v>5866</v>
      </c>
      <c r="E36" s="2743" t="s">
        <v>5865</v>
      </c>
      <c r="F36" s="2704" t="s">
        <v>5924</v>
      </c>
      <c r="G36" s="2744" t="s">
        <v>5982</v>
      </c>
    </row>
    <row r="37" spans="1:7" ht="39" customHeight="1" thickBot="1">
      <c r="A37" s="2687"/>
      <c r="B37" s="2688">
        <v>4</v>
      </c>
      <c r="C37" s="2689" t="s">
        <v>5834</v>
      </c>
      <c r="D37" s="2716" t="s">
        <v>168</v>
      </c>
      <c r="E37" s="2717">
        <v>274097</v>
      </c>
      <c r="F37" s="2704" t="s">
        <v>5924</v>
      </c>
      <c r="G37" s="2718" t="s">
        <v>5885</v>
      </c>
    </row>
    <row r="38" spans="1:7" ht="39" customHeight="1" thickBot="1">
      <c r="A38" s="2694"/>
      <c r="B38" s="2688"/>
      <c r="C38" s="2726" t="s">
        <v>6153</v>
      </c>
      <c r="D38" s="2706" t="s">
        <v>340</v>
      </c>
      <c r="E38" s="2691" t="s">
        <v>6037</v>
      </c>
      <c r="F38" s="2704" t="s">
        <v>5924</v>
      </c>
      <c r="G38" s="2692" t="s">
        <v>6038</v>
      </c>
    </row>
    <row r="39" spans="1:7" ht="39" customHeight="1" thickBot="1">
      <c r="A39" s="2740"/>
      <c r="B39" s="2789"/>
      <c r="C39" s="2958" t="s">
        <v>6154</v>
      </c>
      <c r="D39" s="2960" t="s">
        <v>340</v>
      </c>
      <c r="E39" s="2959" t="s">
        <v>6152</v>
      </c>
      <c r="F39" s="2704" t="s">
        <v>5924</v>
      </c>
      <c r="G39" s="2692" t="s">
        <v>6038</v>
      </c>
    </row>
    <row r="40" spans="1:7" ht="39" customHeight="1" thickBot="1">
      <c r="A40" s="2745"/>
      <c r="B40" s="2746"/>
      <c r="C40" s="2747" t="s">
        <v>6046</v>
      </c>
      <c r="D40" s="2748" t="s">
        <v>167</v>
      </c>
      <c r="E40" s="2749" t="s">
        <v>6047</v>
      </c>
      <c r="F40" s="2704" t="s">
        <v>5924</v>
      </c>
      <c r="G40" s="2750" t="s">
        <v>6043</v>
      </c>
    </row>
    <row r="41" spans="1:7" ht="39" customHeight="1">
      <c r="A41" s="2687"/>
      <c r="B41" s="2693">
        <v>3</v>
      </c>
      <c r="C41" s="2751" t="s">
        <v>5863</v>
      </c>
      <c r="D41" s="2742" t="s">
        <v>167</v>
      </c>
      <c r="E41" s="2743" t="s">
        <v>5862</v>
      </c>
      <c r="F41" s="2752" t="s">
        <v>302</v>
      </c>
      <c r="G41" s="2753" t="s">
        <v>5984</v>
      </c>
    </row>
    <row r="42" spans="1:7" ht="39" customHeight="1" thickBot="1">
      <c r="A42" s="2700"/>
      <c r="B42" s="2754">
        <v>23</v>
      </c>
      <c r="C42" s="2755" t="s">
        <v>6016</v>
      </c>
      <c r="D42" s="2702" t="s">
        <v>6020</v>
      </c>
      <c r="E42" s="2703" t="s">
        <v>6017</v>
      </c>
      <c r="F42" s="2704" t="s">
        <v>5924</v>
      </c>
    </row>
    <row r="43" spans="1:7" ht="39" customHeight="1" thickBot="1">
      <c r="A43" s="2700"/>
      <c r="B43" s="2754">
        <v>22</v>
      </c>
      <c r="C43" s="2755" t="s">
        <v>5980</v>
      </c>
      <c r="D43" s="2702" t="s">
        <v>156</v>
      </c>
      <c r="E43" s="2703" t="s">
        <v>5978</v>
      </c>
      <c r="F43" s="2756" t="s">
        <v>6031</v>
      </c>
      <c r="G43" s="2704" t="s">
        <v>5979</v>
      </c>
    </row>
    <row r="44" spans="1:7" ht="39" customHeight="1" thickBot="1">
      <c r="A44" s="2752"/>
      <c r="B44" s="2688">
        <v>23</v>
      </c>
      <c r="C44" s="2689" t="s">
        <v>5990</v>
      </c>
      <c r="D44" s="2698" t="s">
        <v>340</v>
      </c>
      <c r="E44" s="2693" t="s">
        <v>5991</v>
      </c>
      <c r="F44" s="2756" t="s">
        <v>6007</v>
      </c>
      <c r="G44" s="2699" t="s">
        <v>5964</v>
      </c>
    </row>
    <row r="45" spans="1:7" ht="39" customHeight="1">
      <c r="A45" s="2757">
        <v>1</v>
      </c>
      <c r="B45" s="2758">
        <v>18</v>
      </c>
      <c r="C45" s="2759" t="s">
        <v>131</v>
      </c>
      <c r="D45" s="2760" t="s">
        <v>164</v>
      </c>
      <c r="E45" s="2761" t="s">
        <v>190</v>
      </c>
      <c r="F45" s="2762" t="s">
        <v>5930</v>
      </c>
      <c r="G45" s="2752" t="s">
        <v>302</v>
      </c>
    </row>
    <row r="46" spans="1:7" ht="39" customHeight="1">
      <c r="B46" s="2688">
        <v>5</v>
      </c>
      <c r="C46" s="2763" t="s">
        <v>5793</v>
      </c>
      <c r="D46" s="2764" t="s">
        <v>192</v>
      </c>
      <c r="E46" s="2765" t="s">
        <v>5787</v>
      </c>
      <c r="F46" s="2766" t="s">
        <v>5876</v>
      </c>
      <c r="G46" s="2752" t="s">
        <v>5976</v>
      </c>
    </row>
    <row r="47" spans="1:7" ht="39" customHeight="1">
      <c r="A47" s="2767" t="s">
        <v>5977</v>
      </c>
      <c r="B47" s="2693"/>
      <c r="C47" s="2768" t="s">
        <v>193</v>
      </c>
      <c r="D47" s="2769" t="s">
        <v>162</v>
      </c>
      <c r="E47" s="2770" t="s">
        <v>194</v>
      </c>
      <c r="F47" s="2771" t="s">
        <v>283</v>
      </c>
      <c r="G47" s="2772" t="s">
        <v>196</v>
      </c>
    </row>
    <row r="48" spans="1:7" ht="39" hidden="1" customHeight="1">
      <c r="A48" s="2694">
        <v>2</v>
      </c>
      <c r="B48" s="2688"/>
      <c r="C48" s="2773" t="s">
        <v>197</v>
      </c>
      <c r="D48" s="2716" t="s">
        <v>162</v>
      </c>
      <c r="E48" s="2774" t="s">
        <v>198</v>
      </c>
      <c r="F48" s="2771" t="s">
        <v>283</v>
      </c>
      <c r="G48" s="2772" t="s">
        <v>199</v>
      </c>
    </row>
    <row r="49" spans="1:7" ht="39" hidden="1" customHeight="1">
      <c r="A49" s="2694">
        <v>3</v>
      </c>
      <c r="B49" s="2688"/>
      <c r="C49" s="2773" t="s">
        <v>200</v>
      </c>
      <c r="D49" s="2716" t="s">
        <v>162</v>
      </c>
      <c r="E49" s="2774" t="s">
        <v>201</v>
      </c>
      <c r="F49" s="2771" t="s">
        <v>283</v>
      </c>
      <c r="G49" s="2772" t="s">
        <v>202</v>
      </c>
    </row>
    <row r="50" spans="1:7" ht="39" hidden="1" customHeight="1">
      <c r="A50" s="2694">
        <v>4</v>
      </c>
      <c r="B50" s="2688"/>
      <c r="C50" s="2773" t="s">
        <v>203</v>
      </c>
      <c r="D50" s="2775" t="s">
        <v>162</v>
      </c>
      <c r="E50" s="2774" t="s">
        <v>204</v>
      </c>
      <c r="F50" s="2771" t="s">
        <v>283</v>
      </c>
      <c r="G50" s="2772" t="s">
        <v>205</v>
      </c>
    </row>
    <row r="51" spans="1:7" ht="39" hidden="1" customHeight="1">
      <c r="A51" s="2694">
        <v>5</v>
      </c>
      <c r="B51" s="2688"/>
      <c r="C51" s="2773" t="s">
        <v>206</v>
      </c>
      <c r="D51" s="2775" t="s">
        <v>162</v>
      </c>
      <c r="E51" s="2774" t="s">
        <v>207</v>
      </c>
      <c r="F51" s="2771" t="s">
        <v>283</v>
      </c>
      <c r="G51" s="2772" t="s">
        <v>208</v>
      </c>
    </row>
    <row r="52" spans="1:7" ht="39" hidden="1" customHeight="1">
      <c r="A52" s="2694">
        <v>6</v>
      </c>
      <c r="B52" s="2688"/>
      <c r="C52" s="2773" t="s">
        <v>209</v>
      </c>
      <c r="D52" s="2775" t="s">
        <v>162</v>
      </c>
      <c r="E52" s="2774" t="s">
        <v>210</v>
      </c>
      <c r="F52" s="2771" t="s">
        <v>283</v>
      </c>
      <c r="G52" s="2772" t="s">
        <v>211</v>
      </c>
    </row>
    <row r="53" spans="1:7" ht="39" hidden="1" customHeight="1">
      <c r="A53" s="2694">
        <v>7</v>
      </c>
      <c r="B53" s="2688"/>
      <c r="C53" s="2773" t="s">
        <v>212</v>
      </c>
      <c r="D53" s="2775" t="s">
        <v>162</v>
      </c>
      <c r="E53" s="2774" t="s">
        <v>213</v>
      </c>
      <c r="F53" s="2771" t="s">
        <v>283</v>
      </c>
      <c r="G53" s="2772" t="s">
        <v>214</v>
      </c>
    </row>
    <row r="54" spans="1:7" ht="39" hidden="1" customHeight="1">
      <c r="A54" s="2694">
        <v>8</v>
      </c>
      <c r="B54" s="2688"/>
      <c r="C54" s="2773" t="s">
        <v>215</v>
      </c>
      <c r="D54" s="2775" t="s">
        <v>162</v>
      </c>
      <c r="E54" s="2774" t="s">
        <v>216</v>
      </c>
      <c r="F54" s="2771" t="s">
        <v>283</v>
      </c>
      <c r="G54" s="2772" t="s">
        <v>217</v>
      </c>
    </row>
    <row r="55" spans="1:7" ht="39" hidden="1" customHeight="1">
      <c r="A55" s="2694">
        <v>9</v>
      </c>
      <c r="B55" s="2688"/>
      <c r="C55" s="2773" t="s">
        <v>218</v>
      </c>
      <c r="D55" s="2775" t="s">
        <v>162</v>
      </c>
      <c r="E55" s="2774" t="s">
        <v>219</v>
      </c>
      <c r="F55" s="2771" t="s">
        <v>283</v>
      </c>
      <c r="G55" s="2772" t="s">
        <v>220</v>
      </c>
    </row>
    <row r="56" spans="1:7" ht="39" hidden="1" customHeight="1">
      <c r="A56" s="2694">
        <v>10</v>
      </c>
      <c r="B56" s="2688"/>
      <c r="C56" s="2773" t="s">
        <v>221</v>
      </c>
      <c r="D56" s="2775" t="s">
        <v>162</v>
      </c>
      <c r="E56" s="2774" t="s">
        <v>222</v>
      </c>
      <c r="F56" s="2771" t="s">
        <v>283</v>
      </c>
      <c r="G56" s="2772" t="s">
        <v>223</v>
      </c>
    </row>
    <row r="57" spans="1:7" ht="39" hidden="1" customHeight="1">
      <c r="A57" s="2694">
        <v>11</v>
      </c>
      <c r="B57" s="2688"/>
      <c r="C57" s="2773" t="s">
        <v>224</v>
      </c>
      <c r="D57" s="2775" t="s">
        <v>162</v>
      </c>
      <c r="E57" s="2774" t="s">
        <v>225</v>
      </c>
      <c r="F57" s="2771" t="s">
        <v>283</v>
      </c>
      <c r="G57" s="2772" t="s">
        <v>226</v>
      </c>
    </row>
    <row r="58" spans="1:7" ht="39" hidden="1" customHeight="1">
      <c r="A58" s="2694">
        <v>12</v>
      </c>
      <c r="B58" s="2688"/>
      <c r="C58" s="2773" t="s">
        <v>227</v>
      </c>
      <c r="D58" s="2775" t="s">
        <v>162</v>
      </c>
      <c r="E58" s="2774" t="s">
        <v>228</v>
      </c>
      <c r="F58" s="2771" t="s">
        <v>283</v>
      </c>
      <c r="G58" s="2772" t="s">
        <v>229</v>
      </c>
    </row>
    <row r="59" spans="1:7" ht="39" hidden="1" customHeight="1">
      <c r="A59" s="2694">
        <v>13</v>
      </c>
      <c r="B59" s="2688"/>
      <c r="C59" s="2773" t="s">
        <v>230</v>
      </c>
      <c r="D59" s="2775" t="s">
        <v>162</v>
      </c>
      <c r="E59" s="2774" t="s">
        <v>231</v>
      </c>
      <c r="F59" s="2771" t="s">
        <v>283</v>
      </c>
      <c r="G59" s="2772" t="s">
        <v>232</v>
      </c>
    </row>
    <row r="60" spans="1:7" ht="39" hidden="1" customHeight="1">
      <c r="A60" s="2694">
        <v>14</v>
      </c>
      <c r="B60" s="2688"/>
      <c r="C60" s="2773" t="s">
        <v>233</v>
      </c>
      <c r="D60" s="2775" t="s">
        <v>162</v>
      </c>
      <c r="E60" s="2774" t="s">
        <v>234</v>
      </c>
      <c r="F60" s="2771" t="s">
        <v>283</v>
      </c>
      <c r="G60" s="2772" t="s">
        <v>235</v>
      </c>
    </row>
    <row r="61" spans="1:7" ht="39" hidden="1" customHeight="1">
      <c r="A61" s="2694">
        <v>15</v>
      </c>
      <c r="B61" s="2688"/>
      <c r="C61" s="2773" t="s">
        <v>236</v>
      </c>
      <c r="D61" s="2775" t="s">
        <v>162</v>
      </c>
      <c r="E61" s="2774" t="s">
        <v>237</v>
      </c>
      <c r="F61" s="2771" t="s">
        <v>283</v>
      </c>
      <c r="G61" s="2772" t="s">
        <v>238</v>
      </c>
    </row>
    <row r="62" spans="1:7" ht="39" hidden="1" customHeight="1">
      <c r="A62" s="2694">
        <v>16</v>
      </c>
      <c r="B62" s="2688"/>
      <c r="C62" s="2773" t="s">
        <v>239</v>
      </c>
      <c r="D62" s="2775" t="s">
        <v>162</v>
      </c>
      <c r="E62" s="2774" t="s">
        <v>240</v>
      </c>
      <c r="F62" s="2771" t="s">
        <v>283</v>
      </c>
      <c r="G62" s="2772" t="s">
        <v>241</v>
      </c>
    </row>
    <row r="63" spans="1:7" ht="39" hidden="1" customHeight="1">
      <c r="A63" s="2694">
        <v>17</v>
      </c>
      <c r="B63" s="2688"/>
      <c r="C63" s="2773" t="s">
        <v>242</v>
      </c>
      <c r="D63" s="2775" t="s">
        <v>162</v>
      </c>
      <c r="E63" s="2774" t="s">
        <v>243</v>
      </c>
      <c r="F63" s="2771" t="s">
        <v>283</v>
      </c>
      <c r="G63" s="2772" t="s">
        <v>244</v>
      </c>
    </row>
    <row r="64" spans="1:7" ht="39" hidden="1" customHeight="1">
      <c r="A64" s="2694">
        <v>18</v>
      </c>
      <c r="B64" s="2688"/>
      <c r="C64" s="2773" t="s">
        <v>245</v>
      </c>
      <c r="D64" s="2775" t="s">
        <v>162</v>
      </c>
      <c r="E64" s="2774" t="s">
        <v>246</v>
      </c>
      <c r="F64" s="2771" t="s">
        <v>283</v>
      </c>
      <c r="G64" s="2772" t="s">
        <v>247</v>
      </c>
    </row>
    <row r="65" spans="1:7" ht="39" hidden="1" customHeight="1">
      <c r="A65" s="2694">
        <v>19</v>
      </c>
      <c r="B65" s="2688"/>
      <c r="C65" s="2773" t="s">
        <v>248</v>
      </c>
      <c r="D65" s="2775" t="s">
        <v>162</v>
      </c>
      <c r="E65" s="2774" t="s">
        <v>249</v>
      </c>
      <c r="F65" s="2771" t="s">
        <v>283</v>
      </c>
      <c r="G65" s="2772" t="s">
        <v>250</v>
      </c>
    </row>
    <row r="66" spans="1:7" ht="39" hidden="1" customHeight="1">
      <c r="A66" s="2694">
        <v>20</v>
      </c>
      <c r="B66" s="2688"/>
      <c r="C66" s="2773" t="s">
        <v>251</v>
      </c>
      <c r="D66" s="2775" t="s">
        <v>162</v>
      </c>
      <c r="E66" s="2774" t="s">
        <v>252</v>
      </c>
      <c r="F66" s="2771" t="s">
        <v>283</v>
      </c>
      <c r="G66" s="2772" t="s">
        <v>253</v>
      </c>
    </row>
    <row r="67" spans="1:7" ht="39" hidden="1" customHeight="1">
      <c r="A67" s="2694">
        <v>21</v>
      </c>
      <c r="B67" s="2688"/>
      <c r="C67" s="2773" t="s">
        <v>254</v>
      </c>
      <c r="D67" s="2775" t="s">
        <v>162</v>
      </c>
      <c r="E67" s="2774" t="s">
        <v>255</v>
      </c>
      <c r="F67" s="2771" t="s">
        <v>283</v>
      </c>
      <c r="G67" s="2772" t="s">
        <v>256</v>
      </c>
    </row>
    <row r="68" spans="1:7" ht="39" hidden="1" customHeight="1">
      <c r="A68" s="2694">
        <v>22</v>
      </c>
      <c r="B68" s="2688"/>
      <c r="C68" s="2773" t="s">
        <v>257</v>
      </c>
      <c r="D68" s="2775" t="s">
        <v>162</v>
      </c>
      <c r="E68" s="2774" t="s">
        <v>258</v>
      </c>
      <c r="F68" s="2771" t="s">
        <v>283</v>
      </c>
      <c r="G68" s="2772" t="s">
        <v>259</v>
      </c>
    </row>
    <row r="69" spans="1:7" ht="39" hidden="1" customHeight="1">
      <c r="A69" s="2694">
        <v>23</v>
      </c>
      <c r="B69" s="2688"/>
      <c r="C69" s="2773" t="s">
        <v>260</v>
      </c>
      <c r="D69" s="2775" t="s">
        <v>162</v>
      </c>
      <c r="E69" s="2774" t="s">
        <v>261</v>
      </c>
      <c r="F69" s="2771" t="s">
        <v>283</v>
      </c>
      <c r="G69" s="2772" t="s">
        <v>262</v>
      </c>
    </row>
    <row r="70" spans="1:7" ht="39" hidden="1" customHeight="1">
      <c r="A70" s="2694">
        <v>24</v>
      </c>
      <c r="B70" s="2688"/>
      <c r="C70" s="2773" t="s">
        <v>263</v>
      </c>
      <c r="D70" s="2775" t="s">
        <v>162</v>
      </c>
      <c r="E70" s="2774" t="s">
        <v>264</v>
      </c>
      <c r="F70" s="2771" t="s">
        <v>283</v>
      </c>
      <c r="G70" s="2772" t="s">
        <v>265</v>
      </c>
    </row>
    <row r="71" spans="1:7" ht="39" hidden="1" customHeight="1">
      <c r="A71" s="2694">
        <v>25</v>
      </c>
      <c r="B71" s="2688"/>
      <c r="C71" s="2773" t="s">
        <v>266</v>
      </c>
      <c r="D71" s="2775" t="s">
        <v>162</v>
      </c>
      <c r="E71" s="2774" t="s">
        <v>267</v>
      </c>
      <c r="F71" s="2771" t="s">
        <v>283</v>
      </c>
      <c r="G71" s="2772" t="s">
        <v>268</v>
      </c>
    </row>
    <row r="72" spans="1:7" ht="39" hidden="1" customHeight="1">
      <c r="A72" s="2694">
        <v>26</v>
      </c>
      <c r="B72" s="2688"/>
      <c r="C72" s="2773" t="s">
        <v>269</v>
      </c>
      <c r="D72" s="2775" t="s">
        <v>162</v>
      </c>
      <c r="E72" s="2774" t="s">
        <v>270</v>
      </c>
      <c r="F72" s="2771" t="s">
        <v>283</v>
      </c>
      <c r="G72" s="2772" t="s">
        <v>271</v>
      </c>
    </row>
    <row r="73" spans="1:7" ht="39" hidden="1" customHeight="1">
      <c r="A73" s="2694">
        <v>27</v>
      </c>
      <c r="B73" s="2688"/>
      <c r="C73" s="2773" t="s">
        <v>269</v>
      </c>
      <c r="D73" s="2775" t="s">
        <v>162</v>
      </c>
      <c r="E73" s="2774" t="s">
        <v>272</v>
      </c>
      <c r="F73" s="2771" t="s">
        <v>283</v>
      </c>
      <c r="G73" s="2772" t="s">
        <v>273</v>
      </c>
    </row>
    <row r="74" spans="1:7" ht="39" hidden="1" customHeight="1">
      <c r="A74" s="2694">
        <v>28</v>
      </c>
      <c r="B74" s="2688"/>
      <c r="C74" s="2773" t="s">
        <v>274</v>
      </c>
      <c r="D74" s="2775" t="s">
        <v>162</v>
      </c>
      <c r="E74" s="2774" t="s">
        <v>275</v>
      </c>
      <c r="F74" s="2771" t="s">
        <v>283</v>
      </c>
      <c r="G74" s="2772" t="s">
        <v>276</v>
      </c>
    </row>
    <row r="75" spans="1:7" ht="39" hidden="1" customHeight="1">
      <c r="A75" s="2694">
        <v>29</v>
      </c>
      <c r="B75" s="2688"/>
      <c r="C75" s="2773" t="s">
        <v>274</v>
      </c>
      <c r="D75" s="2775" t="s">
        <v>162</v>
      </c>
      <c r="E75" s="2774" t="s">
        <v>277</v>
      </c>
      <c r="F75" s="2771" t="s">
        <v>283</v>
      </c>
      <c r="G75" s="2772" t="s">
        <v>278</v>
      </c>
    </row>
    <row r="76" spans="1:7" ht="39" hidden="1" customHeight="1" thickBot="1">
      <c r="A76" s="2745">
        <v>30</v>
      </c>
      <c r="B76" s="2746"/>
      <c r="C76" s="2776" t="s">
        <v>279</v>
      </c>
      <c r="D76" s="2775" t="s">
        <v>162</v>
      </c>
      <c r="E76" s="2777" t="s">
        <v>280</v>
      </c>
      <c r="F76" s="2771" t="s">
        <v>283</v>
      </c>
      <c r="G76" s="2772" t="s">
        <v>196</v>
      </c>
    </row>
    <row r="77" spans="1:7" ht="39" customHeight="1">
      <c r="A77" s="2694"/>
      <c r="B77" s="2688">
        <v>19</v>
      </c>
      <c r="C77" s="2726" t="s">
        <v>120</v>
      </c>
      <c r="D77" s="2716" t="s">
        <v>159</v>
      </c>
      <c r="E77" s="2691" t="s">
        <v>187</v>
      </c>
      <c r="F77" s="2714" t="s">
        <v>5970</v>
      </c>
      <c r="G77" s="2778" t="s">
        <v>5860</v>
      </c>
    </row>
    <row r="78" spans="1:7" ht="39" customHeight="1">
      <c r="A78" s="2694"/>
      <c r="B78" s="2688">
        <v>20</v>
      </c>
      <c r="C78" s="2726" t="s">
        <v>124</v>
      </c>
      <c r="D78" s="2716" t="s">
        <v>159</v>
      </c>
      <c r="E78" s="2691" t="s">
        <v>188</v>
      </c>
      <c r="F78" s="2714" t="s">
        <v>5970</v>
      </c>
      <c r="G78" s="2778" t="s">
        <v>5860</v>
      </c>
    </row>
    <row r="79" spans="1:7" ht="39" customHeight="1" thickBot="1">
      <c r="A79" s="2700"/>
      <c r="B79" s="2754"/>
      <c r="C79" s="2755" t="s">
        <v>5918</v>
      </c>
      <c r="D79" s="2702" t="s">
        <v>181</v>
      </c>
      <c r="E79" s="2703">
        <v>26016</v>
      </c>
      <c r="F79" s="2686" t="s">
        <v>5924</v>
      </c>
      <c r="G79" s="2704" t="s">
        <v>5919</v>
      </c>
    </row>
    <row r="80" spans="1:7" ht="39" customHeight="1">
      <c r="A80" s="2694"/>
      <c r="B80" s="2688">
        <v>6</v>
      </c>
      <c r="C80" s="2697" t="s">
        <v>5814</v>
      </c>
      <c r="D80" s="2698" t="s">
        <v>167</v>
      </c>
      <c r="E80" s="2693" t="s">
        <v>5795</v>
      </c>
      <c r="F80" s="2686" t="s">
        <v>283</v>
      </c>
      <c r="G80" s="2699" t="s">
        <v>5832</v>
      </c>
    </row>
    <row r="81" spans="1:7" ht="39" customHeight="1">
      <c r="A81" s="2687"/>
      <c r="B81" s="2688">
        <v>3</v>
      </c>
      <c r="C81" s="2689" t="s">
        <v>5724</v>
      </c>
      <c r="D81" s="2716" t="s">
        <v>168</v>
      </c>
      <c r="E81" s="2717">
        <v>273579</v>
      </c>
      <c r="F81" s="2718" t="s">
        <v>5725</v>
      </c>
      <c r="G81" s="2686" t="s">
        <v>337</v>
      </c>
    </row>
    <row r="82" spans="1:7" ht="39" customHeight="1">
      <c r="A82" s="2687"/>
      <c r="B82" s="2688">
        <v>1</v>
      </c>
      <c r="C82" s="2722" t="s">
        <v>93</v>
      </c>
      <c r="D82" s="2716" t="s">
        <v>181</v>
      </c>
      <c r="E82" s="2717">
        <v>26009</v>
      </c>
      <c r="F82" s="2714" t="s">
        <v>348</v>
      </c>
      <c r="G82" s="2718" t="s">
        <v>5723</v>
      </c>
    </row>
    <row r="83" spans="1:7" ht="39" customHeight="1">
      <c r="A83" s="2687"/>
      <c r="B83" s="2688">
        <v>3</v>
      </c>
      <c r="C83" s="2763" t="s">
        <v>64</v>
      </c>
      <c r="D83" s="2764" t="s">
        <v>172</v>
      </c>
      <c r="E83" s="2765" t="s">
        <v>171</v>
      </c>
      <c r="F83" s="2714" t="s">
        <v>317</v>
      </c>
      <c r="G83" s="2692" t="s">
        <v>5704</v>
      </c>
    </row>
    <row r="84" spans="1:7" ht="39" customHeight="1">
      <c r="A84" s="2694"/>
      <c r="B84" s="2688">
        <v>8</v>
      </c>
      <c r="C84" s="2779" t="s">
        <v>5816</v>
      </c>
      <c r="D84" s="2698" t="s">
        <v>167</v>
      </c>
      <c r="E84" s="2693" t="s">
        <v>5805</v>
      </c>
      <c r="F84" s="2780" t="s">
        <v>5861</v>
      </c>
      <c r="G84" s="2699" t="s">
        <v>5806</v>
      </c>
    </row>
    <row r="85" spans="1:7" ht="39" customHeight="1">
      <c r="A85" s="2752"/>
      <c r="B85" s="2693">
        <v>19</v>
      </c>
      <c r="C85" s="2781" t="s">
        <v>5818</v>
      </c>
      <c r="D85" s="2764" t="s">
        <v>5820</v>
      </c>
      <c r="E85" s="2743" t="s">
        <v>5819</v>
      </c>
      <c r="F85" s="2782" t="s">
        <v>337</v>
      </c>
    </row>
    <row r="86" spans="1:7" ht="39" customHeight="1">
      <c r="A86" s="2752"/>
      <c r="B86" s="2693"/>
      <c r="C86" s="2781" t="s">
        <v>5888</v>
      </c>
      <c r="D86" s="2764" t="s">
        <v>5915</v>
      </c>
      <c r="E86" s="2743" t="s">
        <v>5889</v>
      </c>
      <c r="F86" s="2783" t="s">
        <v>283</v>
      </c>
    </row>
    <row r="87" spans="1:7" ht="39" customHeight="1">
      <c r="A87" s="2752"/>
      <c r="B87" s="2693"/>
      <c r="C87" s="2781" t="s">
        <v>5894</v>
      </c>
      <c r="D87" s="2764" t="s">
        <v>162</v>
      </c>
      <c r="E87" s="2743" t="s">
        <v>5898</v>
      </c>
      <c r="F87" s="2783" t="s">
        <v>283</v>
      </c>
    </row>
    <row r="88" spans="1:7" ht="39" customHeight="1">
      <c r="A88" s="2752"/>
      <c r="B88" s="2693"/>
      <c r="C88" s="2781" t="s">
        <v>5899</v>
      </c>
      <c r="D88" s="2764" t="s">
        <v>3294</v>
      </c>
      <c r="E88" s="2743" t="s">
        <v>5900</v>
      </c>
      <c r="F88" s="2783" t="s">
        <v>283</v>
      </c>
    </row>
    <row r="89" spans="1:7" ht="39" customHeight="1">
      <c r="A89" s="2752"/>
      <c r="B89" s="2693"/>
      <c r="C89" s="2781" t="s">
        <v>5903</v>
      </c>
      <c r="D89" s="2764" t="s">
        <v>162</v>
      </c>
      <c r="E89" s="2743" t="s">
        <v>5904</v>
      </c>
      <c r="F89" s="2783" t="s">
        <v>283</v>
      </c>
    </row>
    <row r="90" spans="1:7" ht="39" customHeight="1">
      <c r="A90" s="2752"/>
      <c r="B90" s="2693"/>
      <c r="C90" s="2781" t="s">
        <v>5908</v>
      </c>
      <c r="D90" s="2764" t="s">
        <v>162</v>
      </c>
      <c r="E90" s="2743" t="s">
        <v>5909</v>
      </c>
      <c r="F90" s="2783" t="s">
        <v>283</v>
      </c>
    </row>
    <row r="91" spans="1:7" ht="39" customHeight="1">
      <c r="A91" s="2752"/>
      <c r="B91" s="2693"/>
      <c r="C91" s="2781" t="s">
        <v>5913</v>
      </c>
      <c r="D91" s="2764" t="s">
        <v>167</v>
      </c>
      <c r="E91" s="2743" t="s">
        <v>5914</v>
      </c>
      <c r="F91" s="2783" t="s">
        <v>283</v>
      </c>
    </row>
    <row r="92" spans="1:7" ht="39" customHeight="1">
      <c r="A92" s="2752"/>
      <c r="B92" s="2693"/>
      <c r="C92" s="2781"/>
      <c r="D92" s="2764"/>
      <c r="E92" s="2743"/>
      <c r="F92" s="2783"/>
    </row>
    <row r="93" spans="1:7" ht="39" customHeight="1">
      <c r="A93" s="2694"/>
      <c r="B93" s="2688">
        <v>1</v>
      </c>
      <c r="C93" s="2741" t="s">
        <v>5697</v>
      </c>
      <c r="D93" s="2764" t="s">
        <v>167</v>
      </c>
      <c r="E93" s="2765" t="s">
        <v>5702</v>
      </c>
      <c r="F93" s="2714" t="s">
        <v>302</v>
      </c>
      <c r="G93" s="2692" t="s">
        <v>5754</v>
      </c>
    </row>
    <row r="94" spans="1:7" ht="39" customHeight="1">
      <c r="A94" s="2752"/>
      <c r="B94" s="2688">
        <v>14</v>
      </c>
      <c r="C94" s="2741" t="s">
        <v>5796</v>
      </c>
      <c r="D94" s="2764" t="s">
        <v>192</v>
      </c>
      <c r="E94" s="2765" t="s">
        <v>5786</v>
      </c>
      <c r="F94" s="2714" t="s">
        <v>5952</v>
      </c>
      <c r="G94" s="2784" t="s">
        <v>5791</v>
      </c>
    </row>
    <row r="95" spans="1:7" ht="26.25" customHeight="1">
      <c r="A95" s="2694"/>
      <c r="B95" s="2693">
        <v>22</v>
      </c>
      <c r="C95" s="2726" t="s">
        <v>125</v>
      </c>
      <c r="D95" s="2716" t="s">
        <v>162</v>
      </c>
      <c r="E95" s="2785" t="s">
        <v>189</v>
      </c>
      <c r="F95" s="2714" t="s">
        <v>317</v>
      </c>
      <c r="G95" s="2778" t="s">
        <v>5729</v>
      </c>
    </row>
    <row r="96" spans="1:7" ht="39" customHeight="1">
      <c r="A96" s="2694">
        <v>0</v>
      </c>
      <c r="B96" s="2688">
        <v>1</v>
      </c>
      <c r="C96" s="2695" t="s">
        <v>288</v>
      </c>
      <c r="D96" s="2786" t="s">
        <v>290</v>
      </c>
      <c r="E96" s="2688" t="s">
        <v>289</v>
      </c>
      <c r="F96" s="2714" t="s">
        <v>329</v>
      </c>
      <c r="G96" s="2787" t="s">
        <v>5772</v>
      </c>
    </row>
    <row r="97" spans="1:7" s="2739" customFormat="1" ht="39" customHeight="1">
      <c r="A97" s="2788"/>
      <c r="B97" s="2789">
        <v>19</v>
      </c>
      <c r="C97" s="2790" t="s">
        <v>39</v>
      </c>
      <c r="D97" s="2791" t="s">
        <v>162</v>
      </c>
      <c r="E97" s="2792" t="s">
        <v>161</v>
      </c>
      <c r="F97" s="2714" t="s">
        <v>5839</v>
      </c>
      <c r="G97" s="2793" t="s">
        <v>5721</v>
      </c>
    </row>
    <row r="98" spans="1:7" ht="39" customHeight="1">
      <c r="A98" s="2687"/>
      <c r="B98" s="2688">
        <v>4</v>
      </c>
      <c r="C98" s="2705" t="s">
        <v>5687</v>
      </c>
      <c r="D98" s="2794" t="s">
        <v>167</v>
      </c>
      <c r="E98" s="2691" t="s">
        <v>5689</v>
      </c>
      <c r="F98" s="2711" t="s">
        <v>5792</v>
      </c>
      <c r="G98" s="2707" t="s">
        <v>5690</v>
      </c>
    </row>
    <row r="99" spans="1:7" ht="39" customHeight="1">
      <c r="A99" s="2687"/>
      <c r="B99" s="2688">
        <v>10</v>
      </c>
      <c r="C99" s="2705" t="s">
        <v>90</v>
      </c>
      <c r="D99" s="2716" t="s">
        <v>159</v>
      </c>
      <c r="E99" s="2717" t="s">
        <v>180</v>
      </c>
      <c r="F99" s="2714" t="s">
        <v>283</v>
      </c>
      <c r="G99" s="2718" t="s">
        <v>5778</v>
      </c>
    </row>
    <row r="100" spans="1:7" ht="39" customHeight="1" thickBot="1">
      <c r="A100" s="2687"/>
      <c r="B100" s="2688">
        <v>18</v>
      </c>
      <c r="C100" s="2689" t="s">
        <v>99</v>
      </c>
      <c r="D100" s="2716" t="s">
        <v>159</v>
      </c>
      <c r="E100" s="2691" t="s">
        <v>182</v>
      </c>
      <c r="F100" s="2714" t="s">
        <v>5827</v>
      </c>
      <c r="G100" s="2718" t="s">
        <v>102</v>
      </c>
    </row>
    <row r="101" spans="1:7" ht="39" customHeight="1">
      <c r="A101" s="2694"/>
      <c r="B101" s="2688">
        <v>20</v>
      </c>
      <c r="C101" s="2795" t="s">
        <v>5762</v>
      </c>
      <c r="D101" s="2716" t="s">
        <v>173</v>
      </c>
      <c r="E101" s="2717">
        <v>123639</v>
      </c>
      <c r="F101" s="2714" t="s">
        <v>283</v>
      </c>
      <c r="G101" s="2778" t="s">
        <v>5757</v>
      </c>
    </row>
    <row r="102" spans="1:7" ht="39" customHeight="1" thickBot="1">
      <c r="A102" s="2694"/>
      <c r="B102" s="2688">
        <v>6</v>
      </c>
      <c r="C102" s="2726" t="s">
        <v>5769</v>
      </c>
      <c r="D102" s="2716" t="s">
        <v>156</v>
      </c>
      <c r="E102" s="2691" t="s">
        <v>5734</v>
      </c>
      <c r="F102" s="2714" t="s">
        <v>283</v>
      </c>
      <c r="G102" s="2778" t="s">
        <v>5760</v>
      </c>
    </row>
    <row r="103" spans="1:7" ht="39" customHeight="1">
      <c r="A103" s="2694"/>
      <c r="B103" s="2758">
        <v>7</v>
      </c>
      <c r="C103" s="2726" t="s">
        <v>5745</v>
      </c>
      <c r="D103" s="2716" t="s">
        <v>5761</v>
      </c>
      <c r="E103" s="2691" t="s">
        <v>5748</v>
      </c>
      <c r="F103" s="2714" t="s">
        <v>283</v>
      </c>
      <c r="G103" s="2778" t="s">
        <v>5749</v>
      </c>
    </row>
    <row r="104" spans="1:7" ht="39" customHeight="1" thickBot="1">
      <c r="A104" s="2745"/>
      <c r="B104" s="2688">
        <v>8</v>
      </c>
      <c r="C104" s="2747" t="s">
        <v>5737</v>
      </c>
      <c r="D104" s="2796" t="s">
        <v>3294</v>
      </c>
      <c r="E104" s="2749" t="s">
        <v>5738</v>
      </c>
      <c r="F104" s="2714" t="s">
        <v>283</v>
      </c>
      <c r="G104" s="2797" t="s">
        <v>5741</v>
      </c>
    </row>
    <row r="105" spans="1:7" ht="39" customHeight="1" thickBot="1">
      <c r="A105" s="2798"/>
      <c r="B105" s="2688">
        <v>1</v>
      </c>
      <c r="C105" s="2705" t="s">
        <v>50</v>
      </c>
      <c r="D105" s="2716" t="s">
        <v>167</v>
      </c>
      <c r="E105" s="2717" t="s">
        <v>166</v>
      </c>
      <c r="F105" s="2714" t="s">
        <v>302</v>
      </c>
      <c r="G105" s="2778" t="s">
        <v>5752</v>
      </c>
    </row>
    <row r="106" spans="1:7" ht="39" customHeight="1">
      <c r="A106" s="2694"/>
      <c r="B106" s="2688">
        <v>7</v>
      </c>
      <c r="C106" s="2799" t="s">
        <v>74</v>
      </c>
      <c r="D106" s="2791" t="s">
        <v>167</v>
      </c>
      <c r="E106" s="2792" t="s">
        <v>174</v>
      </c>
      <c r="F106" s="2800" t="s">
        <v>313</v>
      </c>
      <c r="G106" s="2793" t="s">
        <v>175</v>
      </c>
    </row>
    <row r="107" spans="1:7" ht="39" customHeight="1">
      <c r="A107" s="2801"/>
      <c r="B107" s="2688">
        <v>1</v>
      </c>
      <c r="C107" s="2705" t="s">
        <v>5691</v>
      </c>
      <c r="D107" s="2742" t="s">
        <v>159</v>
      </c>
      <c r="E107" s="2743" t="s">
        <v>5692</v>
      </c>
      <c r="F107" s="2771" t="s">
        <v>317</v>
      </c>
      <c r="G107" s="2766" t="s">
        <v>5693</v>
      </c>
    </row>
    <row r="108" spans="1:7" ht="39" customHeight="1">
      <c r="A108" s="2798"/>
      <c r="B108" s="2688">
        <v>2</v>
      </c>
      <c r="C108" s="2705" t="s">
        <v>42</v>
      </c>
      <c r="D108" s="2716" t="s">
        <v>167</v>
      </c>
      <c r="E108" s="2717" t="s">
        <v>163</v>
      </c>
      <c r="F108" s="2714" t="s">
        <v>302</v>
      </c>
      <c r="G108" s="2778" t="s">
        <v>5698</v>
      </c>
    </row>
    <row r="109" spans="1:7" ht="39" customHeight="1">
      <c r="A109" s="2740">
        <v>0</v>
      </c>
      <c r="B109" s="2789">
        <v>1</v>
      </c>
      <c r="C109" s="2802" t="s">
        <v>5947</v>
      </c>
      <c r="D109" s="2791" t="s">
        <v>167</v>
      </c>
      <c r="E109" s="2792" t="s">
        <v>185</v>
      </c>
      <c r="F109" s="2800" t="s">
        <v>313</v>
      </c>
      <c r="G109" s="2710" t="s">
        <v>186</v>
      </c>
    </row>
    <row r="110" spans="1:7" ht="39" customHeight="1">
      <c r="A110" s="2721">
        <v>0</v>
      </c>
      <c r="B110" s="2688">
        <v>1</v>
      </c>
      <c r="C110" s="2722" t="s">
        <v>183</v>
      </c>
      <c r="D110" s="2708" t="s">
        <v>159</v>
      </c>
      <c r="E110" s="2803" t="s">
        <v>184</v>
      </c>
      <c r="F110" s="2800" t="s">
        <v>313</v>
      </c>
      <c r="G110" s="2804" t="s">
        <v>107</v>
      </c>
    </row>
    <row r="111" spans="1:7" ht="39" customHeight="1">
      <c r="A111" s="2805">
        <v>46086</v>
      </c>
      <c r="B111" s="2688">
        <v>1</v>
      </c>
      <c r="C111" s="2705" t="s">
        <v>21</v>
      </c>
      <c r="D111" s="2716" t="s">
        <v>156</v>
      </c>
      <c r="E111" s="2717" t="s">
        <v>155</v>
      </c>
      <c r="F111" s="2714" t="s">
        <v>5953</v>
      </c>
      <c r="G111" s="2778" t="s">
        <v>157</v>
      </c>
    </row>
    <row r="112" spans="1:7" ht="39" customHeight="1">
      <c r="A112" s="2752">
        <v>0</v>
      </c>
      <c r="B112" s="2688">
        <v>18</v>
      </c>
      <c r="C112" s="2741" t="s">
        <v>281</v>
      </c>
      <c r="D112" s="2764" t="s">
        <v>159</v>
      </c>
      <c r="E112" s="2765" t="s">
        <v>282</v>
      </c>
      <c r="F112" s="2806" t="s">
        <v>283</v>
      </c>
      <c r="G112" s="2692" t="s">
        <v>284</v>
      </c>
    </row>
    <row r="113" spans="1:7" ht="39" customHeight="1">
      <c r="A113" s="2694">
        <v>0</v>
      </c>
      <c r="B113" s="2688">
        <v>6</v>
      </c>
      <c r="C113" s="2689" t="s">
        <v>293</v>
      </c>
      <c r="D113" s="2690" t="s">
        <v>295</v>
      </c>
      <c r="E113" s="2691" t="s">
        <v>294</v>
      </c>
      <c r="F113" s="2807" t="s">
        <v>5801</v>
      </c>
      <c r="G113" s="2787" t="s">
        <v>296</v>
      </c>
    </row>
    <row r="114" spans="1:7" ht="39" customHeight="1">
      <c r="A114" s="2694">
        <v>0</v>
      </c>
      <c r="B114" s="2688">
        <v>13</v>
      </c>
      <c r="C114" s="2705" t="s">
        <v>285</v>
      </c>
      <c r="D114" s="2690" t="s">
        <v>287</v>
      </c>
      <c r="E114" s="2774" t="s">
        <v>286</v>
      </c>
      <c r="F114" s="2806" t="s">
        <v>283</v>
      </c>
      <c r="G114" s="2692" t="s">
        <v>123</v>
      </c>
    </row>
    <row r="115" spans="1:7" ht="39" customHeight="1">
      <c r="A115" s="2752">
        <v>0</v>
      </c>
      <c r="B115" s="2688">
        <v>11</v>
      </c>
      <c r="C115" s="2695" t="s">
        <v>291</v>
      </c>
      <c r="D115" s="2698" t="s">
        <v>156</v>
      </c>
      <c r="E115" s="2693" t="s">
        <v>292</v>
      </c>
      <c r="F115" s="2806" t="s">
        <v>283</v>
      </c>
      <c r="G115" s="2699" t="s">
        <v>40</v>
      </c>
    </row>
    <row r="116" spans="1:7" ht="39" customHeight="1">
      <c r="A116" s="2694">
        <v>0</v>
      </c>
      <c r="B116" s="2688">
        <v>7</v>
      </c>
      <c r="C116" s="2689" t="s">
        <v>297</v>
      </c>
      <c r="D116" s="2716" t="s">
        <v>162</v>
      </c>
      <c r="E116" s="2691" t="s">
        <v>298</v>
      </c>
      <c r="F116" s="2806" t="s">
        <v>283</v>
      </c>
      <c r="G116" s="2699" t="s">
        <v>299</v>
      </c>
    </row>
    <row r="117" spans="1:7" ht="39" customHeight="1">
      <c r="A117" s="2798" t="s">
        <v>5800</v>
      </c>
      <c r="B117" s="2688">
        <v>1</v>
      </c>
      <c r="C117" s="2689" t="s">
        <v>300</v>
      </c>
      <c r="D117" s="2716" t="s">
        <v>156</v>
      </c>
      <c r="E117" s="2691" t="s">
        <v>301</v>
      </c>
      <c r="F117" s="2771" t="s">
        <v>5954</v>
      </c>
      <c r="G117" s="2808" t="s">
        <v>303</v>
      </c>
    </row>
    <row r="118" spans="1:7" ht="39" customHeight="1">
      <c r="A118" s="2694">
        <v>0</v>
      </c>
      <c r="B118" s="2688">
        <v>3</v>
      </c>
      <c r="C118" s="2705" t="s">
        <v>304</v>
      </c>
      <c r="D118" s="2716" t="s">
        <v>156</v>
      </c>
      <c r="E118" s="2717" t="s">
        <v>305</v>
      </c>
      <c r="F118" s="2771" t="s">
        <v>302</v>
      </c>
      <c r="G118" s="2809" t="s">
        <v>5955</v>
      </c>
    </row>
    <row r="119" spans="1:7" ht="39" customHeight="1">
      <c r="A119" s="2694"/>
      <c r="B119" s="2688"/>
      <c r="C119" s="2726" t="s">
        <v>306</v>
      </c>
      <c r="D119" s="2716" t="s">
        <v>167</v>
      </c>
      <c r="E119" s="2717" t="s">
        <v>307</v>
      </c>
      <c r="F119" s="2810" t="s">
        <v>283</v>
      </c>
    </row>
    <row r="120" spans="1:7" ht="39" customHeight="1">
      <c r="A120" s="2694"/>
      <c r="B120" s="2688"/>
      <c r="C120" s="2726" t="s">
        <v>308</v>
      </c>
      <c r="D120" s="2716" t="s">
        <v>173</v>
      </c>
      <c r="E120" s="2717">
        <v>123636</v>
      </c>
      <c r="F120" s="2810" t="s">
        <v>283</v>
      </c>
    </row>
    <row r="121" spans="1:7" ht="39" customHeight="1">
      <c r="A121" s="2694"/>
      <c r="B121" s="2688"/>
      <c r="C121" s="2726" t="s">
        <v>309</v>
      </c>
      <c r="D121" s="2716" t="s">
        <v>162</v>
      </c>
      <c r="E121" s="2717" t="s">
        <v>310</v>
      </c>
      <c r="F121" s="2810" t="s">
        <v>283</v>
      </c>
    </row>
    <row r="122" spans="1:7" ht="39" customHeight="1">
      <c r="A122" s="2694">
        <v>0</v>
      </c>
      <c r="B122" s="2688">
        <v>1</v>
      </c>
      <c r="C122" s="2689" t="s">
        <v>311</v>
      </c>
      <c r="D122" s="2716" t="s">
        <v>159</v>
      </c>
      <c r="E122" s="2691" t="s">
        <v>312</v>
      </c>
      <c r="F122" s="2800" t="s">
        <v>313</v>
      </c>
    </row>
    <row r="123" spans="1:7" ht="39" customHeight="1">
      <c r="A123" s="2694"/>
      <c r="B123" s="2688">
        <v>1</v>
      </c>
      <c r="C123" s="2726" t="s">
        <v>314</v>
      </c>
      <c r="D123" s="2716" t="s">
        <v>316</v>
      </c>
      <c r="E123" s="2785" t="s">
        <v>315</v>
      </c>
      <c r="F123" s="2771" t="s">
        <v>317</v>
      </c>
    </row>
    <row r="124" spans="1:7" ht="39" customHeight="1">
      <c r="A124" s="2694"/>
      <c r="B124" s="2688"/>
      <c r="C124" s="2689" t="s">
        <v>318</v>
      </c>
      <c r="D124" s="2716" t="s">
        <v>320</v>
      </c>
      <c r="E124" s="2691" t="s">
        <v>319</v>
      </c>
      <c r="F124" s="2778" t="s">
        <v>321</v>
      </c>
    </row>
    <row r="125" spans="1:7" ht="39" customHeight="1">
      <c r="A125" s="2694"/>
      <c r="B125" s="2688">
        <v>45</v>
      </c>
      <c r="C125" s="2689" t="s">
        <v>322</v>
      </c>
      <c r="D125" s="2690" t="s">
        <v>167</v>
      </c>
      <c r="E125" s="2691" t="s">
        <v>323</v>
      </c>
      <c r="F125" s="2692" t="s">
        <v>324</v>
      </c>
    </row>
    <row r="126" spans="1:7" ht="39" customHeight="1" thickBot="1">
      <c r="A126" s="2694"/>
      <c r="B126" s="2688">
        <v>3</v>
      </c>
      <c r="C126" s="2689" t="s">
        <v>325</v>
      </c>
      <c r="D126" s="2690" t="s">
        <v>159</v>
      </c>
      <c r="E126" s="2691" t="s">
        <v>326</v>
      </c>
      <c r="F126" s="2800" t="s">
        <v>313</v>
      </c>
      <c r="G126" s="2771" t="s">
        <v>317</v>
      </c>
    </row>
    <row r="127" spans="1:7" ht="39" customHeight="1">
      <c r="A127" s="2694"/>
      <c r="B127" s="2758">
        <v>1</v>
      </c>
      <c r="C127" s="2726" t="s">
        <v>327</v>
      </c>
      <c r="D127" s="2690" t="s">
        <v>172</v>
      </c>
      <c r="E127" s="2785" t="s">
        <v>328</v>
      </c>
      <c r="F127" s="2692" t="s">
        <v>329</v>
      </c>
    </row>
    <row r="128" spans="1:7" ht="39" customHeight="1">
      <c r="A128" s="2694">
        <v>1</v>
      </c>
      <c r="B128" s="2688">
        <v>12</v>
      </c>
      <c r="C128" s="2811" t="s">
        <v>330</v>
      </c>
      <c r="D128" s="2706" t="s">
        <v>332</v>
      </c>
      <c r="E128" s="2691" t="s">
        <v>331</v>
      </c>
      <c r="F128" s="2771" t="s">
        <v>317</v>
      </c>
    </row>
    <row r="129" spans="1:7" ht="39.65" customHeight="1">
      <c r="A129" s="2694" t="s">
        <v>333</v>
      </c>
      <c r="B129" s="2688">
        <v>1</v>
      </c>
      <c r="C129" s="2726" t="s">
        <v>334</v>
      </c>
      <c r="D129" s="2716" t="s">
        <v>167</v>
      </c>
      <c r="E129" s="2785" t="s">
        <v>335</v>
      </c>
      <c r="F129" s="2812" t="s">
        <v>6076</v>
      </c>
    </row>
    <row r="130" spans="1:7" ht="39" customHeight="1">
      <c r="A130" s="2694" t="s">
        <v>333</v>
      </c>
      <c r="B130" s="2688"/>
      <c r="C130" s="2705" t="s">
        <v>336</v>
      </c>
      <c r="D130" s="2716" t="s">
        <v>168</v>
      </c>
      <c r="E130" s="2785">
        <v>262163</v>
      </c>
      <c r="F130" s="2813" t="s">
        <v>337</v>
      </c>
    </row>
    <row r="131" spans="1:7" ht="43.9" customHeight="1">
      <c r="A131" s="2694"/>
      <c r="B131" s="2688">
        <v>3</v>
      </c>
      <c r="C131" s="2726" t="s">
        <v>338</v>
      </c>
      <c r="D131" s="2716" t="s">
        <v>340</v>
      </c>
      <c r="E131" s="2785" t="s">
        <v>339</v>
      </c>
      <c r="F131" s="2771" t="s">
        <v>283</v>
      </c>
    </row>
    <row r="132" spans="1:7" ht="39" customHeight="1">
      <c r="A132" s="2694" t="s">
        <v>333</v>
      </c>
      <c r="B132" s="2688">
        <v>11</v>
      </c>
      <c r="C132" s="2689" t="s">
        <v>341</v>
      </c>
      <c r="D132" s="2706" t="s">
        <v>159</v>
      </c>
      <c r="E132" s="2691" t="s">
        <v>342</v>
      </c>
      <c r="F132" s="2814" t="s">
        <v>343</v>
      </c>
    </row>
    <row r="133" spans="1:7" ht="39" customHeight="1">
      <c r="A133" s="2694"/>
      <c r="B133" s="2688"/>
      <c r="C133" s="2815" t="s">
        <v>344</v>
      </c>
      <c r="D133" s="2690" t="s">
        <v>162</v>
      </c>
      <c r="E133" s="2717" t="s">
        <v>345</v>
      </c>
      <c r="F133" s="2814" t="s">
        <v>343</v>
      </c>
    </row>
    <row r="134" spans="1:7" ht="39" customHeight="1">
      <c r="A134" s="2694" t="s">
        <v>45</v>
      </c>
      <c r="B134" s="2688">
        <v>5</v>
      </c>
      <c r="C134" s="2689" t="s">
        <v>346</v>
      </c>
      <c r="D134" s="2690" t="s">
        <v>347</v>
      </c>
      <c r="E134" s="2691">
        <v>871352</v>
      </c>
      <c r="F134" s="2816" t="s">
        <v>348</v>
      </c>
    </row>
    <row r="135" spans="1:7" ht="39" customHeight="1">
      <c r="A135" s="2694"/>
      <c r="B135" s="2688">
        <v>6</v>
      </c>
      <c r="C135" s="2726" t="s">
        <v>349</v>
      </c>
      <c r="D135" s="2716" t="s">
        <v>167</v>
      </c>
      <c r="E135" s="2785" t="s">
        <v>350</v>
      </c>
      <c r="F135" s="2771" t="s">
        <v>283</v>
      </c>
    </row>
    <row r="136" spans="1:7" ht="39" customHeight="1">
      <c r="A136" s="2694"/>
      <c r="B136" s="2688">
        <v>5</v>
      </c>
      <c r="C136" s="2726" t="s">
        <v>351</v>
      </c>
      <c r="D136" s="2716" t="s">
        <v>162</v>
      </c>
      <c r="E136" s="2785" t="s">
        <v>352</v>
      </c>
      <c r="F136" s="2771" t="s">
        <v>283</v>
      </c>
    </row>
    <row r="137" spans="1:7" ht="39" customHeight="1">
      <c r="A137" s="2694"/>
      <c r="B137" s="2688">
        <v>1</v>
      </c>
      <c r="C137" s="2689" t="s">
        <v>353</v>
      </c>
      <c r="D137" s="2690" t="s">
        <v>173</v>
      </c>
      <c r="E137" s="2691">
        <v>120108</v>
      </c>
      <c r="F137" s="2816" t="s">
        <v>348</v>
      </c>
    </row>
    <row r="138" spans="1:7" ht="39" customHeight="1">
      <c r="A138" s="2694"/>
      <c r="B138" s="2688">
        <v>14</v>
      </c>
      <c r="C138" s="2811" t="s">
        <v>354</v>
      </c>
      <c r="D138" s="2696" t="s">
        <v>177</v>
      </c>
      <c r="E138" s="2688" t="s">
        <v>355</v>
      </c>
      <c r="F138" s="2714" t="s">
        <v>329</v>
      </c>
      <c r="G138" s="2817" t="s">
        <v>356</v>
      </c>
    </row>
    <row r="139" spans="1:7" ht="39" customHeight="1">
      <c r="A139" s="2694"/>
      <c r="B139" s="2688">
        <v>4</v>
      </c>
      <c r="C139" s="2689" t="s">
        <v>357</v>
      </c>
      <c r="D139" s="2716" t="s">
        <v>167</v>
      </c>
      <c r="E139" s="2691" t="s">
        <v>358</v>
      </c>
      <c r="F139" s="2816"/>
    </row>
    <row r="140" spans="1:7" ht="39" customHeight="1">
      <c r="A140" s="2694"/>
      <c r="B140" s="2688">
        <v>67</v>
      </c>
      <c r="C140" s="2689" t="s">
        <v>359</v>
      </c>
      <c r="D140" s="2696" t="s">
        <v>164</v>
      </c>
      <c r="E140" s="2691" t="s">
        <v>360</v>
      </c>
      <c r="F140" s="2814" t="s">
        <v>361</v>
      </c>
    </row>
    <row r="141" spans="1:7" ht="39" customHeight="1">
      <c r="A141" s="2694"/>
      <c r="B141" s="2688">
        <v>68</v>
      </c>
      <c r="C141" s="2811" t="s">
        <v>362</v>
      </c>
      <c r="D141" s="2696" t="s">
        <v>164</v>
      </c>
      <c r="E141" s="2691" t="s">
        <v>363</v>
      </c>
      <c r="F141" s="2771"/>
    </row>
    <row r="142" spans="1:7" ht="39" customHeight="1">
      <c r="A142" s="2694"/>
      <c r="B142" s="2688">
        <v>69</v>
      </c>
      <c r="C142" s="2818" t="s">
        <v>364</v>
      </c>
      <c r="D142" s="2819" t="s">
        <v>340</v>
      </c>
      <c r="E142" s="2820" t="s">
        <v>365</v>
      </c>
      <c r="F142" s="2814" t="s">
        <v>329</v>
      </c>
    </row>
    <row r="143" spans="1:7" ht="39" customHeight="1">
      <c r="A143" s="2694"/>
      <c r="B143" s="2688">
        <v>70</v>
      </c>
      <c r="C143" s="2689" t="s">
        <v>366</v>
      </c>
      <c r="D143" s="2696" t="s">
        <v>159</v>
      </c>
      <c r="E143" s="2691" t="s">
        <v>367</v>
      </c>
      <c r="F143" s="2814" t="s">
        <v>361</v>
      </c>
    </row>
    <row r="144" spans="1:7" ht="39" customHeight="1">
      <c r="A144" s="2694"/>
      <c r="B144" s="2688">
        <v>71</v>
      </c>
      <c r="C144" s="2821" t="s">
        <v>368</v>
      </c>
      <c r="D144" s="2696" t="s">
        <v>370</v>
      </c>
      <c r="E144" s="2691" t="s">
        <v>369</v>
      </c>
      <c r="F144" s="2814" t="s">
        <v>361</v>
      </c>
    </row>
    <row r="145" spans="1:6" ht="39" customHeight="1">
      <c r="A145" s="2694"/>
      <c r="B145" s="2688">
        <v>72</v>
      </c>
      <c r="C145" s="2822" t="s">
        <v>371</v>
      </c>
      <c r="D145" s="2696" t="s">
        <v>159</v>
      </c>
      <c r="E145" s="2691" t="s">
        <v>372</v>
      </c>
      <c r="F145" s="2771" t="s">
        <v>317</v>
      </c>
    </row>
    <row r="146" spans="1:6" ht="39" customHeight="1">
      <c r="A146" s="2694"/>
      <c r="B146" s="2688">
        <v>73</v>
      </c>
      <c r="C146" s="2823" t="s">
        <v>373</v>
      </c>
      <c r="D146" s="2819" t="s">
        <v>164</v>
      </c>
      <c r="E146" s="2688" t="s">
        <v>374</v>
      </c>
      <c r="F146" s="2771"/>
    </row>
    <row r="147" spans="1:6" ht="39" customHeight="1">
      <c r="A147" s="2694"/>
      <c r="B147" s="2688">
        <v>74</v>
      </c>
      <c r="C147" s="2821" t="s">
        <v>375</v>
      </c>
      <c r="D147" s="2696" t="s">
        <v>164</v>
      </c>
      <c r="E147" s="2691" t="s">
        <v>376</v>
      </c>
      <c r="F147" s="2771"/>
    </row>
    <row r="148" spans="1:6" ht="39" customHeight="1">
      <c r="A148" s="2694"/>
      <c r="B148" s="2688">
        <v>75</v>
      </c>
      <c r="C148" s="2695" t="s">
        <v>377</v>
      </c>
      <c r="D148" s="2819" t="s">
        <v>170</v>
      </c>
      <c r="E148" s="2688" t="s">
        <v>378</v>
      </c>
      <c r="F148" s="2814" t="s">
        <v>361</v>
      </c>
    </row>
    <row r="149" spans="1:6" ht="39" customHeight="1">
      <c r="A149" s="2694"/>
      <c r="B149" s="2688">
        <v>76</v>
      </c>
      <c r="C149" s="2823" t="s">
        <v>379</v>
      </c>
      <c r="D149" s="2819" t="s">
        <v>159</v>
      </c>
      <c r="E149" s="2688" t="s">
        <v>380</v>
      </c>
      <c r="F149" s="2771"/>
    </row>
    <row r="150" spans="1:6" ht="39" customHeight="1">
      <c r="A150" s="2694"/>
      <c r="B150" s="2688">
        <v>77</v>
      </c>
      <c r="C150" s="2823" t="s">
        <v>381</v>
      </c>
      <c r="D150" s="2819" t="s">
        <v>383</v>
      </c>
      <c r="E150" s="2688" t="s">
        <v>382</v>
      </c>
      <c r="F150" s="2771"/>
    </row>
    <row r="151" spans="1:6" ht="39" customHeight="1">
      <c r="A151" s="2694"/>
      <c r="B151" s="2688">
        <v>78</v>
      </c>
      <c r="C151" s="2824" t="s">
        <v>384</v>
      </c>
      <c r="D151" s="2819" t="s">
        <v>164</v>
      </c>
      <c r="E151" s="2688" t="s">
        <v>385</v>
      </c>
      <c r="F151" s="2771"/>
    </row>
    <row r="152" spans="1:6" ht="39" customHeight="1">
      <c r="A152" s="2694"/>
      <c r="B152" s="2688">
        <v>79</v>
      </c>
      <c r="C152" s="2824" t="s">
        <v>386</v>
      </c>
      <c r="D152" s="2819" t="s">
        <v>164</v>
      </c>
      <c r="E152" s="2688" t="s">
        <v>387</v>
      </c>
      <c r="F152" s="2814" t="s">
        <v>361</v>
      </c>
    </row>
    <row r="153" spans="1:6" ht="39" customHeight="1">
      <c r="A153" s="2694"/>
      <c r="B153" s="2688">
        <v>80</v>
      </c>
      <c r="C153" s="2689" t="s">
        <v>388</v>
      </c>
      <c r="D153" s="2696" t="s">
        <v>164</v>
      </c>
      <c r="E153" s="2691" t="s">
        <v>389</v>
      </c>
      <c r="F153" s="2814" t="s">
        <v>361</v>
      </c>
    </row>
    <row r="154" spans="1:6" ht="39" customHeight="1">
      <c r="A154" s="2694"/>
      <c r="B154" s="2688"/>
      <c r="C154" s="2726" t="s">
        <v>390</v>
      </c>
      <c r="D154" s="2690" t="s">
        <v>162</v>
      </c>
      <c r="E154" s="2717" t="s">
        <v>391</v>
      </c>
      <c r="F154" s="2771" t="s">
        <v>329</v>
      </c>
    </row>
    <row r="155" spans="1:6" ht="39" customHeight="1">
      <c r="A155" s="2694"/>
      <c r="B155" s="2688"/>
      <c r="C155" s="2726" t="s">
        <v>392</v>
      </c>
      <c r="D155" s="2716" t="s">
        <v>162</v>
      </c>
      <c r="E155" s="2717" t="s">
        <v>393</v>
      </c>
      <c r="F155" s="2771"/>
    </row>
    <row r="156" spans="1:6" ht="39" customHeight="1">
      <c r="A156" s="2694"/>
      <c r="B156" s="2688">
        <v>10</v>
      </c>
      <c r="C156" s="2689" t="s">
        <v>394</v>
      </c>
      <c r="D156" s="2696" t="s">
        <v>164</v>
      </c>
      <c r="E156" s="2691" t="s">
        <v>395</v>
      </c>
      <c r="F156" s="2771" t="s">
        <v>302</v>
      </c>
    </row>
    <row r="157" spans="1:6" ht="39" customHeight="1">
      <c r="A157" s="2694"/>
      <c r="B157" s="2688">
        <v>15</v>
      </c>
      <c r="C157" s="2695" t="s">
        <v>396</v>
      </c>
      <c r="D157" s="2696" t="s">
        <v>397</v>
      </c>
      <c r="E157" s="2691">
        <v>179038</v>
      </c>
      <c r="F157" s="2817"/>
    </row>
    <row r="158" spans="1:6" ht="39" customHeight="1">
      <c r="A158" s="2694"/>
      <c r="B158" s="2688">
        <v>47</v>
      </c>
      <c r="C158" s="2811" t="s">
        <v>398</v>
      </c>
      <c r="D158" s="2696" t="s">
        <v>400</v>
      </c>
      <c r="E158" s="2691" t="s">
        <v>399</v>
      </c>
      <c r="F158" s="2771"/>
    </row>
    <row r="159" spans="1:6" ht="39" customHeight="1">
      <c r="A159" s="2694"/>
      <c r="B159" s="2688">
        <v>9</v>
      </c>
      <c r="C159" s="2689" t="s">
        <v>401</v>
      </c>
      <c r="D159" s="2690" t="s">
        <v>167</v>
      </c>
      <c r="E159" s="2691" t="s">
        <v>402</v>
      </c>
      <c r="F159" s="2816" t="s">
        <v>356</v>
      </c>
    </row>
    <row r="160" spans="1:6" ht="39" customHeight="1">
      <c r="A160" s="2694" t="s">
        <v>333</v>
      </c>
      <c r="B160" s="2688">
        <v>27</v>
      </c>
      <c r="C160" s="2695" t="s">
        <v>403</v>
      </c>
      <c r="D160" s="2696" t="s">
        <v>405</v>
      </c>
      <c r="E160" s="2691" t="s">
        <v>404</v>
      </c>
      <c r="F160" s="2771"/>
    </row>
    <row r="161" spans="1:6" ht="39" customHeight="1">
      <c r="A161" s="2694"/>
      <c r="B161" s="2688">
        <v>28</v>
      </c>
      <c r="C161" s="2695" t="s">
        <v>406</v>
      </c>
      <c r="D161" s="2696" t="s">
        <v>332</v>
      </c>
      <c r="E161" s="2691" t="s">
        <v>407</v>
      </c>
      <c r="F161" s="2814" t="s">
        <v>408</v>
      </c>
    </row>
    <row r="162" spans="1:6" ht="39" customHeight="1">
      <c r="A162" s="2687"/>
      <c r="B162" s="2688">
        <v>29</v>
      </c>
      <c r="C162" s="2726" t="s">
        <v>409</v>
      </c>
      <c r="D162" s="2690" t="s">
        <v>411</v>
      </c>
      <c r="E162" s="2774" t="s">
        <v>410</v>
      </c>
      <c r="F162" s="2825" t="s">
        <v>412</v>
      </c>
    </row>
    <row r="163" spans="1:6" ht="39" customHeight="1">
      <c r="A163" s="2687"/>
      <c r="B163" s="2688">
        <v>30</v>
      </c>
      <c r="C163" s="2826" t="s">
        <v>413</v>
      </c>
      <c r="D163" s="2690" t="s">
        <v>162</v>
      </c>
      <c r="E163" s="2774" t="s">
        <v>414</v>
      </c>
      <c r="F163" s="2825" t="s">
        <v>412</v>
      </c>
    </row>
    <row r="164" spans="1:6" ht="39" customHeight="1">
      <c r="A164" s="2694"/>
      <c r="B164" s="2688">
        <v>31</v>
      </c>
      <c r="C164" s="2689" t="s">
        <v>415</v>
      </c>
      <c r="D164" s="2696" t="s">
        <v>332</v>
      </c>
      <c r="E164" s="2691" t="s">
        <v>416</v>
      </c>
      <c r="F164" s="2771" t="s">
        <v>417</v>
      </c>
    </row>
    <row r="165" spans="1:6" ht="39" customHeight="1">
      <c r="A165" s="2694"/>
      <c r="B165" s="2688">
        <v>32</v>
      </c>
      <c r="C165" s="2689" t="s">
        <v>418</v>
      </c>
      <c r="D165" s="2696" t="s">
        <v>420</v>
      </c>
      <c r="E165" s="2691" t="s">
        <v>419</v>
      </c>
      <c r="F165" s="2771" t="s">
        <v>417</v>
      </c>
    </row>
    <row r="166" spans="1:6" ht="39" customHeight="1">
      <c r="A166" s="2694" t="s">
        <v>333</v>
      </c>
      <c r="B166" s="2688">
        <v>33</v>
      </c>
      <c r="C166" s="2689" t="s">
        <v>421</v>
      </c>
      <c r="D166" s="2696" t="s">
        <v>164</v>
      </c>
      <c r="E166" s="2691" t="s">
        <v>422</v>
      </c>
      <c r="F166" s="2771" t="s">
        <v>417</v>
      </c>
    </row>
    <row r="167" spans="1:6" ht="39" customHeight="1">
      <c r="A167" s="2694"/>
      <c r="B167" s="2688">
        <v>34</v>
      </c>
      <c r="C167" s="2689" t="s">
        <v>423</v>
      </c>
      <c r="D167" s="2696" t="s">
        <v>420</v>
      </c>
      <c r="E167" s="2691" t="s">
        <v>424</v>
      </c>
      <c r="F167" s="2817" t="s">
        <v>417</v>
      </c>
    </row>
    <row r="168" spans="1:6" ht="39" customHeight="1">
      <c r="A168" s="2694"/>
      <c r="B168" s="2688">
        <v>35</v>
      </c>
      <c r="C168" s="2689" t="s">
        <v>425</v>
      </c>
      <c r="D168" s="2696" t="s">
        <v>420</v>
      </c>
      <c r="E168" s="2691" t="s">
        <v>426</v>
      </c>
      <c r="F168" s="2817" t="s">
        <v>417</v>
      </c>
    </row>
    <row r="169" spans="1:6" ht="39" customHeight="1">
      <c r="A169" s="2694"/>
      <c r="B169" s="2688">
        <v>36</v>
      </c>
      <c r="C169" s="2727" t="s">
        <v>427</v>
      </c>
      <c r="D169" s="2696" t="s">
        <v>429</v>
      </c>
      <c r="E169" s="2691" t="s">
        <v>428</v>
      </c>
      <c r="F169" s="2771" t="s">
        <v>417</v>
      </c>
    </row>
    <row r="170" spans="1:6" ht="39" customHeight="1">
      <c r="A170" s="2694"/>
      <c r="B170" s="2688">
        <v>37</v>
      </c>
      <c r="C170" s="2727" t="s">
        <v>430</v>
      </c>
      <c r="D170" s="2696" t="s">
        <v>429</v>
      </c>
      <c r="E170" s="2691" t="s">
        <v>431</v>
      </c>
      <c r="F170" s="2771" t="s">
        <v>417</v>
      </c>
    </row>
    <row r="171" spans="1:6" ht="39" customHeight="1">
      <c r="A171" s="2694" t="s">
        <v>333</v>
      </c>
      <c r="B171" s="2688">
        <v>38</v>
      </c>
      <c r="C171" s="2689" t="s">
        <v>432</v>
      </c>
      <c r="D171" s="2696" t="s">
        <v>164</v>
      </c>
      <c r="E171" s="2691" t="s">
        <v>433</v>
      </c>
    </row>
    <row r="172" spans="1:6" ht="39" customHeight="1">
      <c r="A172" s="2694"/>
      <c r="B172" s="2688">
        <v>39</v>
      </c>
      <c r="C172" s="2824" t="s">
        <v>434</v>
      </c>
      <c r="D172" s="2696" t="s">
        <v>162</v>
      </c>
      <c r="E172" s="2691" t="s">
        <v>435</v>
      </c>
      <c r="F172" s="2814" t="s">
        <v>436</v>
      </c>
    </row>
    <row r="173" spans="1:6" ht="39" customHeight="1">
      <c r="A173" s="2694"/>
      <c r="B173" s="2688">
        <v>40</v>
      </c>
      <c r="C173" s="2811" t="s">
        <v>437</v>
      </c>
      <c r="D173" s="2696" t="s">
        <v>159</v>
      </c>
      <c r="E173" s="2691" t="s">
        <v>438</v>
      </c>
      <c r="F173" s="2771" t="s">
        <v>302</v>
      </c>
    </row>
    <row r="174" spans="1:6" ht="39" customHeight="1">
      <c r="A174" s="2694" t="s">
        <v>333</v>
      </c>
      <c r="B174" s="2688">
        <v>41</v>
      </c>
      <c r="C174" s="2689" t="s">
        <v>439</v>
      </c>
      <c r="D174" s="2696" t="s">
        <v>164</v>
      </c>
      <c r="E174" s="2691" t="s">
        <v>440</v>
      </c>
      <c r="F174" s="2771"/>
    </row>
    <row r="175" spans="1:6" ht="39" customHeight="1">
      <c r="A175" s="2694" t="s">
        <v>333</v>
      </c>
      <c r="B175" s="2688">
        <v>42</v>
      </c>
      <c r="C175" s="2689" t="s">
        <v>441</v>
      </c>
      <c r="D175" s="2696" t="s">
        <v>164</v>
      </c>
      <c r="E175" s="2691" t="s">
        <v>442</v>
      </c>
      <c r="F175" s="2771" t="s">
        <v>443</v>
      </c>
    </row>
    <row r="176" spans="1:6" ht="39" customHeight="1">
      <c r="A176" s="2694" t="s">
        <v>333</v>
      </c>
      <c r="B176" s="2688">
        <v>43</v>
      </c>
      <c r="C176" s="2689" t="s">
        <v>444</v>
      </c>
      <c r="D176" s="2696" t="s">
        <v>164</v>
      </c>
      <c r="E176" s="2691" t="s">
        <v>445</v>
      </c>
      <c r="F176" s="2771" t="s">
        <v>412</v>
      </c>
    </row>
    <row r="177" spans="1:6" ht="39" customHeight="1">
      <c r="A177" s="2694" t="s">
        <v>333</v>
      </c>
      <c r="B177" s="2688">
        <v>44</v>
      </c>
      <c r="C177" s="2689" t="s">
        <v>446</v>
      </c>
      <c r="D177" s="2696" t="s">
        <v>162</v>
      </c>
      <c r="E177" s="2691" t="s">
        <v>447</v>
      </c>
      <c r="F177" s="2814" t="s">
        <v>361</v>
      </c>
    </row>
    <row r="178" spans="1:6" ht="39" customHeight="1">
      <c r="A178" s="2694" t="s">
        <v>333</v>
      </c>
      <c r="B178" s="2688">
        <v>46</v>
      </c>
      <c r="C178" s="2689" t="s">
        <v>448</v>
      </c>
      <c r="D178" s="2696" t="s">
        <v>164</v>
      </c>
      <c r="E178" s="2827" t="s">
        <v>449</v>
      </c>
      <c r="F178" s="2828" t="s">
        <v>412</v>
      </c>
    </row>
    <row r="179" spans="1:6" ht="39" customHeight="1">
      <c r="A179" s="2694" t="s">
        <v>333</v>
      </c>
      <c r="B179" s="2688">
        <v>47</v>
      </c>
      <c r="C179" s="2689" t="s">
        <v>450</v>
      </c>
      <c r="D179" s="2696" t="s">
        <v>164</v>
      </c>
      <c r="E179" s="2691" t="s">
        <v>451</v>
      </c>
      <c r="F179" s="2828" t="s">
        <v>412</v>
      </c>
    </row>
    <row r="180" spans="1:6" ht="39" customHeight="1">
      <c r="A180" s="2694"/>
      <c r="B180" s="2688">
        <v>48</v>
      </c>
      <c r="C180" s="2689" t="s">
        <v>452</v>
      </c>
      <c r="D180" s="2696"/>
      <c r="E180" s="2691" t="s">
        <v>453</v>
      </c>
      <c r="F180" s="2828" t="s">
        <v>412</v>
      </c>
    </row>
    <row r="181" spans="1:6" ht="39" customHeight="1">
      <c r="A181" s="2694"/>
      <c r="B181" s="2688">
        <v>49</v>
      </c>
      <c r="C181" s="2689" t="s">
        <v>454</v>
      </c>
      <c r="D181" s="2690" t="s">
        <v>167</v>
      </c>
      <c r="E181" s="2691" t="s">
        <v>455</v>
      </c>
      <c r="F181" s="2816"/>
    </row>
    <row r="182" spans="1:6" ht="39" customHeight="1">
      <c r="A182" s="2694"/>
      <c r="B182" s="2688">
        <v>50</v>
      </c>
      <c r="C182" s="2689" t="s">
        <v>456</v>
      </c>
      <c r="D182" s="2690" t="s">
        <v>340</v>
      </c>
      <c r="E182" s="2691" t="s">
        <v>457</v>
      </c>
      <c r="F182" s="2816" t="s">
        <v>412</v>
      </c>
    </row>
    <row r="183" spans="1:6" ht="39" customHeight="1">
      <c r="A183" s="2694"/>
      <c r="B183" s="2688">
        <v>51</v>
      </c>
      <c r="C183" s="2689" t="s">
        <v>458</v>
      </c>
      <c r="D183" s="2696" t="s">
        <v>162</v>
      </c>
      <c r="E183" s="2691" t="s">
        <v>459</v>
      </c>
      <c r="F183" s="2771"/>
    </row>
    <row r="184" spans="1:6" ht="39" customHeight="1">
      <c r="A184" s="2694" t="s">
        <v>333</v>
      </c>
      <c r="B184" s="2688">
        <v>52</v>
      </c>
      <c r="C184" s="2689" t="s">
        <v>460</v>
      </c>
      <c r="D184" s="2696" t="s">
        <v>164</v>
      </c>
      <c r="E184" s="2691" t="s">
        <v>461</v>
      </c>
      <c r="F184" s="2771"/>
    </row>
    <row r="185" spans="1:6" ht="39" customHeight="1">
      <c r="A185" s="2694" t="s">
        <v>333</v>
      </c>
      <c r="B185" s="2688">
        <v>53</v>
      </c>
      <c r="C185" s="2689" t="s">
        <v>462</v>
      </c>
      <c r="D185" s="2696" t="s">
        <v>164</v>
      </c>
      <c r="E185" s="2691" t="s">
        <v>463</v>
      </c>
      <c r="F185" s="2771"/>
    </row>
    <row r="186" spans="1:6" ht="39" customHeight="1">
      <c r="A186" s="2694"/>
      <c r="B186" s="2688">
        <v>54</v>
      </c>
      <c r="C186" s="2689" t="s">
        <v>464</v>
      </c>
      <c r="D186" s="2696" t="s">
        <v>466</v>
      </c>
      <c r="E186" s="2691" t="s">
        <v>465</v>
      </c>
      <c r="F186" s="2771"/>
    </row>
    <row r="187" spans="1:6" ht="39" customHeight="1" thickBot="1">
      <c r="A187" s="2745"/>
      <c r="B187" s="2688">
        <v>55</v>
      </c>
      <c r="C187" s="2829" t="s">
        <v>467</v>
      </c>
      <c r="D187" s="2830" t="s">
        <v>429</v>
      </c>
      <c r="E187" s="2746" t="s">
        <v>468</v>
      </c>
      <c r="F187" s="2831"/>
    </row>
    <row r="188" spans="1:6" ht="39" customHeight="1">
      <c r="A188" s="2694"/>
      <c r="B188" s="2688">
        <v>56</v>
      </c>
      <c r="C188" s="2726" t="s">
        <v>469</v>
      </c>
      <c r="D188" s="2819" t="s">
        <v>429</v>
      </c>
      <c r="E188" s="2688" t="s">
        <v>470</v>
      </c>
      <c r="F188" s="2771"/>
    </row>
    <row r="189" spans="1:6" ht="39" customHeight="1">
      <c r="A189" s="2694"/>
      <c r="B189" s="2688">
        <v>57</v>
      </c>
      <c r="C189" s="2695" t="s">
        <v>471</v>
      </c>
      <c r="D189" s="2696" t="s">
        <v>164</v>
      </c>
      <c r="E189" s="2691" t="s">
        <v>472</v>
      </c>
      <c r="F189" s="2771" t="s">
        <v>302</v>
      </c>
    </row>
    <row r="190" spans="1:6" ht="39" customHeight="1">
      <c r="A190" s="2694"/>
      <c r="B190" s="2688">
        <v>58</v>
      </c>
      <c r="C190" s="2832" t="s">
        <v>473</v>
      </c>
      <c r="D190" s="2819" t="s">
        <v>168</v>
      </c>
      <c r="E190" s="2688">
        <v>242166</v>
      </c>
      <c r="F190" s="2771"/>
    </row>
    <row r="191" spans="1:6" ht="39" customHeight="1">
      <c r="A191" s="2694"/>
      <c r="B191" s="2688">
        <v>59</v>
      </c>
      <c r="C191" s="2689" t="s">
        <v>474</v>
      </c>
      <c r="D191" s="2696" t="s">
        <v>164</v>
      </c>
      <c r="E191" s="2691" t="s">
        <v>475</v>
      </c>
      <c r="F191" s="2771"/>
    </row>
    <row r="192" spans="1:6" ht="39" customHeight="1">
      <c r="A192" s="2694"/>
      <c r="B192" s="2688">
        <v>60</v>
      </c>
      <c r="C192" s="2689" t="s">
        <v>476</v>
      </c>
      <c r="D192" s="2696" t="s">
        <v>164</v>
      </c>
      <c r="E192" s="2691" t="s">
        <v>477</v>
      </c>
      <c r="F192" s="2771"/>
    </row>
    <row r="193" spans="1:7" ht="39" customHeight="1">
      <c r="A193" s="2694"/>
      <c r="B193" s="2688">
        <v>61</v>
      </c>
      <c r="C193" s="2689" t="s">
        <v>478</v>
      </c>
      <c r="D193" s="2833" t="s">
        <v>159</v>
      </c>
      <c r="E193" s="2691" t="s">
        <v>479</v>
      </c>
      <c r="F193" s="2771"/>
    </row>
    <row r="194" spans="1:7" ht="39" customHeight="1">
      <c r="A194" s="2694"/>
      <c r="B194" s="2688">
        <v>62</v>
      </c>
      <c r="C194" s="2689" t="s">
        <v>480</v>
      </c>
      <c r="D194" s="2833" t="s">
        <v>164</v>
      </c>
      <c r="E194" s="2691" t="s">
        <v>481</v>
      </c>
      <c r="F194" s="2771"/>
    </row>
    <row r="195" spans="1:7" ht="39" customHeight="1">
      <c r="A195" s="2694"/>
      <c r="B195" s="2688">
        <v>63</v>
      </c>
      <c r="C195" s="2689" t="s">
        <v>482</v>
      </c>
      <c r="D195" s="2833" t="s">
        <v>164</v>
      </c>
      <c r="E195" s="2691" t="s">
        <v>483</v>
      </c>
      <c r="F195" s="2771"/>
    </row>
    <row r="196" spans="1:7" ht="39" customHeight="1">
      <c r="A196" s="2694"/>
      <c r="B196" s="2688">
        <v>64</v>
      </c>
      <c r="C196" s="2689" t="s">
        <v>484</v>
      </c>
      <c r="D196" s="2696" t="s">
        <v>164</v>
      </c>
      <c r="E196" s="2691" t="s">
        <v>485</v>
      </c>
      <c r="F196" s="2692" t="s">
        <v>486</v>
      </c>
    </row>
    <row r="197" spans="1:7" ht="39" customHeight="1">
      <c r="A197" s="2694"/>
      <c r="B197" s="2688">
        <v>65</v>
      </c>
      <c r="C197" s="2689" t="s">
        <v>418</v>
      </c>
      <c r="D197" s="2696" t="s">
        <v>162</v>
      </c>
      <c r="E197" s="2691" t="s">
        <v>419</v>
      </c>
      <c r="F197" s="2771"/>
    </row>
    <row r="198" spans="1:7" ht="39" customHeight="1">
      <c r="A198" s="2694"/>
      <c r="B198" s="2688">
        <v>66</v>
      </c>
      <c r="C198" s="2689" t="s">
        <v>487</v>
      </c>
      <c r="D198" s="2696" t="s">
        <v>162</v>
      </c>
      <c r="E198" s="2691" t="s">
        <v>488</v>
      </c>
      <c r="F198" s="2771"/>
    </row>
    <row r="199" spans="1:7" ht="39" customHeight="1">
      <c r="A199" s="2834"/>
      <c r="B199" s="2835">
        <v>71</v>
      </c>
      <c r="C199" s="2739"/>
      <c r="D199" s="2836"/>
      <c r="E199" s="2836"/>
      <c r="F199" s="2837"/>
      <c r="G199" s="2739"/>
    </row>
    <row r="200" spans="1:7" s="2739" customFormat="1" ht="39" customHeight="1">
      <c r="A200" s="2752"/>
      <c r="B200" s="2688">
        <v>1</v>
      </c>
      <c r="C200" s="2779" t="s">
        <v>489</v>
      </c>
      <c r="D200" s="2838" t="s">
        <v>164</v>
      </c>
      <c r="E200" s="2743" t="s">
        <v>490</v>
      </c>
      <c r="F200" s="2828" t="s">
        <v>412</v>
      </c>
      <c r="G200" s="2686"/>
    </row>
    <row r="201" spans="1:7" ht="39" customHeight="1">
      <c r="A201" s="2752"/>
      <c r="B201" s="2688"/>
      <c r="C201" s="2779" t="s">
        <v>491</v>
      </c>
      <c r="D201" s="2742" t="s">
        <v>177</v>
      </c>
      <c r="E201" s="2743" t="s">
        <v>492</v>
      </c>
      <c r="F201" s="2839" t="s">
        <v>493</v>
      </c>
    </row>
    <row r="202" spans="1:7" ht="39" customHeight="1">
      <c r="A202" s="2694"/>
      <c r="B202" s="2688">
        <v>2</v>
      </c>
      <c r="C202" s="2689" t="s">
        <v>494</v>
      </c>
      <c r="D202" s="2696"/>
      <c r="E202" s="2691" t="s">
        <v>495</v>
      </c>
      <c r="F202" s="2828" t="s">
        <v>412</v>
      </c>
    </row>
    <row r="203" spans="1:7" ht="39" customHeight="1">
      <c r="A203" s="2694"/>
      <c r="B203" s="2688">
        <v>3</v>
      </c>
      <c r="C203" s="2727" t="s">
        <v>496</v>
      </c>
      <c r="D203" s="2696" t="s">
        <v>498</v>
      </c>
      <c r="E203" s="2691" t="s">
        <v>497</v>
      </c>
      <c r="F203" s="2771"/>
    </row>
    <row r="204" spans="1:7" ht="39" customHeight="1">
      <c r="A204" s="2694"/>
      <c r="B204" s="2688">
        <v>4</v>
      </c>
      <c r="C204" s="2840" t="s">
        <v>499</v>
      </c>
      <c r="D204" s="2696" t="s">
        <v>164</v>
      </c>
      <c r="E204" s="2691" t="s">
        <v>500</v>
      </c>
      <c r="F204" s="2771" t="s">
        <v>412</v>
      </c>
    </row>
    <row r="205" spans="1:7" ht="39" customHeight="1">
      <c r="A205" s="2694"/>
      <c r="B205" s="2688">
        <v>5</v>
      </c>
      <c r="C205" s="2841" t="s">
        <v>501</v>
      </c>
      <c r="D205" s="2696" t="s">
        <v>383</v>
      </c>
      <c r="E205" s="2691" t="s">
        <v>502</v>
      </c>
      <c r="F205" s="2771"/>
    </row>
    <row r="206" spans="1:7" ht="39" customHeight="1">
      <c r="A206" s="2694"/>
      <c r="B206" s="2688">
        <v>6</v>
      </c>
      <c r="C206" s="2842" t="s">
        <v>503</v>
      </c>
      <c r="D206" s="2696" t="s">
        <v>332</v>
      </c>
      <c r="E206" s="2691" t="s">
        <v>504</v>
      </c>
      <c r="F206" s="2771" t="s">
        <v>505</v>
      </c>
    </row>
    <row r="207" spans="1:7" ht="39" customHeight="1">
      <c r="A207" s="2694"/>
      <c r="B207" s="2688">
        <v>7</v>
      </c>
      <c r="C207" s="2843" t="s">
        <v>506</v>
      </c>
      <c r="D207" s="2844"/>
      <c r="E207" s="2845" t="s">
        <v>507</v>
      </c>
      <c r="F207" s="2846"/>
    </row>
    <row r="208" spans="1:7" ht="39" customHeight="1">
      <c r="A208" s="2694"/>
      <c r="B208" s="2688">
        <v>8</v>
      </c>
      <c r="C208" s="2841" t="s">
        <v>508</v>
      </c>
      <c r="D208" s="2833" t="s">
        <v>509</v>
      </c>
      <c r="E208" s="2691">
        <v>110435</v>
      </c>
      <c r="F208" s="2771"/>
    </row>
    <row r="209" spans="1:7" ht="39" customHeight="1">
      <c r="A209" s="2694"/>
      <c r="B209" s="2688">
        <v>9</v>
      </c>
      <c r="C209" s="2842" t="s">
        <v>510</v>
      </c>
      <c r="D209" s="2696" t="s">
        <v>512</v>
      </c>
      <c r="E209" s="2691" t="s">
        <v>511</v>
      </c>
      <c r="F209" s="2771"/>
    </row>
    <row r="210" spans="1:7" ht="39" customHeight="1">
      <c r="A210" s="2694"/>
      <c r="B210" s="2688">
        <v>10</v>
      </c>
      <c r="C210" s="2842" t="s">
        <v>513</v>
      </c>
      <c r="D210" s="2696" t="s">
        <v>515</v>
      </c>
      <c r="E210" s="2691" t="s">
        <v>514</v>
      </c>
      <c r="F210" s="2771"/>
    </row>
    <row r="211" spans="1:7" ht="39" customHeight="1">
      <c r="A211" s="2834"/>
      <c r="B211" s="2835"/>
      <c r="C211" s="2739"/>
      <c r="D211" s="2836"/>
      <c r="E211" s="2836"/>
      <c r="F211" s="2837"/>
      <c r="G211" s="2739"/>
    </row>
    <row r="212" spans="1:7" s="2739" customFormat="1" ht="39" customHeight="1">
      <c r="A212" s="2694"/>
      <c r="B212" s="2688">
        <v>1</v>
      </c>
      <c r="C212" s="2811" t="s">
        <v>516</v>
      </c>
      <c r="D212" s="2696" t="s">
        <v>162</v>
      </c>
      <c r="E212" s="2691" t="s">
        <v>517</v>
      </c>
      <c r="F212" s="2771" t="s">
        <v>412</v>
      </c>
      <c r="G212" s="2686"/>
    </row>
    <row r="213" spans="1:7" ht="39" customHeight="1">
      <c r="A213" s="2694"/>
      <c r="B213" s="2688">
        <v>2</v>
      </c>
      <c r="C213" s="2689" t="s">
        <v>518</v>
      </c>
      <c r="D213" s="2696" t="s">
        <v>164</v>
      </c>
      <c r="E213" s="2691" t="s">
        <v>519</v>
      </c>
      <c r="F213" s="2771" t="s">
        <v>412</v>
      </c>
    </row>
    <row r="214" spans="1:7" ht="39" customHeight="1">
      <c r="A214" s="2694"/>
      <c r="B214" s="2688">
        <v>3</v>
      </c>
      <c r="C214" s="2689" t="s">
        <v>520</v>
      </c>
      <c r="D214" s="2696" t="s">
        <v>162</v>
      </c>
      <c r="E214" s="2691" t="s">
        <v>521</v>
      </c>
      <c r="F214" s="2771" t="s">
        <v>412</v>
      </c>
    </row>
    <row r="215" spans="1:7" ht="39" customHeight="1">
      <c r="A215" s="2694"/>
      <c r="B215" s="2688">
        <v>4</v>
      </c>
      <c r="C215" s="2823" t="s">
        <v>522</v>
      </c>
      <c r="D215" s="2819" t="s">
        <v>340</v>
      </c>
      <c r="E215" s="2688" t="s">
        <v>523</v>
      </c>
      <c r="F215" s="2771" t="s">
        <v>412</v>
      </c>
    </row>
    <row r="216" spans="1:7" ht="39" customHeight="1">
      <c r="A216" s="2694"/>
      <c r="B216" s="2688">
        <v>5</v>
      </c>
      <c r="C216" s="2832" t="s">
        <v>524</v>
      </c>
      <c r="D216" s="2819" t="s">
        <v>168</v>
      </c>
      <c r="E216" s="2688">
        <v>241113</v>
      </c>
      <c r="F216" s="2771" t="s">
        <v>412</v>
      </c>
    </row>
    <row r="217" spans="1:7" ht="39" customHeight="1">
      <c r="A217" s="2694"/>
      <c r="B217" s="2688">
        <v>6</v>
      </c>
      <c r="C217" s="2832" t="s">
        <v>524</v>
      </c>
      <c r="D217" s="2696" t="s">
        <v>159</v>
      </c>
      <c r="E217" s="2691" t="s">
        <v>525</v>
      </c>
      <c r="F217" s="2817" t="s">
        <v>417</v>
      </c>
    </row>
    <row r="218" spans="1:7" ht="39" customHeight="1">
      <c r="A218" s="2694"/>
      <c r="B218" s="2688">
        <v>7</v>
      </c>
      <c r="C218" s="2832" t="s">
        <v>526</v>
      </c>
      <c r="D218" s="2819" t="s">
        <v>164</v>
      </c>
      <c r="E218" s="2688" t="s">
        <v>527</v>
      </c>
      <c r="F218" s="2771" t="s">
        <v>324</v>
      </c>
    </row>
    <row r="219" spans="1:7" ht="39" customHeight="1">
      <c r="A219" s="2694"/>
      <c r="B219" s="2688">
        <v>8</v>
      </c>
      <c r="C219" s="2823" t="s">
        <v>528</v>
      </c>
      <c r="D219" s="2819" t="s">
        <v>164</v>
      </c>
      <c r="E219" s="2688" t="s">
        <v>529</v>
      </c>
      <c r="F219" s="2771"/>
    </row>
    <row r="220" spans="1:7" ht="39" customHeight="1">
      <c r="A220" s="2694"/>
      <c r="B220" s="2688">
        <v>9</v>
      </c>
      <c r="C220" s="2821" t="s">
        <v>530</v>
      </c>
      <c r="D220" s="2696" t="s">
        <v>370</v>
      </c>
      <c r="E220" s="2691" t="s">
        <v>531</v>
      </c>
      <c r="F220" s="2817" t="s">
        <v>417</v>
      </c>
    </row>
    <row r="221" spans="1:7" ht="39" customHeight="1">
      <c r="A221" s="2694"/>
      <c r="B221" s="2688">
        <v>10</v>
      </c>
      <c r="C221" s="2689" t="s">
        <v>532</v>
      </c>
      <c r="D221" s="2696" t="s">
        <v>534</v>
      </c>
      <c r="E221" s="2691" t="s">
        <v>533</v>
      </c>
      <c r="F221" s="2771" t="s">
        <v>535</v>
      </c>
    </row>
    <row r="222" spans="1:7" ht="39" customHeight="1">
      <c r="A222" s="2694"/>
      <c r="B222" s="2688">
        <v>11</v>
      </c>
      <c r="C222" s="2847" t="s">
        <v>536</v>
      </c>
      <c r="D222" s="2696" t="s">
        <v>162</v>
      </c>
      <c r="E222" s="2691" t="s">
        <v>537</v>
      </c>
      <c r="F222" s="2817" t="s">
        <v>417</v>
      </c>
    </row>
    <row r="223" spans="1:7" ht="39" customHeight="1">
      <c r="A223" s="2694"/>
      <c r="B223" s="2688">
        <v>12</v>
      </c>
      <c r="C223" s="2689" t="s">
        <v>538</v>
      </c>
      <c r="D223" s="2696" t="s">
        <v>164</v>
      </c>
      <c r="E223" s="2691" t="s">
        <v>539</v>
      </c>
      <c r="F223" s="2692" t="s">
        <v>356</v>
      </c>
    </row>
    <row r="224" spans="1:7" ht="39" customHeight="1">
      <c r="A224" s="2694"/>
      <c r="B224" s="2688">
        <v>13</v>
      </c>
      <c r="C224" s="2689" t="s">
        <v>540</v>
      </c>
      <c r="D224" s="2696" t="s">
        <v>164</v>
      </c>
      <c r="E224" s="2691" t="s">
        <v>541</v>
      </c>
      <c r="F224" s="2771" t="s">
        <v>412</v>
      </c>
    </row>
    <row r="225" spans="1:6" ht="39" customHeight="1">
      <c r="A225" s="2694"/>
      <c r="B225" s="2688">
        <v>14</v>
      </c>
      <c r="C225" s="2689" t="s">
        <v>542</v>
      </c>
      <c r="D225" s="2696" t="s">
        <v>162</v>
      </c>
      <c r="E225" s="2691" t="s">
        <v>543</v>
      </c>
      <c r="F225" s="2814" t="s">
        <v>361</v>
      </c>
    </row>
    <row r="226" spans="1:6" ht="39" customHeight="1">
      <c r="A226" s="2694"/>
      <c r="B226" s="2688">
        <v>15</v>
      </c>
      <c r="C226" s="2689" t="s">
        <v>544</v>
      </c>
      <c r="D226" s="2696" t="s">
        <v>162</v>
      </c>
      <c r="E226" s="2691" t="s">
        <v>545</v>
      </c>
      <c r="F226" s="2771" t="s">
        <v>412</v>
      </c>
    </row>
    <row r="227" spans="1:6" ht="39" customHeight="1">
      <c r="A227" s="2848"/>
      <c r="B227" s="2688">
        <v>16</v>
      </c>
      <c r="C227" s="2689" t="s">
        <v>546</v>
      </c>
      <c r="D227" s="2696" t="s">
        <v>164</v>
      </c>
      <c r="E227" s="2691" t="s">
        <v>547</v>
      </c>
      <c r="F227" s="2817"/>
    </row>
    <row r="228" spans="1:6" ht="39" customHeight="1">
      <c r="A228" s="2694"/>
      <c r="B228" s="2688">
        <v>17</v>
      </c>
      <c r="C228" s="2811" t="s">
        <v>548</v>
      </c>
      <c r="D228" s="2696" t="s">
        <v>162</v>
      </c>
      <c r="E228" s="2691" t="s">
        <v>549</v>
      </c>
      <c r="F228" s="2771" t="s">
        <v>356</v>
      </c>
    </row>
    <row r="229" spans="1:6" ht="39" customHeight="1">
      <c r="A229" s="2848"/>
      <c r="B229" s="2688">
        <v>18</v>
      </c>
      <c r="C229" s="2695" t="s">
        <v>550</v>
      </c>
      <c r="D229" s="2696" t="s">
        <v>162</v>
      </c>
      <c r="E229" s="2691" t="s">
        <v>551</v>
      </c>
      <c r="F229" s="2817" t="s">
        <v>412</v>
      </c>
    </row>
    <row r="230" spans="1:6" ht="39" customHeight="1">
      <c r="A230" s="2694"/>
      <c r="B230" s="2688">
        <v>19</v>
      </c>
      <c r="C230" s="2689" t="s">
        <v>552</v>
      </c>
      <c r="D230" s="2833" t="s">
        <v>164</v>
      </c>
      <c r="E230" s="2691" t="s">
        <v>553</v>
      </c>
      <c r="F230" s="2692" t="s">
        <v>412</v>
      </c>
    </row>
    <row r="231" spans="1:6" ht="39" customHeight="1">
      <c r="A231" s="2694"/>
      <c r="B231" s="2688">
        <v>20</v>
      </c>
      <c r="C231" s="2832" t="s">
        <v>554</v>
      </c>
      <c r="D231" s="2819" t="s">
        <v>556</v>
      </c>
      <c r="E231" s="2688" t="s">
        <v>555</v>
      </c>
      <c r="F231" s="2771" t="s">
        <v>412</v>
      </c>
    </row>
    <row r="232" spans="1:6" ht="39" customHeight="1">
      <c r="A232" s="2694"/>
      <c r="B232" s="2688">
        <v>21</v>
      </c>
      <c r="C232" s="2689" t="s">
        <v>557</v>
      </c>
      <c r="D232" s="2696" t="s">
        <v>164</v>
      </c>
      <c r="E232" s="2691" t="s">
        <v>558</v>
      </c>
      <c r="F232" s="2771" t="s">
        <v>412</v>
      </c>
    </row>
    <row r="233" spans="1:6" ht="39" customHeight="1">
      <c r="A233" s="2694"/>
      <c r="B233" s="2688">
        <v>22</v>
      </c>
      <c r="C233" s="2689" t="s">
        <v>559</v>
      </c>
      <c r="D233" s="2696" t="s">
        <v>164</v>
      </c>
      <c r="E233" s="2691" t="s">
        <v>560</v>
      </c>
      <c r="F233" s="2771" t="s">
        <v>412</v>
      </c>
    </row>
    <row r="234" spans="1:6" ht="39" customHeight="1">
      <c r="A234" s="2694"/>
      <c r="B234" s="2688">
        <v>23</v>
      </c>
      <c r="C234" s="2727" t="s">
        <v>561</v>
      </c>
      <c r="D234" s="2696" t="s">
        <v>162</v>
      </c>
      <c r="E234" s="2691" t="s">
        <v>562</v>
      </c>
      <c r="F234" s="2814" t="s">
        <v>361</v>
      </c>
    </row>
    <row r="235" spans="1:6" ht="39" customHeight="1">
      <c r="A235" s="2694"/>
      <c r="B235" s="2688">
        <v>24</v>
      </c>
      <c r="C235" s="2823" t="s">
        <v>563</v>
      </c>
      <c r="D235" s="2696" t="s">
        <v>164</v>
      </c>
      <c r="E235" s="2691" t="s">
        <v>564</v>
      </c>
      <c r="F235" s="2771"/>
    </row>
    <row r="236" spans="1:6" ht="39" customHeight="1">
      <c r="A236" s="2694"/>
      <c r="B236" s="2688">
        <v>25</v>
      </c>
      <c r="C236" s="2823" t="s">
        <v>565</v>
      </c>
      <c r="D236" s="2696" t="s">
        <v>340</v>
      </c>
      <c r="E236" s="2691" t="s">
        <v>566</v>
      </c>
      <c r="F236" s="2771"/>
    </row>
    <row r="237" spans="1:6" ht="39" customHeight="1">
      <c r="A237" s="2848"/>
      <c r="B237" s="2688">
        <v>26</v>
      </c>
      <c r="C237" s="2811" t="s">
        <v>567</v>
      </c>
      <c r="D237" s="2696" t="s">
        <v>164</v>
      </c>
      <c r="E237" s="2688" t="s">
        <v>568</v>
      </c>
      <c r="F237" s="2817" t="s">
        <v>356</v>
      </c>
    </row>
    <row r="238" spans="1:6" ht="39" customHeight="1">
      <c r="A238" s="2848"/>
      <c r="B238" s="2688">
        <v>27</v>
      </c>
      <c r="C238" s="2811" t="s">
        <v>569</v>
      </c>
      <c r="D238" s="2696" t="s">
        <v>192</v>
      </c>
      <c r="E238" s="2691" t="s">
        <v>570</v>
      </c>
      <c r="F238" s="2817" t="s">
        <v>356</v>
      </c>
    </row>
    <row r="239" spans="1:6" ht="39" customHeight="1">
      <c r="A239" s="2848"/>
      <c r="B239" s="2688">
        <v>28</v>
      </c>
      <c r="C239" s="2811" t="s">
        <v>571</v>
      </c>
      <c r="D239" s="2696" t="s">
        <v>192</v>
      </c>
      <c r="E239" s="2691" t="s">
        <v>572</v>
      </c>
      <c r="F239" s="2814" t="s">
        <v>361</v>
      </c>
    </row>
    <row r="240" spans="1:6" ht="39" customHeight="1">
      <c r="A240" s="2694"/>
      <c r="B240" s="2688">
        <v>29</v>
      </c>
      <c r="C240" s="2689" t="s">
        <v>573</v>
      </c>
      <c r="D240" s="2696" t="s">
        <v>498</v>
      </c>
      <c r="E240" s="2691" t="s">
        <v>574</v>
      </c>
      <c r="F240" s="2817" t="s">
        <v>417</v>
      </c>
    </row>
    <row r="241" spans="1:6" ht="39" customHeight="1">
      <c r="A241" s="2694"/>
      <c r="B241" s="2688">
        <v>30</v>
      </c>
      <c r="C241" s="2695" t="s">
        <v>575</v>
      </c>
      <c r="D241" s="2696" t="s">
        <v>164</v>
      </c>
      <c r="E241" s="2691" t="s">
        <v>576</v>
      </c>
      <c r="F241" s="2771"/>
    </row>
    <row r="242" spans="1:6" ht="39" customHeight="1">
      <c r="A242" s="2694"/>
      <c r="B242" s="2688">
        <v>31</v>
      </c>
      <c r="C242" s="2689" t="s">
        <v>577</v>
      </c>
      <c r="D242" s="2696" t="s">
        <v>579</v>
      </c>
      <c r="E242" s="2691" t="s">
        <v>578</v>
      </c>
      <c r="F242" s="2771" t="s">
        <v>412</v>
      </c>
    </row>
    <row r="243" spans="1:6" ht="39" customHeight="1">
      <c r="A243" s="2848"/>
      <c r="B243" s="2688">
        <v>32</v>
      </c>
      <c r="C243" s="2823" t="s">
        <v>510</v>
      </c>
      <c r="D243" s="2819" t="s">
        <v>340</v>
      </c>
      <c r="E243" s="2688" t="s">
        <v>580</v>
      </c>
      <c r="F243" s="2771"/>
    </row>
    <row r="244" spans="1:6" ht="39" customHeight="1">
      <c r="A244" s="2848"/>
      <c r="B244" s="2688">
        <v>33</v>
      </c>
      <c r="C244" s="2689" t="s">
        <v>581</v>
      </c>
      <c r="D244" s="2696" t="s">
        <v>164</v>
      </c>
      <c r="E244" s="2688" t="s">
        <v>582</v>
      </c>
      <c r="F244" s="2817" t="s">
        <v>417</v>
      </c>
    </row>
    <row r="245" spans="1:6" ht="39" customHeight="1">
      <c r="A245" s="2848"/>
      <c r="B245" s="2688">
        <v>34</v>
      </c>
      <c r="C245" s="2823" t="s">
        <v>583</v>
      </c>
      <c r="D245" s="2819" t="s">
        <v>400</v>
      </c>
      <c r="E245" s="2688" t="s">
        <v>584</v>
      </c>
      <c r="F245" s="2771" t="s">
        <v>356</v>
      </c>
    </row>
    <row r="246" spans="1:6" ht="39" customHeight="1">
      <c r="A246" s="2848"/>
      <c r="B246" s="2688">
        <v>35</v>
      </c>
      <c r="C246" s="2824" t="s">
        <v>585</v>
      </c>
      <c r="D246" s="2696" t="s">
        <v>164</v>
      </c>
      <c r="E246" s="2691" t="s">
        <v>586</v>
      </c>
      <c r="F246" s="2817" t="s">
        <v>356</v>
      </c>
    </row>
    <row r="247" spans="1:6" ht="39" customHeight="1">
      <c r="A247" s="2848"/>
      <c r="B247" s="2688">
        <v>36</v>
      </c>
      <c r="C247" s="2823" t="s">
        <v>587</v>
      </c>
      <c r="D247" s="2696" t="s">
        <v>164</v>
      </c>
      <c r="E247" s="2691" t="s">
        <v>588</v>
      </c>
      <c r="F247" s="2814" t="s">
        <v>361</v>
      </c>
    </row>
    <row r="248" spans="1:6" ht="39" customHeight="1">
      <c r="A248" s="2694"/>
      <c r="B248" s="2688">
        <v>37</v>
      </c>
      <c r="C248" s="2689" t="s">
        <v>589</v>
      </c>
      <c r="D248" s="2696" t="s">
        <v>177</v>
      </c>
      <c r="E248" s="2691" t="s">
        <v>590</v>
      </c>
      <c r="F248" s="2771" t="s">
        <v>356</v>
      </c>
    </row>
    <row r="249" spans="1:6" ht="39" customHeight="1">
      <c r="A249" s="2848"/>
      <c r="B249" s="2688">
        <v>38</v>
      </c>
      <c r="C249" s="2823" t="s">
        <v>591</v>
      </c>
      <c r="D249" s="2696" t="s">
        <v>159</v>
      </c>
      <c r="E249" s="2691" t="s">
        <v>592</v>
      </c>
      <c r="F249" s="2817" t="s">
        <v>356</v>
      </c>
    </row>
    <row r="250" spans="1:6" ht="39" customHeight="1">
      <c r="A250" s="2848" t="s">
        <v>593</v>
      </c>
      <c r="B250" s="2688">
        <v>39</v>
      </c>
      <c r="C250" s="2689" t="s">
        <v>594</v>
      </c>
      <c r="D250" s="2696" t="s">
        <v>596</v>
      </c>
      <c r="E250" s="2691" t="s">
        <v>595</v>
      </c>
      <c r="F250" s="2771" t="s">
        <v>597</v>
      </c>
    </row>
    <row r="251" spans="1:6" ht="39" customHeight="1">
      <c r="A251" s="2848" t="s">
        <v>19</v>
      </c>
      <c r="B251" s="2688">
        <v>40</v>
      </c>
      <c r="C251" s="2823" t="s">
        <v>598</v>
      </c>
      <c r="D251" s="2696" t="s">
        <v>164</v>
      </c>
      <c r="E251" s="2691" t="s">
        <v>599</v>
      </c>
      <c r="F251" s="2817" t="s">
        <v>356</v>
      </c>
    </row>
    <row r="252" spans="1:6" ht="39" customHeight="1">
      <c r="A252" s="2848" t="s">
        <v>19</v>
      </c>
      <c r="B252" s="2688">
        <v>41</v>
      </c>
      <c r="C252" s="2689" t="s">
        <v>600</v>
      </c>
      <c r="D252" s="2833" t="s">
        <v>162</v>
      </c>
      <c r="E252" s="2691" t="s">
        <v>601</v>
      </c>
      <c r="F252" s="2817" t="s">
        <v>356</v>
      </c>
    </row>
    <row r="253" spans="1:6" ht="39" customHeight="1">
      <c r="A253" s="2848"/>
      <c r="B253" s="2688">
        <v>42</v>
      </c>
      <c r="C253" s="2847" t="s">
        <v>602</v>
      </c>
      <c r="D253" s="2696" t="s">
        <v>159</v>
      </c>
      <c r="E253" s="2691" t="s">
        <v>603</v>
      </c>
      <c r="F253" s="2817" t="s">
        <v>443</v>
      </c>
    </row>
    <row r="254" spans="1:6" ht="39" customHeight="1">
      <c r="A254" s="2848"/>
      <c r="B254" s="2688">
        <v>43</v>
      </c>
      <c r="C254" s="2823" t="s">
        <v>604</v>
      </c>
      <c r="D254" s="2696" t="s">
        <v>164</v>
      </c>
      <c r="E254" s="2691" t="s">
        <v>605</v>
      </c>
      <c r="F254" s="2814" t="s">
        <v>361</v>
      </c>
    </row>
    <row r="255" spans="1:6" ht="39" customHeight="1">
      <c r="A255" s="2848"/>
      <c r="B255" s="2688">
        <v>44</v>
      </c>
      <c r="C255" s="2847" t="s">
        <v>606</v>
      </c>
      <c r="D255" s="2696" t="s">
        <v>164</v>
      </c>
      <c r="E255" s="2691" t="s">
        <v>607</v>
      </c>
      <c r="F255" s="2817" t="s">
        <v>608</v>
      </c>
    </row>
    <row r="256" spans="1:6" ht="39" customHeight="1">
      <c r="A256" s="2848" t="s">
        <v>19</v>
      </c>
      <c r="B256" s="2688">
        <v>45</v>
      </c>
      <c r="C256" s="2847" t="s">
        <v>609</v>
      </c>
      <c r="D256" s="2696" t="s">
        <v>164</v>
      </c>
      <c r="E256" s="2691" t="s">
        <v>610</v>
      </c>
      <c r="F256" s="2817" t="s">
        <v>611</v>
      </c>
    </row>
    <row r="257" spans="1:6" ht="39" customHeight="1">
      <c r="A257" s="2694"/>
      <c r="B257" s="2688">
        <v>46</v>
      </c>
      <c r="C257" s="2832" t="s">
        <v>612</v>
      </c>
      <c r="D257" s="2819" t="s">
        <v>164</v>
      </c>
      <c r="E257" s="2688" t="s">
        <v>613</v>
      </c>
      <c r="F257" s="2814" t="s">
        <v>302</v>
      </c>
    </row>
    <row r="258" spans="1:6" ht="39" customHeight="1">
      <c r="A258" s="2694"/>
      <c r="B258" s="2688">
        <v>47</v>
      </c>
      <c r="C258" s="2823" t="s">
        <v>614</v>
      </c>
      <c r="D258" s="2819" t="s">
        <v>164</v>
      </c>
      <c r="E258" s="2688" t="s">
        <v>615</v>
      </c>
      <c r="F258" s="2814" t="s">
        <v>302</v>
      </c>
    </row>
    <row r="259" spans="1:6" ht="39" customHeight="1">
      <c r="A259" s="2694"/>
      <c r="B259" s="2688">
        <v>48</v>
      </c>
      <c r="C259" s="2849" t="s">
        <v>616</v>
      </c>
      <c r="D259" s="2819" t="s">
        <v>618</v>
      </c>
      <c r="E259" s="2688" t="s">
        <v>617</v>
      </c>
      <c r="F259" s="2771" t="s">
        <v>317</v>
      </c>
    </row>
    <row r="260" spans="1:6" ht="39" customHeight="1">
      <c r="A260" s="2694"/>
      <c r="B260" s="2688">
        <v>49</v>
      </c>
      <c r="C260" s="2695" t="s">
        <v>619</v>
      </c>
      <c r="D260" s="2819" t="s">
        <v>621</v>
      </c>
      <c r="E260" s="2688" t="s">
        <v>620</v>
      </c>
      <c r="F260" s="2814" t="s">
        <v>622</v>
      </c>
    </row>
    <row r="261" spans="1:6" ht="39" customHeight="1">
      <c r="A261" s="2694"/>
      <c r="B261" s="2688">
        <v>50</v>
      </c>
      <c r="C261" s="2689" t="s">
        <v>623</v>
      </c>
      <c r="D261" s="2819" t="s">
        <v>192</v>
      </c>
      <c r="E261" s="2688" t="s">
        <v>624</v>
      </c>
      <c r="F261" s="2771" t="s">
        <v>317</v>
      </c>
    </row>
    <row r="262" spans="1:6" ht="39" customHeight="1">
      <c r="A262" s="2694"/>
      <c r="B262" s="2688">
        <v>51</v>
      </c>
      <c r="C262" s="2823" t="s">
        <v>625</v>
      </c>
      <c r="D262" s="2696" t="s">
        <v>596</v>
      </c>
      <c r="E262" s="2691" t="s">
        <v>626</v>
      </c>
      <c r="F262" s="2771"/>
    </row>
    <row r="263" spans="1:6" ht="39" customHeight="1">
      <c r="A263" s="2694"/>
      <c r="B263" s="2688">
        <v>52</v>
      </c>
      <c r="C263" s="2689" t="s">
        <v>627</v>
      </c>
      <c r="D263" s="2696" t="s">
        <v>340</v>
      </c>
      <c r="E263" s="2691" t="s">
        <v>628</v>
      </c>
      <c r="F263" s="2771"/>
    </row>
    <row r="264" spans="1:6" ht="39" customHeight="1">
      <c r="A264" s="2694"/>
      <c r="B264" s="2688">
        <v>53</v>
      </c>
      <c r="C264" s="2689" t="s">
        <v>629</v>
      </c>
      <c r="D264" s="2696" t="s">
        <v>164</v>
      </c>
      <c r="E264" s="2691" t="s">
        <v>630</v>
      </c>
      <c r="F264" s="2771" t="s">
        <v>356</v>
      </c>
    </row>
    <row r="265" spans="1:6" ht="39" customHeight="1">
      <c r="A265" s="2848" t="s">
        <v>19</v>
      </c>
      <c r="B265" s="2688">
        <v>54</v>
      </c>
      <c r="C265" s="2695" t="s">
        <v>631</v>
      </c>
      <c r="D265" s="2696" t="s">
        <v>164</v>
      </c>
      <c r="E265" s="2691" t="s">
        <v>632</v>
      </c>
      <c r="F265" s="2771" t="s">
        <v>283</v>
      </c>
    </row>
    <row r="266" spans="1:6" ht="39" customHeight="1">
      <c r="A266" s="2694"/>
      <c r="B266" s="2688">
        <v>55</v>
      </c>
      <c r="C266" s="2689" t="s">
        <v>633</v>
      </c>
      <c r="D266" s="2819" t="s">
        <v>159</v>
      </c>
      <c r="E266" s="2688" t="s">
        <v>634</v>
      </c>
      <c r="F266" s="2771" t="s">
        <v>412</v>
      </c>
    </row>
    <row r="267" spans="1:6" ht="39" customHeight="1">
      <c r="A267" s="2694"/>
      <c r="B267" s="2688">
        <v>56</v>
      </c>
      <c r="C267" s="2689" t="s">
        <v>635</v>
      </c>
      <c r="D267" s="2819" t="s">
        <v>168</v>
      </c>
      <c r="E267" s="2688">
        <v>205476</v>
      </c>
      <c r="F267" s="2771" t="s">
        <v>636</v>
      </c>
    </row>
    <row r="268" spans="1:6" ht="39" customHeight="1">
      <c r="A268" s="2694"/>
      <c r="B268" s="2688">
        <v>57</v>
      </c>
      <c r="C268" s="2823" t="s">
        <v>637</v>
      </c>
      <c r="D268" s="2819" t="s">
        <v>164</v>
      </c>
      <c r="E268" s="2688" t="s">
        <v>638</v>
      </c>
      <c r="F268" s="2771" t="s">
        <v>283</v>
      </c>
    </row>
    <row r="269" spans="1:6" ht="39" customHeight="1">
      <c r="A269" s="2694"/>
      <c r="B269" s="2688">
        <v>58</v>
      </c>
      <c r="C269" s="2823" t="s">
        <v>639</v>
      </c>
      <c r="D269" s="2819" t="s">
        <v>159</v>
      </c>
      <c r="E269" s="2688" t="s">
        <v>640</v>
      </c>
      <c r="F269" s="2771"/>
    </row>
    <row r="270" spans="1:6" ht="39" customHeight="1">
      <c r="A270" s="2848"/>
      <c r="B270" s="2688">
        <v>59</v>
      </c>
      <c r="C270" s="2823" t="s">
        <v>641</v>
      </c>
      <c r="D270" s="2819" t="s">
        <v>164</v>
      </c>
      <c r="E270" s="2688" t="s">
        <v>642</v>
      </c>
      <c r="F270" s="2771" t="s">
        <v>283</v>
      </c>
    </row>
    <row r="271" spans="1:6" ht="39" customHeight="1">
      <c r="A271" s="2694"/>
      <c r="B271" s="2688">
        <v>60</v>
      </c>
      <c r="C271" s="2811" t="s">
        <v>643</v>
      </c>
      <c r="D271" s="2696" t="s">
        <v>164</v>
      </c>
      <c r="E271" s="2691" t="s">
        <v>644</v>
      </c>
      <c r="F271" s="2771"/>
    </row>
    <row r="272" spans="1:6" ht="39" customHeight="1">
      <c r="A272" s="2694"/>
      <c r="B272" s="2688">
        <v>61</v>
      </c>
      <c r="C272" s="2689" t="s">
        <v>645</v>
      </c>
      <c r="D272" s="2696" t="s">
        <v>168</v>
      </c>
      <c r="E272" s="2691">
        <v>203937</v>
      </c>
      <c r="F272" s="2771" t="s">
        <v>356</v>
      </c>
    </row>
    <row r="273" spans="1:6" ht="39" customHeight="1">
      <c r="A273" s="2694"/>
      <c r="B273" s="2688">
        <v>62</v>
      </c>
      <c r="C273" s="2689" t="s">
        <v>646</v>
      </c>
      <c r="D273" s="2696" t="s">
        <v>164</v>
      </c>
      <c r="E273" s="2691" t="s">
        <v>647</v>
      </c>
      <c r="F273" s="2771"/>
    </row>
    <row r="274" spans="1:6" ht="39" customHeight="1">
      <c r="A274" s="2694"/>
      <c r="B274" s="2688">
        <v>63</v>
      </c>
      <c r="C274" s="2850" t="s">
        <v>648</v>
      </c>
      <c r="D274" s="2696" t="s">
        <v>164</v>
      </c>
      <c r="E274" s="2691" t="s">
        <v>649</v>
      </c>
      <c r="F274" s="2771"/>
    </row>
    <row r="275" spans="1:6" ht="39" customHeight="1">
      <c r="A275" s="2694"/>
      <c r="B275" s="2688">
        <v>64</v>
      </c>
      <c r="C275" s="2695" t="s">
        <v>650</v>
      </c>
      <c r="D275" s="2696" t="s">
        <v>164</v>
      </c>
      <c r="E275" s="2691" t="s">
        <v>651</v>
      </c>
      <c r="F275" s="2771"/>
    </row>
    <row r="276" spans="1:6" ht="39" customHeight="1">
      <c r="A276" s="2694"/>
      <c r="B276" s="2688">
        <v>65</v>
      </c>
      <c r="C276" s="2823" t="s">
        <v>652</v>
      </c>
      <c r="D276" s="2819" t="s">
        <v>164</v>
      </c>
      <c r="E276" s="2688" t="s">
        <v>653</v>
      </c>
      <c r="F276" s="2771"/>
    </row>
    <row r="277" spans="1:6" ht="39" customHeight="1">
      <c r="A277" s="2694"/>
      <c r="B277" s="2688">
        <v>66</v>
      </c>
      <c r="C277" s="2823" t="s">
        <v>654</v>
      </c>
      <c r="D277" s="2819" t="s">
        <v>164</v>
      </c>
      <c r="E277" s="2688" t="s">
        <v>655</v>
      </c>
      <c r="F277" s="2771"/>
    </row>
    <row r="278" spans="1:6" ht="39" customHeight="1">
      <c r="A278" s="2694"/>
      <c r="B278" s="2688">
        <v>67</v>
      </c>
      <c r="C278" s="2823" t="s">
        <v>656</v>
      </c>
      <c r="D278" s="2819" t="s">
        <v>164</v>
      </c>
      <c r="E278" s="2688" t="s">
        <v>657</v>
      </c>
      <c r="F278" s="2771"/>
    </row>
    <row r="279" spans="1:6" ht="39" customHeight="1">
      <c r="A279" s="2694"/>
      <c r="B279" s="2688">
        <v>68</v>
      </c>
      <c r="C279" s="2695" t="s">
        <v>658</v>
      </c>
      <c r="D279" s="2819" t="s">
        <v>168</v>
      </c>
      <c r="E279" s="2688">
        <v>220447</v>
      </c>
      <c r="F279" s="2771"/>
    </row>
    <row r="280" spans="1:6" ht="39" customHeight="1">
      <c r="A280" s="2694"/>
      <c r="B280" s="2688">
        <v>69</v>
      </c>
      <c r="C280" s="2849" t="s">
        <v>659</v>
      </c>
      <c r="D280" s="2819" t="s">
        <v>164</v>
      </c>
      <c r="E280" s="2688" t="s">
        <v>660</v>
      </c>
      <c r="F280" s="2771" t="s">
        <v>412</v>
      </c>
    </row>
    <row r="281" spans="1:6" ht="39" customHeight="1">
      <c r="A281" s="2694"/>
      <c r="B281" s="2688">
        <v>70</v>
      </c>
      <c r="C281" s="2823" t="s">
        <v>661</v>
      </c>
      <c r="D281" s="2819" t="s">
        <v>159</v>
      </c>
      <c r="E281" s="2688" t="s">
        <v>662</v>
      </c>
      <c r="F281" s="2771" t="s">
        <v>663</v>
      </c>
    </row>
    <row r="282" spans="1:6" ht="39" customHeight="1">
      <c r="A282" s="2694"/>
      <c r="B282" s="2688">
        <v>71</v>
      </c>
      <c r="C282" s="2849" t="s">
        <v>664</v>
      </c>
      <c r="D282" s="2819" t="s">
        <v>170</v>
      </c>
      <c r="E282" s="2688" t="s">
        <v>665</v>
      </c>
      <c r="F282" s="2771" t="s">
        <v>412</v>
      </c>
    </row>
    <row r="283" spans="1:6" ht="39" customHeight="1">
      <c r="A283" s="2848" t="s">
        <v>19</v>
      </c>
      <c r="B283" s="2688">
        <v>72</v>
      </c>
      <c r="C283" s="2823" t="s">
        <v>666</v>
      </c>
      <c r="D283" s="2819" t="s">
        <v>164</v>
      </c>
      <c r="E283" s="2688" t="s">
        <v>667</v>
      </c>
      <c r="F283" s="2771" t="s">
        <v>412</v>
      </c>
    </row>
    <row r="284" spans="1:6" ht="39" customHeight="1">
      <c r="A284" s="2694"/>
      <c r="B284" s="2688">
        <v>73</v>
      </c>
      <c r="C284" s="2851" t="s">
        <v>668</v>
      </c>
      <c r="D284" s="2819" t="s">
        <v>159</v>
      </c>
      <c r="E284" s="2688" t="s">
        <v>669</v>
      </c>
      <c r="F284" s="2814" t="s">
        <v>361</v>
      </c>
    </row>
    <row r="285" spans="1:6" ht="39" customHeight="1" thickBot="1">
      <c r="A285" s="2852" t="s">
        <v>19</v>
      </c>
      <c r="B285" s="2688">
        <v>74</v>
      </c>
      <c r="C285" s="2853" t="s">
        <v>670</v>
      </c>
      <c r="D285" s="2854" t="s">
        <v>498</v>
      </c>
      <c r="E285" s="2749" t="s">
        <v>671</v>
      </c>
      <c r="F285" s="2855" t="s">
        <v>672</v>
      </c>
    </row>
    <row r="286" spans="1:6" ht="39" customHeight="1"/>
  </sheetData>
  <mergeCells count="3">
    <mergeCell ref="A15:F15"/>
    <mergeCell ref="A2:F2"/>
    <mergeCell ref="A18:F18"/>
  </mergeCells>
  <hyperlinks>
    <hyperlink ref="D240" r:id="rId1" xr:uid="{D3E2DF47-4AEA-4FC8-AAFE-0A34E0C74008}"/>
    <hyperlink ref="D161" r:id="rId2" xr:uid="{B13EAC87-C899-4861-BEE6-269DB8A95868}"/>
    <hyperlink ref="D128" r:id="rId3" xr:uid="{478359C9-49E3-42CC-ADE2-88202AE5057F}"/>
    <hyperlink ref="D217" r:id="rId4" xr:uid="{DB873EF4-2E32-4C80-9413-7A1477B84215}"/>
    <hyperlink ref="D143" r:id="rId5" xr:uid="{65971C66-BF60-44F8-BAE3-3C903BD2C2A0}"/>
    <hyperlink ref="D275" r:id="rId6" xr:uid="{330863ED-E2DC-4649-B5C5-9120C6B61E6B}"/>
    <hyperlink ref="D273" r:id="rId7" xr:uid="{37B80599-8325-4036-B80D-2DB55AF39FBB}"/>
    <hyperlink ref="D271" r:id="rId8" xr:uid="{5824331C-CC0D-4890-87E0-84BA405A8A1D}"/>
    <hyperlink ref="D272" r:id="rId9" xr:uid="{95F09B5D-B90A-4F3E-B960-AAB937672D3D}"/>
    <hyperlink ref="D239" r:id="rId10" xr:uid="{88585B3F-7BBA-4BF4-9B62-DC5B4AC39C60}"/>
    <hyperlink ref="D158" r:id="rId11" xr:uid="{8A6E337E-6F14-491C-9DAA-C8CF662835D3}"/>
    <hyperlink ref="D248" r:id="rId12" xr:uid="{ACAEC34F-B30D-440C-9A8A-A4F5B3613E23}"/>
    <hyperlink ref="D264" r:id="rId13" xr:uid="{E6C6C2B9-3399-40A5-A0FA-5F4F3A30961B}"/>
    <hyperlink ref="D263" r:id="rId14" xr:uid="{EE0087D9-3173-4852-92FB-64E5A9BF1D4C}"/>
    <hyperlink ref="D144" r:id="rId15" xr:uid="{375EC360-629D-4ACE-A48D-13CA5F17DDF7}"/>
    <hyperlink ref="D145" r:id="rId16" xr:uid="{A35124A8-4BA6-424A-86E5-13930ACE43B6}"/>
    <hyperlink ref="D220" r:id="rId17" xr:uid="{23802F5A-37BE-49BF-98F7-765DABAB1A7E}"/>
    <hyperlink ref="D274" r:id="rId18" xr:uid="{D6F661E4-68B1-4CBF-9B3C-13FD3E94EF83}"/>
    <hyperlink ref="D147" r:id="rId19" xr:uid="{B6B17BE4-D019-41AB-81FF-5DECCAB2177B}"/>
    <hyperlink ref="D146" r:id="rId20" xr:uid="{4FC52718-39DA-46B9-97C6-067273F3040C}"/>
    <hyperlink ref="D257" r:id="rId21" xr:uid="{35CFAB37-F871-482F-9D0A-1E0D2C88D89A}"/>
    <hyperlink ref="D284" r:id="rId22" xr:uid="{CB4C6CE1-7D7D-434E-BBB3-837AAB7E0925}"/>
    <hyperlink ref="D218" r:id="rId23" xr:uid="{FE5E1F04-7468-48D3-AC08-077B5A7A00EF}"/>
    <hyperlink ref="D259" r:id="rId24" xr:uid="{3D4FC4A0-7D3B-4FD2-BE48-24D253C6E5CA}"/>
    <hyperlink ref="D278" r:id="rId25" xr:uid="{4F89EB74-DBB1-44F1-AD04-F0E2804346F7}"/>
    <hyperlink ref="D277" r:id="rId26" xr:uid="{8815AA43-B992-41FC-8BE9-005E64238B08}"/>
    <hyperlink ref="D266" r:id="rId27" xr:uid="{262A5569-4B06-401E-9197-EB6717019405}"/>
    <hyperlink ref="D281" r:id="rId28" xr:uid="{017B89E7-ACA1-488F-95F4-7E7AD9336F1E}"/>
    <hyperlink ref="D276" r:id="rId29" xr:uid="{C0FA8A19-7308-4A35-A08A-2E55DDB3987D}"/>
    <hyperlink ref="D269" r:id="rId30" xr:uid="{BCAD5E01-CABA-439B-8371-4EBF02C43F96}"/>
    <hyperlink ref="D268" r:id="rId31" xr:uid="{402AD7A9-BC17-40F7-B580-CB7E5C82E169}"/>
    <hyperlink ref="D280" r:id="rId32" xr:uid="{9D90C7C7-4F38-45CE-86B6-839CF95ABA25}"/>
    <hyperlink ref="D282" r:id="rId33" xr:uid="{D2FF783E-6EF2-4DB2-B95D-54838BA1990F}"/>
    <hyperlink ref="D148" r:id="rId34" xr:uid="{E4D303C7-C7E1-40E8-9ACA-280EFC22AD0A}"/>
    <hyperlink ref="D260" r:id="rId35" xr:uid="{0569CA66-6A7B-4B6E-A9A2-7A5CCC28E53C}"/>
    <hyperlink ref="D267" r:id="rId36" xr:uid="{7B394965-6845-42FA-94F2-DE6A1107C663}"/>
    <hyperlink ref="D261" r:id="rId37" xr:uid="{F662302C-2E3C-474E-AF0B-133FEFE0FD21}"/>
    <hyperlink ref="D279" r:id="rId38" xr:uid="{88315543-A143-4B55-B0C3-4792B91DFC38}"/>
    <hyperlink ref="D219" r:id="rId39" xr:uid="{1D655DF3-4AC9-45CE-A037-BE2A58FE8903}"/>
    <hyperlink ref="D235" r:id="rId40" xr:uid="{F6AD4EA6-4944-4BD6-AB1C-EB350F93E1AC}"/>
    <hyperlink ref="D262" r:id="rId41" xr:uid="{37505084-D992-461C-B01D-E6A6E193BBF6}"/>
    <hyperlink ref="D203" r:id="rId42" xr:uid="{0E94324E-4859-4B7C-B5C8-925B41A73AA4}"/>
    <hyperlink ref="D204" r:id="rId43" xr:uid="{C32DBAA3-0FF9-4526-B34C-4F455E4F16C8}"/>
    <hyperlink ref="D209" r:id="rId44" xr:uid="{007DCCB5-79CC-47F8-B984-A657207810D7}"/>
    <hyperlink ref="D236" r:id="rId45" xr:uid="{F1D82195-1D87-4795-B901-46AACB75F813}"/>
    <hyperlink ref="D265" r:id="rId46" xr:uid="{37655FDA-C25F-4413-A550-B2349A4B109F}"/>
    <hyperlink ref="D250" r:id="rId47" xr:uid="{FC7F9325-26D4-4396-B25B-CBCAE76E8263}"/>
    <hyperlink ref="D205" r:id="rId48" xr:uid="{5FF5CDF4-953C-4DAE-A693-3CFB76662083}"/>
    <hyperlink ref="D258" r:id="rId49" xr:uid="{1B927BDC-B668-4858-9382-BA4D77457FC0}"/>
    <hyperlink ref="D142" r:id="rId50" xr:uid="{9E8DD381-44BF-42B9-A905-9D145343115B}"/>
    <hyperlink ref="D149" r:id="rId51" xr:uid="{2A504F1C-B46B-40DB-8AC6-A95DAA9A012E}"/>
    <hyperlink ref="D206" r:id="rId52" xr:uid="{CA6DECAF-C211-4DD1-A408-819A3D46C62D}"/>
    <hyperlink ref="D243" r:id="rId53" xr:uid="{78063E13-950F-4EA0-9780-231BD81FCBA4}"/>
    <hyperlink ref="D283" r:id="rId54" xr:uid="{DA420235-F238-4D9D-8116-2FD45C28BC3B}"/>
    <hyperlink ref="D270" r:id="rId55" xr:uid="{81425C77-2FB8-401C-953E-E04270E5337C}"/>
    <hyperlink ref="D152" r:id="rId56" xr:uid="{6B793717-787C-4DF9-8563-38989299A051}"/>
    <hyperlink ref="D245" r:id="rId57" xr:uid="{9F63E89B-82CC-4BA3-AD3A-CEBA85E9B46E}"/>
    <hyperlink ref="D247" r:id="rId58" xr:uid="{9AB85DE6-A992-469D-83C6-9C5C36E10C02}"/>
    <hyperlink ref="D253" r:id="rId59" xr:uid="{8284F88B-7513-43F2-BF8F-12260017490D}"/>
    <hyperlink ref="D256" r:id="rId60" xr:uid="{861DD64A-BEEF-4086-92F1-404E8DFD82B0}"/>
    <hyperlink ref="D285" r:id="rId61" xr:uid="{CE7CC5E8-59FB-42C1-8925-E4510B604914}"/>
    <hyperlink ref="D249" r:id="rId62" xr:uid="{33177D20-B714-4A7D-BE7D-52261575594B}"/>
    <hyperlink ref="D255" r:id="rId63" xr:uid="{5FEAD5A7-B61C-4189-BA43-EE98F983E9BA}"/>
    <hyperlink ref="D251" r:id="rId64" xr:uid="{919EFE23-1D48-4F4C-BADD-5030E61A56C7}"/>
    <hyperlink ref="D222" r:id="rId65" xr:uid="{EBC88F2D-5E68-433D-815E-59537D006A2F}"/>
    <hyperlink ref="D254" r:id="rId66" xr:uid="{C734CECC-A910-4DE0-B50A-B72484CE14DB}"/>
    <hyperlink ref="D234" r:id="rId67" xr:uid="{6B26C686-5F32-4BE1-AE2A-563B869150C8}"/>
    <hyperlink ref="D252" r:id="rId68" xr:uid="{2A71C6A0-CC47-4406-8719-261B4747CC28}"/>
    <hyperlink ref="D238" r:id="rId69" xr:uid="{B1399FB3-FC24-4A7F-9FA9-7B87AB0B4A26}"/>
    <hyperlink ref="D227" r:id="rId70" xr:uid="{93BF80A8-FFC9-4EDE-A403-6B4829565AEF}"/>
    <hyperlink ref="D246" r:id="rId71" xr:uid="{9B97B16D-251C-457C-9279-F16D47DB2004}"/>
    <hyperlink ref="D173" r:id="rId72" xr:uid="{F280AFAF-732E-4C6D-B071-7AA81622D65C}"/>
    <hyperlink ref="D96" r:id="rId73" xr:uid="{239677CD-F43D-408D-B9C9-F7ADEC391FD8}"/>
    <hyperlink ref="D244" r:id="rId74" xr:uid="{7D7350CB-6D6D-47CC-AD05-076B1F031023}"/>
    <hyperlink ref="D141" r:id="rId75" xr:uid="{CCB1B65D-AC03-45A7-9025-8B42E5264296}"/>
    <hyperlink ref="D138" r:id="rId76" xr:uid="{2B2A3EEC-A1A6-455E-8154-E70FC5B22777}"/>
    <hyperlink ref="D140" r:id="rId77" xr:uid="{8E36C171-35A3-4998-BB43-93502C157397}"/>
    <hyperlink ref="D228" r:id="rId78" xr:uid="{ACE9F203-9D06-471C-BCD4-5F849CB5EFF9}"/>
    <hyperlink ref="D221" r:id="rId79" xr:uid="{37B25C80-6227-484A-AD22-253013759431}"/>
    <hyperlink ref="D223" r:id="rId80" xr:uid="{340F481F-CC4D-46CB-B327-0BE7229D33FF}"/>
    <hyperlink ref="D241" r:id="rId81" xr:uid="{86862EB8-59F3-48FD-B865-A4B86648FB3B}"/>
    <hyperlink ref="D237" r:id="rId82" xr:uid="{4BB43F0D-E144-40A1-806B-BF5712CD229C}"/>
    <hyperlink ref="D193" r:id="rId83" xr:uid="{37F95742-5B2C-4E17-8E24-C910838920D4}"/>
    <hyperlink ref="D192" r:id="rId84" xr:uid="{592A40FD-37A0-4DF0-A423-E07FCD520EB1}"/>
    <hyperlink ref="D194" r:id="rId85" xr:uid="{3BB680A8-0F64-4790-85AD-4C9F02E2677B}"/>
    <hyperlink ref="D195" r:id="rId86" xr:uid="{0CEB99B8-C364-4553-9483-CBE113EAA0BE}"/>
    <hyperlink ref="D196" r:id="rId87" xr:uid="{013FCA91-09E6-446F-8829-3FED04B8D589}"/>
    <hyperlink ref="D150" r:id="rId88" xr:uid="{CFFC6578-E312-4C08-A45D-EFFF17CB510B}"/>
    <hyperlink ref="D151" r:id="rId89" xr:uid="{312EFCEF-C4EC-42A6-866A-2BB8A48992EC}"/>
    <hyperlink ref="D215" r:id="rId90" xr:uid="{C94746D7-685A-463E-87D2-56AA99D4C4FE}"/>
    <hyperlink ref="D172" r:id="rId91" xr:uid="{FBE37586-6FA8-485B-8AFD-A8F3710A6330}"/>
    <hyperlink ref="D168" r:id="rId92" xr:uid="{47DA83B1-5A97-47CF-92DD-C02322A1DF87}"/>
    <hyperlink ref="D167" r:id="rId93" xr:uid="{08BB6191-83B1-4A5F-9038-80857357BF16}"/>
    <hyperlink ref="D229" r:id="rId94" xr:uid="{17CA5B24-C864-4252-9511-AB54C7C92845}"/>
    <hyperlink ref="D198" r:id="rId95" xr:uid="{BE5E81F3-47C3-4B65-B540-6BE390F3126F}"/>
    <hyperlink ref="D197" r:id="rId96" xr:uid="{545C0F70-11A1-4EDF-8581-E12946F29C19}"/>
    <hyperlink ref="D191" r:id="rId97" xr:uid="{6935B00A-A360-47B5-983F-C01ECE889C9C}"/>
    <hyperlink ref="D233" r:id="rId98" xr:uid="{8333A546-17CB-41C1-9A9A-C18781064BD8}"/>
    <hyperlink ref="D242" r:id="rId99" xr:uid="{1DC3A25E-C92C-4CFE-8F78-F0891ED5580F}"/>
    <hyperlink ref="D165" r:id="rId100" xr:uid="{BB297EA4-E7CF-4209-9421-C29BC68100B3}"/>
    <hyperlink ref="D178" r:id="rId101" xr:uid="{9209D930-C799-4712-9BD4-9C53FE61AE89}"/>
    <hyperlink ref="D157" r:id="rId102" xr:uid="{3EB10CE4-9FC9-4F96-B389-92A3A97EFE2A}"/>
    <hyperlink ref="D214" r:id="rId103" xr:uid="{2BD0A747-C629-42A2-AE91-4AC0585FCB0D}"/>
    <hyperlink ref="D153" r:id="rId104" xr:uid="{A9F2B008-D214-40B9-8D0E-4E318A4557CA}"/>
    <hyperlink ref="D216" r:id="rId105" xr:uid="{8DA0563B-6BEE-4349-B2CB-914DE7A7C9F4}"/>
    <hyperlink ref="D190" r:id="rId106" xr:uid="{114F9890-0C78-4575-9C51-2C17039696FE}"/>
    <hyperlink ref="D231" r:id="rId107" xr:uid="{BBE48CE5-DA3D-46B1-89AA-310DFA0B6731}"/>
    <hyperlink ref="D232" r:id="rId108" xr:uid="{2825B3F3-2D8D-4672-8DB0-2B6AA08410E1}"/>
    <hyperlink ref="D213" r:id="rId109" xr:uid="{2D9C8EE8-C802-4FD6-A5FB-3022478075C7}"/>
    <hyperlink ref="D230" r:id="rId110" xr:uid="{08A6605C-025C-4771-AC12-0BB0B44A7993}"/>
    <hyperlink ref="D186" r:id="rId111" xr:uid="{CF0B189D-7C3B-4EE4-B26E-AFD7D2F5C33A}"/>
    <hyperlink ref="D225" r:id="rId112" xr:uid="{27C9EC2B-9A1A-470F-9776-6091BDAECACA}"/>
    <hyperlink ref="D160" r:id="rId113" xr:uid="{D44E9B8D-1612-4ECD-A794-199FF03535B7}"/>
    <hyperlink ref="D226" r:id="rId114" xr:uid="{6C64E2BA-7BE0-4BD5-BD5C-7BB450148097}"/>
    <hyperlink ref="D200" r:id="rId115" xr:uid="{96067DF8-4B86-494F-9B09-485E5450BAD9}"/>
    <hyperlink ref="D224" r:id="rId116" xr:uid="{7A24C2C9-7A6D-4358-B30B-6D9064D232A9}"/>
    <hyperlink ref="D176" r:id="rId117" xr:uid="{C1CDC6DE-6BAD-403B-A0A5-15DFD8752DCD}"/>
    <hyperlink ref="D189" r:id="rId118" xr:uid="{86FA3BBB-71B6-4EDD-AC9A-5871EC0F94F9}"/>
    <hyperlink ref="D212" r:id="rId119" xr:uid="{4A3A4972-C737-4C21-8C45-268723C00AF4}"/>
    <hyperlink ref="D169" r:id="rId120" xr:uid="{BF903DF7-0128-40DC-9F56-3ACDD25B9448}"/>
    <hyperlink ref="D170" r:id="rId121" xr:uid="{DF3108CB-4274-410B-84A3-24C9AE34415E}"/>
    <hyperlink ref="D187" r:id="rId122" xr:uid="{BBB59C06-ECBE-49F9-96BA-CE6C951192A0}"/>
    <hyperlink ref="D188" r:id="rId123" xr:uid="{31D221A8-9649-44BE-A05C-53F86C7295C0}"/>
    <hyperlink ref="D27" r:id="rId124" xr:uid="{39D7B227-11E5-4834-A3ED-C1110FFC4F3A}"/>
    <hyperlink ref="D8" r:id="rId125" xr:uid="{5DAADCE8-0260-436E-AFD3-2F13CF215ED3}"/>
    <hyperlink ref="D171" r:id="rId126" xr:uid="{B59C44E3-D50F-42DA-84FF-13B466A9245C}"/>
    <hyperlink ref="D174" r:id="rId127" xr:uid="{4A3F67CD-7662-4425-9878-7DEFA6D1DCDC}"/>
    <hyperlink ref="D164" r:id="rId128" xr:uid="{52680A16-0842-4407-BE02-3F0CF09EDC3C}"/>
    <hyperlink ref="D166" r:id="rId129" xr:uid="{810931B2-D433-478B-90CD-42D437B43BE3}"/>
    <hyperlink ref="D185" r:id="rId130" xr:uid="{5653FD9F-2B85-494E-AE61-47A2358D0516}"/>
    <hyperlink ref="D177" r:id="rId131" xr:uid="{04B5F105-ADD0-4EA6-BDC7-C5D1FBF25667}"/>
    <hyperlink ref="D175" r:id="rId132" xr:uid="{21E17EF1-9390-4CB0-ACA6-93E3E6E357BD}"/>
    <hyperlink ref="D183" r:id="rId133" xr:uid="{1BA3BB2E-4318-42EA-AE87-924FB2DC95AC}"/>
    <hyperlink ref="D132" r:id="rId134" xr:uid="{676F966B-4211-481F-828C-583D871764CD}"/>
    <hyperlink ref="D134" r:id="rId135" xr:uid="{E300A282-2AF6-401E-B2B8-AA679E04AD89}"/>
    <hyperlink ref="D159" r:id="rId136" xr:uid="{79A8938C-7908-48C8-82CF-138E9F82578E}"/>
    <hyperlink ref="D10" r:id="rId137" xr:uid="{211FD83D-A731-4878-BCF4-4B9AECBF99D4}"/>
    <hyperlink ref="D11" r:id="rId138" xr:uid="{401CE807-95AA-4262-8B81-9D5D21DD7F4D}"/>
    <hyperlink ref="D156" r:id="rId139" xr:uid="{0B888393-8831-41BA-8CC7-7306853112F4}"/>
    <hyperlink ref="D137" r:id="rId140" xr:uid="{7FAEC836-BC05-4BBE-8082-7E0C586F4968}"/>
    <hyperlink ref="D125" r:id="rId141" xr:uid="{4AC0CEE1-6276-4FE2-B1EA-8365A311733E}"/>
    <hyperlink ref="D182" r:id="rId142" xr:uid="{267CDA03-4AB3-4C9C-A580-5D9F1EE23CA9}"/>
    <hyperlink ref="D126" r:id="rId143" xr:uid="{17850510-4B76-424D-96B5-05409C46F9BE}"/>
    <hyperlink ref="D113" r:id="rId144" xr:uid="{2BE22BC4-D82A-4BE6-A59A-9A8418E6F89C}"/>
    <hyperlink ref="D127" r:id="rId145" xr:uid="{F63779A3-1AA3-439B-8EC7-DC813731CDCF}"/>
    <hyperlink ref="D45" r:id="rId146" xr:uid="{892D4E0A-3A31-4148-BCFF-9D63F879B7AE}"/>
    <hyperlink ref="D154" r:id="rId147" xr:uid="{C8860AEA-EB61-4384-B364-6BB918F961B0}"/>
    <hyperlink ref="D23" r:id="rId148" xr:uid="{9A7B3CA2-C254-4EBF-8357-BC4FEE75B09A}"/>
    <hyperlink ref="D133" r:id="rId149" xr:uid="{11B84523-5E3E-4CF2-9ED7-ED38BB191214}"/>
    <hyperlink ref="D109" r:id="rId150" xr:uid="{C354E42A-13F4-46D9-AE62-8AE6F7B2B7E1}"/>
    <hyperlink ref="D162" r:id="rId151" xr:uid="{ADD20365-7865-4545-A486-A36F80E7775E}"/>
    <hyperlink ref="D163" r:id="rId152" xr:uid="{E7F7E696-4535-4448-AA7A-14CF39A3A4C7}"/>
    <hyperlink ref="D114" r:id="rId153" xr:uid="{3E1AF877-3812-4938-801C-B904F6FA8C63}"/>
    <hyperlink ref="D47" r:id="rId154" xr:uid="{A0EC6B1C-6630-4A71-9A05-DDEAE9D5BF83}"/>
    <hyperlink ref="D130" r:id="rId155" xr:uid="{C4510C42-160F-4771-BF61-91F267C147D5}"/>
    <hyperlink ref="D129" r:id="rId156" xr:uid="{D6D18CCD-0109-448A-BB24-8F0E1261D60A}"/>
    <hyperlink ref="D33" r:id="rId157" xr:uid="{9A439949-68F4-4937-BD4E-2D52277EDED1}"/>
    <hyperlink ref="D155" r:id="rId158" xr:uid="{2E06DF96-0C40-45B0-9E8B-68191B45A4C7}"/>
    <hyperlink ref="D48" r:id="rId159" xr:uid="{F5AF51CE-C599-4612-BA59-31B8D79F83B2}"/>
    <hyperlink ref="D49" r:id="rId160" xr:uid="{FE0382C1-AA50-41A4-9425-C4FBEADF0D6D}"/>
    <hyperlink ref="D50:D76" r:id="rId161" display="https://mptenders.gov.in/nicgep/app" xr:uid="{0087C122-2CEA-410A-80D7-142E01A96B5A}"/>
    <hyperlink ref="D95" r:id="rId162" xr:uid="{9BA278E9-1078-4236-91CB-D1B9E638997C}"/>
    <hyperlink ref="D136" r:id="rId163" xr:uid="{AF64D669-FADA-4F62-994D-F2D399CE296C}"/>
    <hyperlink ref="D135" r:id="rId164" xr:uid="{50B37551-A630-4B1F-BCF7-00B3E6BFD7E7}"/>
    <hyperlink ref="D123" r:id="rId165" xr:uid="{244A296F-536B-4EA9-88B6-3FC367BD780C}"/>
    <hyperlink ref="D131" r:id="rId166" xr:uid="{8543D433-3368-482D-87CE-EFC8C0861B10}"/>
    <hyperlink ref="D112" r:id="rId167" xr:uid="{757F131F-CA89-49C8-A93E-BC22E9D7E1EA}"/>
    <hyperlink ref="D20" r:id="rId168" xr:uid="{FC5FED00-489E-41A7-9F5E-95982FA147F3}"/>
    <hyperlink ref="D108" r:id="rId169" xr:uid="{73ED0DFB-B296-4914-AF5A-0697D66497E3}"/>
    <hyperlink ref="D99" r:id="rId170" xr:uid="{FAAAF47A-A424-4A67-B0F4-413B42F5E0C8}"/>
    <hyperlink ref="D139" r:id="rId171" xr:uid="{8A20C266-B351-4CE6-A160-1C66E6CEBFA1}"/>
    <hyperlink ref="D115" r:id="rId172" xr:uid="{9DF40E65-7ECD-4EEB-BB49-8D3C8CBC936D}"/>
    <hyperlink ref="D111" r:id="rId173" xr:uid="{B425DD03-D6D1-4ADB-AC04-16F7893D3BFE}"/>
    <hyperlink ref="D116" r:id="rId174" xr:uid="{89C48D9A-284F-40D4-82EA-0A23B95433AA}"/>
    <hyperlink ref="D122" r:id="rId175" xr:uid="{3A41868A-8C1B-42B2-B555-6B533528D967}"/>
    <hyperlink ref="D97" r:id="rId176" xr:uid="{62536456-A06D-4A37-B694-D1E92D8A2235}"/>
    <hyperlink ref="D124" r:id="rId177" xr:uid="{4EDEA337-DACD-4311-87D2-4EFC3A64F96D}"/>
    <hyperlink ref="D78" r:id="rId178" xr:uid="{2079E963-83AD-4DFA-8A2B-18D69D686FE4}"/>
    <hyperlink ref="D100" r:id="rId179" xr:uid="{0CD7D824-E8DD-45CD-AEE9-A7C2C88F108E}"/>
    <hyperlink ref="D77" r:id="rId180" xr:uid="{6740BC85-DC2A-4393-9CDB-D80FC36A414D}"/>
    <hyperlink ref="D201" r:id="rId181" xr:uid="{E7E43C7D-8591-4299-8D9C-C4836D19B0DD}"/>
    <hyperlink ref="D121" r:id="rId182" xr:uid="{2E1337D6-3752-4FAA-8ABE-09D807065876}"/>
    <hyperlink ref="D105" r:id="rId183" xr:uid="{7231F113-5C5F-489C-BD1E-F8FAFF56E45A}"/>
    <hyperlink ref="D106" r:id="rId184" xr:uid="{2837A81D-7B32-4EF5-8490-253FCD87CDB3}"/>
    <hyperlink ref="D101" r:id="rId185" xr:uid="{1F07B4C2-29BB-4FD2-A561-DC56F4F471A9}"/>
    <hyperlink ref="D120" r:id="rId186" xr:uid="{74C06108-05A0-4910-8FE1-4105B89A6F4C}"/>
    <hyperlink ref="D9" r:id="rId187" xr:uid="{470BB337-EF2E-4D37-BCBA-350CB4FB4AD8}"/>
    <hyperlink ref="D83" r:id="rId188" xr:uid="{F620786C-4D95-4705-AE54-1D6F19DBCA40}"/>
    <hyperlink ref="D82" r:id="rId189" xr:uid="{0F7FE1F7-39D5-42E0-A957-57A769B44EBA}"/>
    <hyperlink ref="D107" r:id="rId190" xr:uid="{E00F75F9-D38C-427F-AB36-D7A8569F8111}"/>
    <hyperlink ref="D98" r:id="rId191" xr:uid="{6E16C770-C513-484D-B9D5-DFA41D4D7F3D}"/>
    <hyperlink ref="D93" r:id="rId192" xr:uid="{64CAE1D0-F920-4E4D-A092-0CF0BB423D57}"/>
    <hyperlink ref="D5" r:id="rId193" xr:uid="{A3BEEFE3-2B6D-45F1-90AA-DE3CC46A6A59}"/>
    <hyperlink ref="D16" r:id="rId194" xr:uid="{BC7727CD-C173-4BD1-B425-FF8F358E4B2A}"/>
    <hyperlink ref="D35" r:id="rId195" xr:uid="{22A1374E-47AD-4B7F-8346-720D8CA26C5E}"/>
    <hyperlink ref="D117" r:id="rId196" xr:uid="{35F3EB0D-DE1A-4BCB-8A38-09FB1842A3F1}"/>
    <hyperlink ref="D81" r:id="rId197" xr:uid="{8928CB4E-2942-4D8F-892E-B5D283C77835}"/>
    <hyperlink ref="D110" r:id="rId198" xr:uid="{4B65879A-E149-4677-A3EA-E2D75574C955}"/>
    <hyperlink ref="D104" r:id="rId199" xr:uid="{497C403A-63AD-44BF-AC42-60BB7EA6B339}"/>
    <hyperlink ref="D102" r:id="rId200" xr:uid="{4DC0A4F5-A12B-4442-8DA2-6B232E700450}"/>
    <hyperlink ref="D103" r:id="rId201" xr:uid="{503BAAAC-51F9-416C-8F12-839A565D5178}"/>
    <hyperlink ref="D118" r:id="rId202" xr:uid="{78C022B2-53B4-48FA-B5F3-B3C18C6FF4CC}"/>
    <hyperlink ref="D94" r:id="rId203" xr:uid="{CCA55149-E9AC-4E21-B1B5-3955AA2B4534}"/>
    <hyperlink ref="D46" r:id="rId204" xr:uid="{C8A64DB9-7F1A-45FA-B6DC-8D6068A333E7}"/>
    <hyperlink ref="D80" r:id="rId205" xr:uid="{49E71BD5-005B-4DB3-B7E6-15F650C627F1}"/>
    <hyperlink ref="D84" r:id="rId206" xr:uid="{6E92C054-DDF0-447A-A2F9-18F493900320}"/>
    <hyperlink ref="D3" r:id="rId207" xr:uid="{50F0CEFD-DB10-44BC-892C-4D08E6F20946}"/>
    <hyperlink ref="D85" r:id="rId208" xr:uid="{3E651CAE-F593-4518-BA4E-C84AC9277961}"/>
    <hyperlink ref="D37" r:id="rId209" xr:uid="{233A86C4-0BAC-4213-96A0-7BE725A552E0}"/>
    <hyperlink ref="D41" r:id="rId210" xr:uid="{B08CF269-36CA-4379-9F4E-AF1DD06A688D}"/>
    <hyperlink ref="D36" r:id="rId211" xr:uid="{30DFB9D8-98CB-42D8-A185-FE94F4F72DBA}"/>
    <hyperlink ref="D19" r:id="rId212" xr:uid="{9C98F587-3F25-44A6-BB37-FBF3FA42561D}"/>
    <hyperlink ref="D17" r:id="rId213" xr:uid="{6E8B2BAF-E3B7-43C6-9420-7AEBAA2CDAF4}"/>
    <hyperlink ref="D87" r:id="rId214" xr:uid="{792C0818-E20A-456E-BED3-9030AB8B5C09}"/>
    <hyperlink ref="D88" r:id="rId215" xr:uid="{BB4ADD81-A8CD-44FC-925D-B4275AB90F68}"/>
    <hyperlink ref="D89" r:id="rId216" xr:uid="{CB1535E8-9601-4EA3-9C8A-62E6650FA249}"/>
    <hyperlink ref="D90" r:id="rId217" xr:uid="{52A7F830-5A99-4CAF-9C5C-6AEB7E4C2311}"/>
    <hyperlink ref="D91" r:id="rId218" xr:uid="{B9737F04-89F4-4EBC-8CB5-402138DBE983}"/>
    <hyperlink ref="D86" r:id="rId219" xr:uid="{2AD19C42-DD3A-46D8-A90F-193D88AFEC08}"/>
    <hyperlink ref="D79" r:id="rId220" xr:uid="{5354B82C-39A2-433D-B939-E7B1B7A7BA6F}"/>
    <hyperlink ref="D34" r:id="rId221" xr:uid="{91205100-B61F-40DD-BBC1-CF0CBCF32713}"/>
    <hyperlink ref="D6" r:id="rId222" xr:uid="{5FC595AE-9583-404F-B3DF-15435CA96EA1}"/>
    <hyperlink ref="D4" r:id="rId223" xr:uid="{4B2A16C6-B22A-4EC2-8E77-21267214DE11}"/>
    <hyperlink ref="D29" r:id="rId224" xr:uid="{BB21C89E-DDF6-43C8-A1B0-ED286810B951}"/>
    <hyperlink ref="D43" r:id="rId225" xr:uid="{CCEAC965-9A85-4C8F-8043-E55B9D4873E6}"/>
    <hyperlink ref="D44" r:id="rId226" xr:uid="{7FF657E8-4097-46DD-9237-80DBA9E851EE}"/>
    <hyperlink ref="D13" r:id="rId227" xr:uid="{7FB890C4-EDCE-46B5-9A66-D72153463BCA}"/>
    <hyperlink ref="D42" r:id="rId228" xr:uid="{505BF33F-2D54-4115-9736-45F6899853C4}"/>
    <hyperlink ref="D12" r:id="rId229" xr:uid="{A987C561-DE9D-46DF-8E29-C41AC7C9B7F2}"/>
    <hyperlink ref="D7" r:id="rId230" xr:uid="{25E3EA02-95CD-40B8-98C3-687763B1BEE9}"/>
    <hyperlink ref="D38" r:id="rId231" xr:uid="{A5C80FBD-E747-4B5C-B8EB-39A3B737EC3C}"/>
    <hyperlink ref="D40" r:id="rId232" xr:uid="{5D34BEED-37FF-4313-9FB0-A8EC1634AD24}"/>
    <hyperlink ref="D32" r:id="rId233" xr:uid="{CC7E854B-C522-4BC2-AD96-AA79A455D36C}"/>
    <hyperlink ref="D21" r:id="rId234" xr:uid="{4B5B392F-BB45-49B0-9FA9-46C0A754D2B9}"/>
    <hyperlink ref="D22" r:id="rId235" xr:uid="{3BBF6C55-0558-4A0A-AF87-22FEDA3E2864}"/>
    <hyperlink ref="D24" r:id="rId236" xr:uid="{FC4ED1B7-0C44-4EC5-9F04-D85A4104FDDA}"/>
    <hyperlink ref="D25" r:id="rId237" xr:uid="{28DF2011-7CD5-454C-B293-C3562438A3D2}"/>
    <hyperlink ref="D26" r:id="rId238" xr:uid="{F05779EC-B453-4BE7-B4FD-A8843B72BDA5}"/>
    <hyperlink ref="D14" r:id="rId239" xr:uid="{517AAD59-95A0-4B20-A89B-EA964EB42B21}"/>
    <hyperlink ref="D28" r:id="rId240" xr:uid="{E137E3A4-498D-4D91-8420-DA2600281194}"/>
    <hyperlink ref="D39" r:id="rId241" xr:uid="{59760FAF-B24F-44E5-96C0-66EC20D99E82}"/>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77"/>
  <sheetViews>
    <sheetView topLeftCell="A13" zoomScale="50" zoomScaleNormal="50" workbookViewId="0">
      <selection activeCell="R6" sqref="R6"/>
    </sheetView>
  </sheetViews>
  <sheetFormatPr defaultColWidth="9.1796875" defaultRowHeight="20"/>
  <cols>
    <col min="1" max="1" width="12.54296875" style="529" customWidth="1"/>
    <col min="2" max="2" width="16.81640625" style="529" customWidth="1"/>
    <col min="3" max="3" width="9.453125" style="529" customWidth="1"/>
    <col min="4" max="4" width="18.1796875" style="529" customWidth="1"/>
    <col min="5" max="5" width="82.81640625" style="529" customWidth="1"/>
    <col min="6" max="6" width="31.7265625" style="528" customWidth="1"/>
    <col min="7" max="7" width="39.26953125" style="529" customWidth="1"/>
    <col min="8" max="8" width="35.453125" style="556" customWidth="1"/>
    <col min="9" max="9" width="26.7265625" style="529" customWidth="1"/>
    <col min="10" max="10" width="30.1796875" style="529" customWidth="1"/>
    <col min="11" max="11" width="13.26953125" style="556" customWidth="1"/>
    <col min="12" max="12" width="13.81640625" style="1192" customWidth="1"/>
    <col min="13" max="13" width="34.26953125" style="564" customWidth="1"/>
    <col min="14" max="14" width="106.26953125" style="1193" customWidth="1"/>
    <col min="15" max="15" width="21.81640625" style="1193" bestFit="1" customWidth="1"/>
    <col min="16" max="16" width="69.7265625" style="1194" customWidth="1"/>
    <col min="17" max="17" width="40.1796875" style="1195" customWidth="1"/>
    <col min="18" max="18" width="43.453125" style="564" customWidth="1"/>
    <col min="19" max="19" width="94.7265625" style="564" customWidth="1"/>
    <col min="20" max="20" width="58" style="1196" customWidth="1"/>
    <col min="21" max="21" width="52.54296875" style="1197" customWidth="1"/>
    <col min="22" max="16384" width="9.1796875" style="528"/>
  </cols>
  <sheetData>
    <row r="1" spans="1:22" ht="36.75" customHeight="1" thickBot="1">
      <c r="A1" s="3015" t="s">
        <v>0</v>
      </c>
      <c r="B1" s="3016"/>
      <c r="C1" s="3016"/>
      <c r="D1" s="3016"/>
      <c r="E1" s="3016"/>
      <c r="F1" s="3016"/>
      <c r="G1" s="3016"/>
      <c r="H1" s="3016"/>
      <c r="I1" s="3016"/>
      <c r="J1" s="3016"/>
      <c r="K1" s="3016"/>
      <c r="L1" s="3016"/>
      <c r="M1" s="3016"/>
      <c r="N1" s="3016"/>
      <c r="O1" s="3016"/>
      <c r="P1" s="3017"/>
      <c r="Q1" s="1266"/>
      <c r="R1" s="1187"/>
      <c r="S1" s="1187"/>
      <c r="T1" s="1187"/>
      <c r="U1" s="528"/>
    </row>
    <row r="2" spans="1:22" s="529" customFormat="1" ht="80.25" customHeight="1" thickBot="1">
      <c r="A2" s="530" t="s">
        <v>1</v>
      </c>
      <c r="B2" s="1198"/>
      <c r="C2" s="1198"/>
      <c r="D2" s="532" t="s">
        <v>679</v>
      </c>
      <c r="E2" s="532" t="s">
        <v>5</v>
      </c>
      <c r="F2" s="532" t="s">
        <v>6</v>
      </c>
      <c r="G2" s="532" t="s">
        <v>7</v>
      </c>
      <c r="H2" s="539" t="s">
        <v>682</v>
      </c>
      <c r="I2" s="540" t="s">
        <v>683</v>
      </c>
      <c r="J2" s="532" t="s">
        <v>684</v>
      </c>
      <c r="K2" s="541" t="s">
        <v>685</v>
      </c>
      <c r="L2" s="542" t="s">
        <v>12</v>
      </c>
      <c r="M2" s="1459" t="s">
        <v>13</v>
      </c>
      <c r="N2" s="532" t="s">
        <v>14</v>
      </c>
      <c r="O2" s="2426" t="s">
        <v>5779</v>
      </c>
      <c r="P2" s="547" t="s">
        <v>15</v>
      </c>
      <c r="Q2" s="1267" t="s">
        <v>16</v>
      </c>
      <c r="R2" s="1187" t="s">
        <v>686</v>
      </c>
      <c r="S2" s="1187"/>
      <c r="T2" s="1187"/>
    </row>
    <row r="4" spans="1:22" s="2583" customFormat="1" ht="127.5" customHeight="1">
      <c r="A4" s="828">
        <v>15</v>
      </c>
      <c r="B4" s="1491" t="s">
        <v>63</v>
      </c>
      <c r="C4" s="1491" t="s">
        <v>68</v>
      </c>
      <c r="D4" s="2659">
        <v>211.57</v>
      </c>
      <c r="E4" s="2660" t="s">
        <v>6050</v>
      </c>
      <c r="F4" s="2649" t="s">
        <v>75</v>
      </c>
      <c r="G4" s="2650" t="s">
        <v>6058</v>
      </c>
      <c r="H4" s="2650" t="s">
        <v>6057</v>
      </c>
      <c r="I4" s="2650" t="s">
        <v>6060</v>
      </c>
      <c r="J4" s="2643">
        <v>42315760</v>
      </c>
      <c r="K4" s="2651">
        <v>0.05</v>
      </c>
      <c r="L4" s="2652">
        <v>10.57</v>
      </c>
      <c r="M4" s="2650" t="s">
        <v>6059</v>
      </c>
      <c r="N4" s="2975" t="s">
        <v>6061</v>
      </c>
      <c r="O4" s="2975"/>
      <c r="P4" s="2654" t="s">
        <v>676</v>
      </c>
      <c r="Q4" s="2356"/>
      <c r="R4" s="1270" t="s">
        <v>302</v>
      </c>
      <c r="S4" s="2358"/>
      <c r="T4" s="2898"/>
      <c r="U4" s="2473"/>
      <c r="V4" s="2582"/>
    </row>
    <row r="5" spans="1:22" s="2583" customFormat="1" ht="67.900000000000006" customHeight="1" thickBot="1">
      <c r="A5" s="828">
        <v>1</v>
      </c>
      <c r="B5" s="1491" t="s">
        <v>19</v>
      </c>
      <c r="C5" s="1491" t="s">
        <v>68</v>
      </c>
      <c r="D5" s="2470">
        <v>4.45</v>
      </c>
      <c r="E5" s="2365" t="s">
        <v>5863</v>
      </c>
      <c r="F5" s="2366" t="s">
        <v>43</v>
      </c>
      <c r="G5" s="2367" t="s">
        <v>43</v>
      </c>
      <c r="H5" s="2367" t="s">
        <v>5984</v>
      </c>
      <c r="I5" s="2367" t="s">
        <v>5985</v>
      </c>
      <c r="J5" s="2360">
        <v>890000</v>
      </c>
      <c r="K5" s="2369">
        <v>0.02</v>
      </c>
      <c r="L5" s="2370">
        <v>0.08</v>
      </c>
      <c r="M5" s="2367" t="s">
        <v>5870</v>
      </c>
      <c r="N5" s="2475" t="s">
        <v>5986</v>
      </c>
      <c r="O5" s="2367" t="s">
        <v>5781</v>
      </c>
      <c r="P5" s="2371" t="s">
        <v>5868</v>
      </c>
      <c r="Q5" s="2356"/>
      <c r="R5" s="2581"/>
      <c r="S5" s="2358"/>
      <c r="T5" s="2359"/>
      <c r="U5" s="2473"/>
      <c r="V5" s="2582"/>
    </row>
    <row r="6" spans="1:22" s="2583" customFormat="1" ht="127.5" customHeight="1" thickBot="1">
      <c r="A6" s="2481">
        <v>20</v>
      </c>
      <c r="B6" s="2482" t="s">
        <v>45</v>
      </c>
      <c r="C6" s="2483"/>
      <c r="D6" s="2555">
        <v>425</v>
      </c>
      <c r="E6" s="2556" t="s">
        <v>131</v>
      </c>
      <c r="F6" s="2557" t="s">
        <v>75</v>
      </c>
      <c r="G6" s="2558" t="s">
        <v>132</v>
      </c>
      <c r="H6" s="2558" t="s">
        <v>5930</v>
      </c>
      <c r="I6" s="2558" t="s">
        <v>5931</v>
      </c>
      <c r="J6" s="2559">
        <v>85000000</v>
      </c>
      <c r="K6" s="2560">
        <v>0.05</v>
      </c>
      <c r="L6" s="2561">
        <v>21.25</v>
      </c>
      <c r="M6" s="2558" t="s">
        <v>133</v>
      </c>
      <c r="N6" s="3018" t="s">
        <v>5929</v>
      </c>
      <c r="O6" s="3018"/>
      <c r="P6" s="2492" t="s">
        <v>134</v>
      </c>
      <c r="Q6" s="2473"/>
      <c r="R6" s="2480"/>
      <c r="S6" s="2473"/>
      <c r="T6" s="2477"/>
      <c r="U6" s="2473"/>
      <c r="V6" s="2582"/>
    </row>
    <row r="7" spans="1:22" s="2583" customFormat="1" ht="81.75" customHeight="1">
      <c r="A7" s="2481">
        <v>18</v>
      </c>
      <c r="B7" s="2482" t="s">
        <v>19</v>
      </c>
      <c r="C7" s="2483" t="s">
        <v>20</v>
      </c>
      <c r="D7" s="2501">
        <v>5.92</v>
      </c>
      <c r="E7" s="2499" t="s">
        <v>5793</v>
      </c>
      <c r="F7" s="2553" t="s">
        <v>43</v>
      </c>
      <c r="G7" s="2501" t="s">
        <v>43</v>
      </c>
      <c r="H7" s="2501" t="s">
        <v>5876</v>
      </c>
      <c r="I7" s="2501" t="s">
        <v>5812</v>
      </c>
      <c r="J7" s="2566">
        <v>1185000</v>
      </c>
      <c r="K7" s="2567">
        <v>0.05</v>
      </c>
      <c r="L7" s="2501">
        <f>D7*K7</f>
        <v>0.29599999999999999</v>
      </c>
      <c r="M7" s="2501" t="s">
        <v>34</v>
      </c>
      <c r="N7" s="2506" t="s">
        <v>5875</v>
      </c>
      <c r="O7" s="2501" t="s">
        <v>5781</v>
      </c>
      <c r="P7" s="2508" t="s">
        <v>89</v>
      </c>
      <c r="Q7" s="2473"/>
      <c r="R7" s="899" t="s">
        <v>317</v>
      </c>
      <c r="S7" s="2587" t="s">
        <v>5802</v>
      </c>
      <c r="T7" s="2588" t="s">
        <v>5830</v>
      </c>
      <c r="U7" s="2359" t="s">
        <v>5851</v>
      </c>
      <c r="V7" s="2582"/>
    </row>
    <row r="8" spans="1:22" s="899" customFormat="1" ht="55.15" customHeight="1" thickBot="1">
      <c r="A8" s="828">
        <v>1</v>
      </c>
      <c r="B8" s="2361" t="s">
        <v>19</v>
      </c>
      <c r="C8" s="1491" t="s">
        <v>20</v>
      </c>
      <c r="D8" s="2362">
        <v>25</v>
      </c>
      <c r="E8" s="1207" t="s">
        <v>5724</v>
      </c>
      <c r="F8" s="1818" t="s">
        <v>5728</v>
      </c>
      <c r="G8" s="1820" t="s">
        <v>43</v>
      </c>
      <c r="H8" s="1820" t="s">
        <v>5726</v>
      </c>
      <c r="I8" s="1820" t="s">
        <v>5727</v>
      </c>
      <c r="J8" s="861">
        <v>2500454</v>
      </c>
      <c r="K8" s="862">
        <v>0.05</v>
      </c>
      <c r="L8" s="829">
        <f>D8*K8</f>
        <v>1.25</v>
      </c>
      <c r="M8" s="1820" t="s">
        <v>746</v>
      </c>
      <c r="N8" s="1820" t="s">
        <v>49</v>
      </c>
      <c r="O8" s="1820" t="s">
        <v>5780</v>
      </c>
      <c r="P8" s="1496" t="s">
        <v>5710</v>
      </c>
      <c r="Q8" s="2376" t="s">
        <v>5842</v>
      </c>
      <c r="R8" s="2357" t="s">
        <v>337</v>
      </c>
      <c r="S8" s="1289" t="s">
        <v>5733</v>
      </c>
      <c r="T8" s="1288" t="s">
        <v>5830</v>
      </c>
      <c r="U8" s="1292" t="s">
        <v>5843</v>
      </c>
      <c r="V8" s="1285"/>
    </row>
    <row r="9" spans="1:22" s="899" customFormat="1" ht="58.5" customHeight="1" thickBot="1">
      <c r="A9" s="2481">
        <v>16</v>
      </c>
      <c r="B9" s="2482" t="s">
        <v>19</v>
      </c>
      <c r="C9" s="2482" t="s">
        <v>20</v>
      </c>
      <c r="D9" s="2552">
        <v>150</v>
      </c>
      <c r="E9" s="2499" t="s">
        <v>93</v>
      </c>
      <c r="F9" s="2553" t="s">
        <v>94</v>
      </c>
      <c r="G9" s="2501" t="s">
        <v>95</v>
      </c>
      <c r="H9" s="2501" t="s">
        <v>96</v>
      </c>
      <c r="I9" s="2501" t="s">
        <v>97</v>
      </c>
      <c r="J9" s="2503">
        <v>30000000</v>
      </c>
      <c r="K9" s="2504">
        <v>0.1</v>
      </c>
      <c r="L9" s="2505">
        <v>15</v>
      </c>
      <c r="M9" s="2501" t="s">
        <v>61</v>
      </c>
      <c r="N9" s="2554" t="s">
        <v>5770</v>
      </c>
      <c r="O9" s="2501" t="s">
        <v>5780</v>
      </c>
      <c r="P9" s="2508" t="s">
        <v>98</v>
      </c>
      <c r="Q9" s="755" t="s">
        <v>5852</v>
      </c>
      <c r="R9" s="2357" t="s">
        <v>337</v>
      </c>
      <c r="S9" s="1289" t="s">
        <v>5853</v>
      </c>
      <c r="T9" s="1288" t="s">
        <v>5854</v>
      </c>
      <c r="U9" s="1292" t="s">
        <v>5855</v>
      </c>
      <c r="V9" s="1285"/>
    </row>
    <row r="10" spans="1:22" s="899" customFormat="1" ht="68.25" customHeight="1" thickBot="1">
      <c r="A10" s="2481">
        <v>15</v>
      </c>
      <c r="B10" s="2497" t="s">
        <v>45</v>
      </c>
      <c r="C10" s="2482" t="s">
        <v>20</v>
      </c>
      <c r="D10" s="2498">
        <v>70</v>
      </c>
      <c r="E10" s="2499" t="s">
        <v>64</v>
      </c>
      <c r="F10" s="2500" t="s">
        <v>65</v>
      </c>
      <c r="G10" s="2501" t="s">
        <v>66</v>
      </c>
      <c r="H10" s="2502" t="s">
        <v>5704</v>
      </c>
      <c r="I10" s="2502" t="s">
        <v>5705</v>
      </c>
      <c r="J10" s="2503">
        <v>14000000</v>
      </c>
      <c r="K10" s="2504">
        <v>0.05</v>
      </c>
      <c r="L10" s="2505">
        <v>3.5</v>
      </c>
      <c r="M10" s="2501" t="s">
        <v>67</v>
      </c>
      <c r="N10" s="2506" t="s">
        <v>5706</v>
      </c>
      <c r="O10" s="2507" t="s">
        <v>5780</v>
      </c>
      <c r="P10" s="2508" t="s">
        <v>28</v>
      </c>
      <c r="Q10" s="755"/>
      <c r="R10" s="899" t="s">
        <v>317</v>
      </c>
      <c r="S10" s="1289" t="s">
        <v>5717</v>
      </c>
      <c r="T10" s="1292" t="s">
        <v>5851</v>
      </c>
      <c r="U10" s="1185"/>
      <c r="V10" s="1285"/>
    </row>
    <row r="11" spans="1:22" s="899" customFormat="1" ht="86.25" customHeight="1">
      <c r="A11" s="2481">
        <v>18</v>
      </c>
      <c r="B11" s="2482" t="s">
        <v>45</v>
      </c>
      <c r="C11" s="2483"/>
      <c r="D11" s="2484">
        <v>400</v>
      </c>
      <c r="E11" s="2485" t="s">
        <v>5818</v>
      </c>
      <c r="F11" s="2486" t="s">
        <v>43</v>
      </c>
      <c r="G11" s="2487" t="s">
        <v>43</v>
      </c>
      <c r="H11" s="2487" t="s">
        <v>88</v>
      </c>
      <c r="I11" s="2487" t="s">
        <v>5688</v>
      </c>
      <c r="J11" s="2488">
        <v>40000000</v>
      </c>
      <c r="K11" s="2489">
        <v>0.05</v>
      </c>
      <c r="L11" s="2490">
        <f>D11*K11</f>
        <v>20</v>
      </c>
      <c r="M11" s="2491" t="s">
        <v>5743</v>
      </c>
      <c r="N11" s="3018" t="s">
        <v>5821</v>
      </c>
      <c r="O11" s="3018"/>
      <c r="P11" s="2492" t="s">
        <v>5822</v>
      </c>
      <c r="Q11" s="2356"/>
      <c r="R11" s="2357" t="s">
        <v>337</v>
      </c>
      <c r="S11" s="2358"/>
      <c r="T11" s="2477"/>
      <c r="U11" s="1185"/>
      <c r="V11" s="1285"/>
    </row>
    <row r="12" spans="1:22" s="899" customFormat="1" ht="84" customHeight="1" thickBot="1">
      <c r="A12" s="30">
        <v>1</v>
      </c>
      <c r="B12" s="1449" t="s">
        <v>45</v>
      </c>
      <c r="C12" s="1449" t="s">
        <v>20</v>
      </c>
      <c r="D12" s="587">
        <v>14</v>
      </c>
      <c r="E12" s="903" t="s">
        <v>5815</v>
      </c>
      <c r="F12" s="1905" t="s">
        <v>43</v>
      </c>
      <c r="G12" s="1482" t="s">
        <v>5694</v>
      </c>
      <c r="H12" s="1483" t="s">
        <v>5755</v>
      </c>
      <c r="I12" s="1483" t="s">
        <v>5756</v>
      </c>
      <c r="J12" s="863">
        <v>1400000</v>
      </c>
      <c r="K12" s="919">
        <v>0.05</v>
      </c>
      <c r="L12" s="920">
        <v>0.7</v>
      </c>
      <c r="M12" s="1482" t="s">
        <v>5695</v>
      </c>
      <c r="N12" s="1484" t="s">
        <v>5813</v>
      </c>
      <c r="O12" s="2385" t="s">
        <v>5780</v>
      </c>
      <c r="P12" s="1650" t="s">
        <v>5696</v>
      </c>
      <c r="Q12" s="755" t="s">
        <v>36</v>
      </c>
      <c r="S12" s="2373" t="s">
        <v>5828</v>
      </c>
      <c r="T12" s="1288" t="s">
        <v>5829</v>
      </c>
      <c r="U12" s="1185"/>
      <c r="V12" s="1285"/>
    </row>
    <row r="13" spans="1:22" s="899" customFormat="1" ht="61.5" customHeight="1">
      <c r="A13" s="27">
        <v>19</v>
      </c>
      <c r="B13" s="2390" t="s">
        <v>68</v>
      </c>
      <c r="C13" s="2372"/>
      <c r="D13" s="2391">
        <v>40</v>
      </c>
      <c r="E13" s="2392" t="s">
        <v>125</v>
      </c>
      <c r="F13" s="2393" t="s">
        <v>126</v>
      </c>
      <c r="G13" s="2394" t="s">
        <v>127</v>
      </c>
      <c r="H13" s="2394" t="s">
        <v>5730</v>
      </c>
      <c r="I13" s="2394" t="s">
        <v>77</v>
      </c>
      <c r="J13" s="2395">
        <v>8000000</v>
      </c>
      <c r="K13" s="2396">
        <v>0.03</v>
      </c>
      <c r="L13" s="2391">
        <v>1.2</v>
      </c>
      <c r="M13" s="2394" t="s">
        <v>128</v>
      </c>
      <c r="N13" s="2399" t="s">
        <v>5731</v>
      </c>
      <c r="O13" s="2427"/>
      <c r="P13" s="2381" t="s">
        <v>129</v>
      </c>
      <c r="R13" s="1185" t="s">
        <v>317</v>
      </c>
      <c r="S13" s="1185"/>
      <c r="T13" s="1284"/>
      <c r="U13" s="1185"/>
      <c r="V13" s="1285"/>
    </row>
    <row r="14" spans="1:22" s="899" customFormat="1" ht="58.5" customHeight="1">
      <c r="A14" s="828">
        <v>1</v>
      </c>
      <c r="B14" s="2361" t="s">
        <v>19</v>
      </c>
      <c r="C14" s="1491" t="s">
        <v>20</v>
      </c>
      <c r="D14" s="2362">
        <v>1.5</v>
      </c>
      <c r="E14" s="1207" t="s">
        <v>50</v>
      </c>
      <c r="F14" s="830" t="s">
        <v>43</v>
      </c>
      <c r="G14" s="1820" t="s">
        <v>43</v>
      </c>
      <c r="H14" s="2363" t="s">
        <v>5752</v>
      </c>
      <c r="I14" s="2363" t="s">
        <v>5753</v>
      </c>
      <c r="J14" s="861">
        <v>200000</v>
      </c>
      <c r="K14" s="862">
        <v>0.03</v>
      </c>
      <c r="L14" s="829">
        <v>0.04</v>
      </c>
      <c r="M14" s="1820" t="s">
        <v>43</v>
      </c>
      <c r="N14" s="1493" t="s">
        <v>5751</v>
      </c>
      <c r="O14" s="2430"/>
      <c r="P14" s="1496" t="s">
        <v>41</v>
      </c>
      <c r="Q14" s="2356" t="s">
        <v>5768</v>
      </c>
      <c r="R14" s="1289" t="s">
        <v>324</v>
      </c>
      <c r="S14" s="2357" t="s">
        <v>5722</v>
      </c>
      <c r="T14" s="2359"/>
      <c r="U14" s="1185"/>
      <c r="V14" s="1285"/>
    </row>
    <row r="15" spans="1:22" s="899" customFormat="1" ht="66" customHeight="1">
      <c r="A15" s="828">
        <v>5</v>
      </c>
      <c r="B15" s="2361" t="s">
        <v>19</v>
      </c>
      <c r="C15" s="1491" t="s">
        <v>68</v>
      </c>
      <c r="D15" s="2364">
        <v>4.7</v>
      </c>
      <c r="E15" s="2365" t="s">
        <v>74</v>
      </c>
      <c r="F15" s="2366" t="s">
        <v>75</v>
      </c>
      <c r="G15" s="2367" t="s">
        <v>76</v>
      </c>
      <c r="H15" s="2368" t="s">
        <v>77</v>
      </c>
      <c r="I15" s="2368" t="s">
        <v>78</v>
      </c>
      <c r="J15" s="2360">
        <v>400000</v>
      </c>
      <c r="K15" s="2369">
        <v>0.05</v>
      </c>
      <c r="L15" s="2370">
        <v>0.23</v>
      </c>
      <c r="M15" s="2367" t="s">
        <v>34</v>
      </c>
      <c r="N15" s="2367" t="s">
        <v>49</v>
      </c>
      <c r="O15" s="2431"/>
      <c r="P15" s="2371" t="s">
        <v>79</v>
      </c>
      <c r="Q15" s="2356"/>
      <c r="R15" s="2357" t="s">
        <v>337</v>
      </c>
      <c r="S15" s="2358"/>
      <c r="T15" s="2359"/>
      <c r="U15" s="1185"/>
      <c r="V15" s="1285"/>
    </row>
    <row r="16" spans="1:22" s="899" customFormat="1" ht="55.15" customHeight="1">
      <c r="A16" s="828">
        <v>1</v>
      </c>
      <c r="B16" s="1491" t="s">
        <v>19</v>
      </c>
      <c r="C16" s="1491" t="s">
        <v>29</v>
      </c>
      <c r="D16" s="2355">
        <v>0.3</v>
      </c>
      <c r="E16" s="1207" t="s">
        <v>5691</v>
      </c>
      <c r="F16" s="830" t="s">
        <v>43</v>
      </c>
      <c r="G16" s="1820" t="s">
        <v>43</v>
      </c>
      <c r="H16" s="1820" t="s">
        <v>5693</v>
      </c>
      <c r="I16" s="1820" t="s">
        <v>5701</v>
      </c>
      <c r="J16" s="861">
        <v>60000</v>
      </c>
      <c r="K16" s="862">
        <v>0.03</v>
      </c>
      <c r="L16" s="829">
        <v>8.9999999999999993E-3</v>
      </c>
      <c r="M16" s="1820" t="s">
        <v>34</v>
      </c>
      <c r="N16" s="1820" t="s">
        <v>49</v>
      </c>
      <c r="O16" s="2432"/>
      <c r="P16" s="1496" t="s">
        <v>28</v>
      </c>
      <c r="Q16" s="2356"/>
      <c r="R16" s="1278" t="s">
        <v>317</v>
      </c>
      <c r="S16" s="2358"/>
      <c r="T16" s="2359"/>
      <c r="U16" s="1185"/>
      <c r="V16" s="1285"/>
    </row>
    <row r="17" spans="1:22" s="2343" customFormat="1" ht="86.25" customHeight="1">
      <c r="A17" s="2330">
        <v>2</v>
      </c>
      <c r="B17" s="2331" t="s">
        <v>19</v>
      </c>
      <c r="C17" s="2331" t="s">
        <v>29</v>
      </c>
      <c r="D17" s="2344">
        <v>0.53</v>
      </c>
      <c r="E17" s="2332" t="s">
        <v>42</v>
      </c>
      <c r="F17" s="2345" t="s">
        <v>43</v>
      </c>
      <c r="G17" s="2333" t="s">
        <v>43</v>
      </c>
      <c r="H17" s="2346" t="s">
        <v>5698</v>
      </c>
      <c r="I17" s="2346" t="s">
        <v>5699</v>
      </c>
      <c r="J17" s="2334">
        <v>159956</v>
      </c>
      <c r="K17" s="2335">
        <v>0.05</v>
      </c>
      <c r="L17" s="2336">
        <v>0.02</v>
      </c>
      <c r="M17" s="2333" t="s">
        <v>44</v>
      </c>
      <c r="N17" s="1484" t="s">
        <v>5700</v>
      </c>
      <c r="O17" s="1485"/>
      <c r="P17" s="2337" t="s">
        <v>28</v>
      </c>
      <c r="Q17" s="2338"/>
      <c r="R17" s="1289" t="s">
        <v>324</v>
      </c>
      <c r="S17" s="2340"/>
      <c r="T17" s="2341"/>
      <c r="U17" s="2329"/>
      <c r="V17" s="2342"/>
    </row>
    <row r="18" spans="1:22" s="4" customFormat="1" ht="46.15" customHeight="1">
      <c r="A18" s="15">
        <v>1</v>
      </c>
      <c r="B18" s="1416" t="s">
        <v>19</v>
      </c>
      <c r="C18" s="1416" t="s">
        <v>20</v>
      </c>
      <c r="D18" s="19">
        <v>3.75</v>
      </c>
      <c r="E18" s="18" t="s">
        <v>21</v>
      </c>
      <c r="F18" s="1417" t="s">
        <v>22</v>
      </c>
      <c r="G18" s="1418" t="s">
        <v>23</v>
      </c>
      <c r="H18" s="1419" t="s">
        <v>24</v>
      </c>
      <c r="I18" s="1419" t="s">
        <v>25</v>
      </c>
      <c r="J18" s="50">
        <v>750000</v>
      </c>
      <c r="K18" s="51">
        <v>0.03</v>
      </c>
      <c r="L18" s="17">
        <v>0.11</v>
      </c>
      <c r="M18" s="1418" t="s">
        <v>26</v>
      </c>
      <c r="N18" s="1420" t="s">
        <v>27</v>
      </c>
      <c r="O18" s="1504"/>
      <c r="P18" s="1421" t="s">
        <v>28</v>
      </c>
      <c r="Q18" s="1268"/>
      <c r="R18" s="1269"/>
      <c r="S18" s="1277"/>
      <c r="T18" s="1270"/>
      <c r="U18" s="1184"/>
      <c r="V18" s="1271"/>
    </row>
    <row r="19" spans="1:22" s="1184" customFormat="1" ht="81" customHeight="1">
      <c r="A19" s="15">
        <v>1</v>
      </c>
      <c r="B19" s="1424" t="s">
        <v>51</v>
      </c>
      <c r="C19" s="1424" t="s">
        <v>20</v>
      </c>
      <c r="D19" s="19">
        <v>24.78</v>
      </c>
      <c r="E19" s="1420" t="s">
        <v>300</v>
      </c>
      <c r="F19" s="1461" t="s">
        <v>722</v>
      </c>
      <c r="G19" s="1461" t="s">
        <v>723</v>
      </c>
      <c r="H19" s="1461" t="s">
        <v>724</v>
      </c>
      <c r="I19" s="1461" t="s">
        <v>725</v>
      </c>
      <c r="J19" s="50">
        <v>4956000</v>
      </c>
      <c r="K19" s="606">
        <v>0.03</v>
      </c>
      <c r="L19" s="930">
        <v>0.74</v>
      </c>
      <c r="M19" s="1462" t="s">
        <v>68</v>
      </c>
      <c r="N19" s="1463" t="s">
        <v>726</v>
      </c>
      <c r="O19" s="2433"/>
      <c r="P19" s="1421" t="s">
        <v>98</v>
      </c>
      <c r="Q19" s="1275" t="s">
        <v>727</v>
      </c>
      <c r="R19" s="1270" t="s">
        <v>302</v>
      </c>
      <c r="S19" s="1274" t="s">
        <v>728</v>
      </c>
      <c r="T19" s="1276" t="s">
        <v>729</v>
      </c>
      <c r="U19" s="1272" t="s">
        <v>730</v>
      </c>
    </row>
    <row r="20" spans="1:22" s="4" customFormat="1" ht="61.5" customHeight="1">
      <c r="A20" s="15">
        <v>3</v>
      </c>
      <c r="B20" s="1424" t="s">
        <v>51</v>
      </c>
      <c r="C20" s="1416" t="s">
        <v>20</v>
      </c>
      <c r="D20" s="42">
        <v>45.5</v>
      </c>
      <c r="E20" s="18" t="s">
        <v>304</v>
      </c>
      <c r="F20" s="49">
        <v>46042.75</v>
      </c>
      <c r="G20" s="1418" t="s">
        <v>731</v>
      </c>
      <c r="H20" s="1419" t="s">
        <v>732</v>
      </c>
      <c r="I20" s="1419" t="s">
        <v>733</v>
      </c>
      <c r="J20" s="50">
        <v>1350000</v>
      </c>
      <c r="K20" s="51">
        <v>0.03</v>
      </c>
      <c r="L20" s="17">
        <v>1.36</v>
      </c>
      <c r="M20" s="1418" t="s">
        <v>34</v>
      </c>
      <c r="N20" s="1420" t="s">
        <v>734</v>
      </c>
      <c r="O20" s="1504"/>
      <c r="P20" s="1421" t="s">
        <v>735</v>
      </c>
      <c r="Q20" s="1269" t="s">
        <v>736</v>
      </c>
      <c r="R20" s="1270" t="s">
        <v>302</v>
      </c>
      <c r="S20" s="1184"/>
      <c r="T20" s="1271"/>
    </row>
    <row r="21" spans="1:22" s="4" customFormat="1" ht="55.9" customHeight="1">
      <c r="A21" s="586">
        <v>1</v>
      </c>
      <c r="B21" s="1416" t="s">
        <v>68</v>
      </c>
      <c r="C21" s="16"/>
      <c r="D21" s="1201">
        <v>5</v>
      </c>
      <c r="E21" s="41" t="s">
        <v>737</v>
      </c>
      <c r="F21" s="1440" t="s">
        <v>738</v>
      </c>
      <c r="G21" s="1440" t="s">
        <v>739</v>
      </c>
      <c r="H21" s="1464" t="s">
        <v>740</v>
      </c>
      <c r="I21" s="1441" t="s">
        <v>741</v>
      </c>
      <c r="J21" s="1231">
        <v>1000000</v>
      </c>
      <c r="K21" s="1232">
        <v>0.03</v>
      </c>
      <c r="L21" s="1233">
        <v>0.15</v>
      </c>
      <c r="M21" s="1444" t="s">
        <v>34</v>
      </c>
      <c r="N21" s="1442" t="s">
        <v>742</v>
      </c>
      <c r="O21" s="2434"/>
      <c r="P21" s="1465" t="s">
        <v>68</v>
      </c>
      <c r="Q21" s="1277"/>
      <c r="R21" s="1278" t="s">
        <v>317</v>
      </c>
      <c r="S21" s="1184"/>
      <c r="T21" s="1271"/>
    </row>
    <row r="22" spans="1:22" s="1184" customFormat="1" ht="54" customHeight="1">
      <c r="A22" s="15">
        <v>2</v>
      </c>
      <c r="B22" s="1424" t="s">
        <v>51</v>
      </c>
      <c r="C22" s="1424" t="s">
        <v>20</v>
      </c>
      <c r="D22" s="19">
        <v>24.67</v>
      </c>
      <c r="E22" s="1420" t="s">
        <v>322</v>
      </c>
      <c r="F22" s="1461" t="s">
        <v>22</v>
      </c>
      <c r="G22" s="1461" t="s">
        <v>743</v>
      </c>
      <c r="H22" s="1461" t="s">
        <v>744</v>
      </c>
      <c r="I22" s="1461" t="s">
        <v>745</v>
      </c>
      <c r="J22" s="50">
        <v>4934660</v>
      </c>
      <c r="K22" s="606">
        <v>0.05</v>
      </c>
      <c r="L22" s="930">
        <v>1.23</v>
      </c>
      <c r="M22" s="1462" t="s">
        <v>746</v>
      </c>
      <c r="N22" s="1418" t="s">
        <v>49</v>
      </c>
      <c r="O22" s="2413"/>
      <c r="P22" s="1423" t="s">
        <v>747</v>
      </c>
      <c r="Q22" s="1275"/>
      <c r="R22" s="1184" t="s">
        <v>324</v>
      </c>
      <c r="S22" s="1274" t="s">
        <v>748</v>
      </c>
      <c r="T22" s="1272"/>
    </row>
    <row r="23" spans="1:22" s="899" customFormat="1" ht="106.9" customHeight="1">
      <c r="A23" s="36">
        <v>1</v>
      </c>
      <c r="B23" s="1445" t="s">
        <v>45</v>
      </c>
      <c r="C23" s="1202"/>
      <c r="D23" s="1203">
        <v>61</v>
      </c>
      <c r="E23" s="1204" t="s">
        <v>327</v>
      </c>
      <c r="F23" s="1467" t="s">
        <v>758</v>
      </c>
      <c r="G23" s="1468" t="s">
        <v>759</v>
      </c>
      <c r="H23" s="1469" t="s">
        <v>760</v>
      </c>
      <c r="I23" s="1469" t="s">
        <v>761</v>
      </c>
      <c r="J23" s="1234">
        <v>12200000</v>
      </c>
      <c r="K23" s="1235">
        <v>0.03</v>
      </c>
      <c r="L23" s="1236">
        <v>1.83</v>
      </c>
      <c r="M23" s="1468" t="s">
        <v>54</v>
      </c>
      <c r="N23" s="1470" t="s">
        <v>762</v>
      </c>
      <c r="O23" s="2435"/>
      <c r="P23" s="1471" t="s">
        <v>763</v>
      </c>
      <c r="Q23" s="1282"/>
      <c r="R23" s="1472" t="s">
        <v>329</v>
      </c>
      <c r="S23" s="1283"/>
      <c r="T23" s="1284"/>
      <c r="U23" s="1185"/>
      <c r="V23" s="1285"/>
    </row>
    <row r="24" spans="1:22" s="1185" customFormat="1" ht="50">
      <c r="A24" s="30">
        <v>1</v>
      </c>
      <c r="B24" s="1449" t="s">
        <v>45</v>
      </c>
      <c r="C24" s="1449" t="s">
        <v>20</v>
      </c>
      <c r="D24" s="832">
        <v>38.24</v>
      </c>
      <c r="E24" s="1473" t="s">
        <v>330</v>
      </c>
      <c r="F24" s="1474" t="s">
        <v>764</v>
      </c>
      <c r="G24" s="1474" t="s">
        <v>765</v>
      </c>
      <c r="H24" s="1474" t="s">
        <v>761</v>
      </c>
      <c r="I24" s="1474" t="s">
        <v>766</v>
      </c>
      <c r="J24" s="864">
        <v>5000000</v>
      </c>
      <c r="K24" s="865">
        <v>0.1</v>
      </c>
      <c r="L24" s="866">
        <v>3.82</v>
      </c>
      <c r="M24" s="1475" t="s">
        <v>150</v>
      </c>
      <c r="N24" s="1476" t="s">
        <v>767</v>
      </c>
      <c r="O24" s="1477"/>
      <c r="P24" s="1477" t="s">
        <v>710</v>
      </c>
      <c r="Q24" s="28"/>
      <c r="R24" s="1278" t="s">
        <v>317</v>
      </c>
      <c r="S24" s="1286" t="s">
        <v>768</v>
      </c>
      <c r="T24" s="1287"/>
      <c r="U24" s="1287"/>
    </row>
    <row r="25" spans="1:22" s="899" customFormat="1" ht="67.900000000000006" customHeight="1">
      <c r="A25" s="36">
        <v>1</v>
      </c>
      <c r="B25" s="1449" t="s">
        <v>19</v>
      </c>
      <c r="C25" s="385"/>
      <c r="D25" s="645">
        <v>2.19</v>
      </c>
      <c r="E25" s="1205" t="s">
        <v>334</v>
      </c>
      <c r="F25" s="1478" t="s">
        <v>769</v>
      </c>
      <c r="G25" s="1479" t="s">
        <v>770</v>
      </c>
      <c r="H25" s="1479" t="s">
        <v>771</v>
      </c>
      <c r="I25" s="1479" t="s">
        <v>772</v>
      </c>
      <c r="J25" s="1237">
        <v>438929</v>
      </c>
      <c r="K25" s="1238">
        <v>0.03</v>
      </c>
      <c r="L25" s="1239">
        <v>0.06</v>
      </c>
      <c r="M25" s="1479" t="s">
        <v>68</v>
      </c>
      <c r="N25" s="1480" t="s">
        <v>773</v>
      </c>
      <c r="O25" s="1481"/>
      <c r="P25" s="1481" t="s">
        <v>774</v>
      </c>
      <c r="Q25" s="1288"/>
      <c r="R25" s="1289"/>
      <c r="S25" s="1288"/>
      <c r="T25" s="1290"/>
      <c r="U25" s="1291"/>
    </row>
    <row r="26" spans="1:22" s="899" customFormat="1" ht="49.9" customHeight="1">
      <c r="A26" s="30">
        <v>1</v>
      </c>
      <c r="B26" s="1449" t="s">
        <v>19</v>
      </c>
      <c r="C26" s="1449" t="s">
        <v>20</v>
      </c>
      <c r="D26" s="587">
        <v>39.340000000000003</v>
      </c>
      <c r="E26" s="903" t="s">
        <v>336</v>
      </c>
      <c r="F26" s="35" t="s">
        <v>43</v>
      </c>
      <c r="G26" s="1482" t="s">
        <v>43</v>
      </c>
      <c r="H26" s="1483" t="s">
        <v>775</v>
      </c>
      <c r="I26" s="1483" t="s">
        <v>776</v>
      </c>
      <c r="J26" s="863">
        <v>3934665</v>
      </c>
      <c r="K26" s="919">
        <v>0.05</v>
      </c>
      <c r="L26" s="920">
        <v>1.96</v>
      </c>
      <c r="M26" s="1482" t="s">
        <v>61</v>
      </c>
      <c r="N26" s="1484" t="s">
        <v>777</v>
      </c>
      <c r="O26" s="1485"/>
      <c r="P26" s="1485" t="s">
        <v>778</v>
      </c>
      <c r="Q26" s="1288"/>
      <c r="R26" s="1291" t="s">
        <v>337</v>
      </c>
      <c r="S26" s="1289" t="s">
        <v>779</v>
      </c>
      <c r="T26" s="1292"/>
      <c r="U26" s="1291"/>
    </row>
    <row r="27" spans="1:22" s="899" customFormat="1" ht="53.25" customHeight="1">
      <c r="A27" s="30">
        <v>3</v>
      </c>
      <c r="B27" s="1449" t="s">
        <v>19</v>
      </c>
      <c r="C27" s="385"/>
      <c r="D27" s="29">
        <v>7.58</v>
      </c>
      <c r="E27" s="1206" t="s">
        <v>344</v>
      </c>
      <c r="F27" s="387" t="s">
        <v>43</v>
      </c>
      <c r="G27" s="1489" t="s">
        <v>43</v>
      </c>
      <c r="H27" s="1489" t="s">
        <v>789</v>
      </c>
      <c r="I27" s="1489" t="s">
        <v>790</v>
      </c>
      <c r="J27" s="1242">
        <v>2253000</v>
      </c>
      <c r="K27" s="1243">
        <v>0.05</v>
      </c>
      <c r="L27" s="29">
        <v>0.37</v>
      </c>
      <c r="M27" s="1489" t="s">
        <v>791</v>
      </c>
      <c r="N27" s="1489" t="s">
        <v>49</v>
      </c>
      <c r="O27" s="2387"/>
      <c r="P27" s="1490" t="s">
        <v>792</v>
      </c>
      <c r="Q27" s="655" t="s">
        <v>793</v>
      </c>
      <c r="R27" s="1293" t="s">
        <v>794</v>
      </c>
      <c r="S27" s="655" t="s">
        <v>795</v>
      </c>
      <c r="T27" s="1294" t="s">
        <v>796</v>
      </c>
      <c r="U27" s="1287"/>
      <c r="V27" s="1285"/>
    </row>
    <row r="28" spans="1:22" s="689" customFormat="1" ht="75" customHeight="1">
      <c r="A28" s="828">
        <v>1</v>
      </c>
      <c r="B28" s="1491" t="s">
        <v>45</v>
      </c>
      <c r="C28" s="367"/>
      <c r="D28" s="829">
        <v>2.5</v>
      </c>
      <c r="E28" s="1207" t="s">
        <v>346</v>
      </c>
      <c r="F28" s="830" t="s">
        <v>797</v>
      </c>
      <c r="G28" s="831" t="s">
        <v>798</v>
      </c>
      <c r="H28" s="1492" t="s">
        <v>799</v>
      </c>
      <c r="I28" s="1492" t="s">
        <v>800</v>
      </c>
      <c r="J28" s="861">
        <v>500000</v>
      </c>
      <c r="K28" s="862">
        <v>2.5000000000000001E-2</v>
      </c>
      <c r="L28" s="829">
        <v>0.12</v>
      </c>
      <c r="M28" s="19" t="s">
        <v>72</v>
      </c>
      <c r="N28" s="1493" t="s">
        <v>801</v>
      </c>
      <c r="O28" s="2430"/>
      <c r="P28" s="1494" t="s">
        <v>802</v>
      </c>
      <c r="Q28" s="1295" t="s">
        <v>56</v>
      </c>
      <c r="R28" s="1296" t="s">
        <v>348</v>
      </c>
      <c r="S28" s="1296" t="s">
        <v>803</v>
      </c>
      <c r="T28" s="1296" t="s">
        <v>729</v>
      </c>
      <c r="U28" s="1296" t="s">
        <v>730</v>
      </c>
    </row>
    <row r="29" spans="1:22" s="899" customFormat="1" ht="77.25" customHeight="1">
      <c r="A29" s="30">
        <v>1</v>
      </c>
      <c r="B29" s="1449" t="s">
        <v>45</v>
      </c>
      <c r="C29" s="385"/>
      <c r="D29" s="645">
        <v>20</v>
      </c>
      <c r="E29" s="1205" t="s">
        <v>390</v>
      </c>
      <c r="F29" s="644" t="s">
        <v>804</v>
      </c>
      <c r="G29" s="1479" t="s">
        <v>805</v>
      </c>
      <c r="H29" s="1479" t="s">
        <v>806</v>
      </c>
      <c r="I29" s="1495" t="s">
        <v>807</v>
      </c>
      <c r="J29" s="1244">
        <v>4000000</v>
      </c>
      <c r="K29" s="1238">
        <v>0.03</v>
      </c>
      <c r="L29" s="1239">
        <v>0.6</v>
      </c>
      <c r="M29" s="1479" t="s">
        <v>808</v>
      </c>
      <c r="N29" s="1480" t="s">
        <v>809</v>
      </c>
      <c r="O29" s="1481"/>
      <c r="P29" s="1481" t="s">
        <v>810</v>
      </c>
      <c r="Q29" s="1291"/>
      <c r="R29" s="1278" t="s">
        <v>317</v>
      </c>
      <c r="S29" s="1291"/>
      <c r="T29" s="1290"/>
      <c r="U29" s="1291"/>
    </row>
    <row r="30" spans="1:22" s="689" customFormat="1" ht="75" customHeight="1">
      <c r="A30" s="828">
        <v>1</v>
      </c>
      <c r="B30" s="1491" t="s">
        <v>19</v>
      </c>
      <c r="C30" s="367"/>
      <c r="D30" s="829">
        <v>0.46</v>
      </c>
      <c r="E30" s="1207" t="s">
        <v>394</v>
      </c>
      <c r="F30" s="830" t="s">
        <v>43</v>
      </c>
      <c r="G30" s="831" t="s">
        <v>43</v>
      </c>
      <c r="H30" s="1492" t="s">
        <v>811</v>
      </c>
      <c r="I30" s="1492" t="s">
        <v>812</v>
      </c>
      <c r="J30" s="861">
        <v>93000</v>
      </c>
      <c r="K30" s="862">
        <v>0.05</v>
      </c>
      <c r="L30" s="829">
        <v>0.02</v>
      </c>
      <c r="M30" s="19" t="s">
        <v>68</v>
      </c>
      <c r="N30" s="1493" t="s">
        <v>813</v>
      </c>
      <c r="O30" s="2430"/>
      <c r="P30" s="1496" t="s">
        <v>814</v>
      </c>
      <c r="Q30" s="1297" t="s">
        <v>815</v>
      </c>
    </row>
    <row r="31" spans="1:22" s="689" customFormat="1" ht="75" customHeight="1">
      <c r="A31" s="828"/>
      <c r="B31" s="1424" t="s">
        <v>51</v>
      </c>
      <c r="C31" s="367"/>
      <c r="D31" s="2574">
        <v>11.45</v>
      </c>
      <c r="E31" s="2474" t="s">
        <v>353</v>
      </c>
      <c r="F31" s="1818" t="s">
        <v>22</v>
      </c>
      <c r="G31" s="1819" t="s">
        <v>5942</v>
      </c>
      <c r="H31" s="1492" t="s">
        <v>5941</v>
      </c>
      <c r="I31" s="1492" t="s">
        <v>5944</v>
      </c>
      <c r="J31" s="861">
        <v>2250000</v>
      </c>
      <c r="K31" s="862">
        <v>0.05</v>
      </c>
      <c r="L31" s="829">
        <v>0.56999999999999995</v>
      </c>
      <c r="M31" s="19" t="s">
        <v>61</v>
      </c>
      <c r="N31" s="1493" t="s">
        <v>68</v>
      </c>
      <c r="O31" s="2430"/>
      <c r="P31" s="1496" t="s">
        <v>5943</v>
      </c>
      <c r="Q31" s="1297"/>
    </row>
    <row r="32" spans="1:22" s="11" customFormat="1" ht="77.5" customHeight="1">
      <c r="A32" s="15">
        <v>3</v>
      </c>
      <c r="B32" s="1424" t="s">
        <v>51</v>
      </c>
      <c r="C32" s="586"/>
      <c r="D32" s="21">
        <v>165.43</v>
      </c>
      <c r="E32" s="18" t="s">
        <v>816</v>
      </c>
      <c r="F32" s="20" t="s">
        <v>43</v>
      </c>
      <c r="G32" s="43" t="s">
        <v>43</v>
      </c>
      <c r="H32" s="1417" t="s">
        <v>818</v>
      </c>
      <c r="I32" s="1417" t="s">
        <v>68</v>
      </c>
      <c r="J32" s="50">
        <v>8421700</v>
      </c>
      <c r="K32" s="51">
        <v>0.05</v>
      </c>
      <c r="L32" s="17">
        <v>8.27</v>
      </c>
      <c r="M32" s="1418" t="s">
        <v>34</v>
      </c>
      <c r="N32" s="1420" t="s">
        <v>819</v>
      </c>
      <c r="O32" s="1504"/>
      <c r="P32" s="1421" t="s">
        <v>820</v>
      </c>
      <c r="Q32" s="1273"/>
      <c r="R32" s="586" t="s">
        <v>821</v>
      </c>
      <c r="S32" s="586"/>
    </row>
    <row r="33" spans="1:19" s="11" customFormat="1" ht="67.5">
      <c r="A33" s="15">
        <v>2</v>
      </c>
      <c r="B33" s="1497" t="s">
        <v>51</v>
      </c>
      <c r="C33" s="842"/>
      <c r="D33" s="1208">
        <v>102.8</v>
      </c>
      <c r="E33" s="1498" t="s">
        <v>822</v>
      </c>
      <c r="F33" s="1499" t="s">
        <v>824</v>
      </c>
      <c r="G33" s="1499" t="s">
        <v>825</v>
      </c>
      <c r="H33" s="1499" t="s">
        <v>826</v>
      </c>
      <c r="I33" s="1499" t="s">
        <v>827</v>
      </c>
      <c r="J33" s="924">
        <v>10400000</v>
      </c>
      <c r="K33" s="925">
        <v>0.05</v>
      </c>
      <c r="L33" s="926">
        <v>5.14</v>
      </c>
      <c r="M33" s="1500" t="s">
        <v>828</v>
      </c>
      <c r="N33" s="1501" t="s">
        <v>829</v>
      </c>
      <c r="O33" s="2436"/>
      <c r="P33" s="1502" t="s">
        <v>830</v>
      </c>
      <c r="Q33" s="1298"/>
      <c r="R33" s="586" t="s">
        <v>821</v>
      </c>
      <c r="S33" s="1299"/>
    </row>
    <row r="34" spans="1:19" s="11" customFormat="1" ht="79.5" customHeight="1">
      <c r="A34" s="15">
        <v>1</v>
      </c>
      <c r="B34" s="1424" t="s">
        <v>51</v>
      </c>
      <c r="C34" s="586"/>
      <c r="D34" s="21">
        <v>92.52</v>
      </c>
      <c r="E34" s="18" t="s">
        <v>831</v>
      </c>
      <c r="F34" s="20" t="s">
        <v>804</v>
      </c>
      <c r="G34" s="43" t="s">
        <v>832</v>
      </c>
      <c r="H34" s="1417" t="s">
        <v>833</v>
      </c>
      <c r="I34" s="1417" t="s">
        <v>68</v>
      </c>
      <c r="J34" s="50">
        <v>4776200</v>
      </c>
      <c r="K34" s="51">
        <v>0.05</v>
      </c>
      <c r="L34" s="17">
        <v>4.62</v>
      </c>
      <c r="M34" s="1418" t="s">
        <v>34</v>
      </c>
      <c r="N34" s="1463" t="s">
        <v>834</v>
      </c>
      <c r="O34" s="2433"/>
      <c r="P34" s="1421" t="s">
        <v>820</v>
      </c>
      <c r="Q34" s="1273"/>
      <c r="R34" s="586" t="s">
        <v>821</v>
      </c>
      <c r="S34" s="586"/>
    </row>
    <row r="35" spans="1:19" s="11" customFormat="1" ht="55.9" customHeight="1" thickBot="1">
      <c r="A35" s="1209">
        <v>1</v>
      </c>
      <c r="B35" s="1444" t="s">
        <v>51</v>
      </c>
      <c r="C35" s="1201"/>
      <c r="D35" s="1210">
        <v>60.9</v>
      </c>
      <c r="E35" s="41" t="s">
        <v>469</v>
      </c>
      <c r="F35" s="1211" t="s">
        <v>43</v>
      </c>
      <c r="G35" s="1245" t="s">
        <v>43</v>
      </c>
      <c r="H35" s="1440" t="s">
        <v>835</v>
      </c>
      <c r="I35" s="1440" t="s">
        <v>68</v>
      </c>
      <c r="J35" s="1246">
        <v>3195500</v>
      </c>
      <c r="K35" s="1232">
        <v>0.05</v>
      </c>
      <c r="L35" s="1233">
        <v>3.04</v>
      </c>
      <c r="M35" s="1444" t="s">
        <v>34</v>
      </c>
      <c r="N35" s="1442" t="s">
        <v>836</v>
      </c>
      <c r="O35" s="2434"/>
      <c r="P35" s="1443" t="s">
        <v>820</v>
      </c>
      <c r="Q35" s="1273"/>
      <c r="R35" s="1300" t="s">
        <v>302</v>
      </c>
      <c r="S35" s="586"/>
    </row>
    <row r="36" spans="1:19" s="11" customFormat="1" ht="112.5">
      <c r="A36" s="1212">
        <v>1</v>
      </c>
      <c r="B36" s="1416" t="s">
        <v>837</v>
      </c>
      <c r="C36" s="16"/>
      <c r="D36" s="905">
        <v>2150</v>
      </c>
      <c r="E36" s="1213" t="s">
        <v>403</v>
      </c>
      <c r="F36" s="904" t="s">
        <v>804</v>
      </c>
      <c r="G36" s="1426" t="s">
        <v>838</v>
      </c>
      <c r="H36" s="1434" t="s">
        <v>839</v>
      </c>
      <c r="I36" s="1434" t="s">
        <v>840</v>
      </c>
      <c r="J36" s="921">
        <v>430000000</v>
      </c>
      <c r="K36" s="1230">
        <v>0.03</v>
      </c>
      <c r="L36" s="1199">
        <v>6450</v>
      </c>
      <c r="M36" s="1426" t="s">
        <v>34</v>
      </c>
      <c r="N36" s="1435" t="s">
        <v>841</v>
      </c>
      <c r="O36" s="1503"/>
      <c r="P36" s="1503" t="s">
        <v>842</v>
      </c>
      <c r="Q36" s="1301"/>
      <c r="R36" s="1300" t="s">
        <v>317</v>
      </c>
    </row>
    <row r="37" spans="1:19" s="11" customFormat="1" ht="72.650000000000006" customHeight="1">
      <c r="A37" s="15">
        <v>2</v>
      </c>
      <c r="B37" s="1424" t="s">
        <v>19</v>
      </c>
      <c r="C37" s="586"/>
      <c r="D37" s="21">
        <v>2</v>
      </c>
      <c r="E37" s="18" t="s">
        <v>462</v>
      </c>
      <c r="F37" s="20" t="s">
        <v>43</v>
      </c>
      <c r="G37" s="43" t="s">
        <v>43</v>
      </c>
      <c r="H37" s="1417" t="s">
        <v>843</v>
      </c>
      <c r="I37" s="1417" t="s">
        <v>843</v>
      </c>
      <c r="J37" s="50">
        <v>600000</v>
      </c>
      <c r="K37" s="51">
        <v>0.05</v>
      </c>
      <c r="L37" s="17">
        <v>0.1</v>
      </c>
      <c r="M37" s="1418" t="s">
        <v>68</v>
      </c>
      <c r="N37" s="1418" t="s">
        <v>49</v>
      </c>
      <c r="O37" s="2413"/>
      <c r="P37" s="1504" t="s">
        <v>844</v>
      </c>
      <c r="Q37" s="83"/>
      <c r="R37" s="1300" t="s">
        <v>302</v>
      </c>
    </row>
    <row r="38" spans="1:19" s="11" customFormat="1" ht="67.150000000000006" customHeight="1">
      <c r="A38" s="15">
        <v>1</v>
      </c>
      <c r="B38" s="1424" t="s">
        <v>19</v>
      </c>
      <c r="C38" s="586"/>
      <c r="D38" s="846">
        <v>4.5</v>
      </c>
      <c r="E38" s="1505" t="s">
        <v>437</v>
      </c>
      <c r="F38" s="1507" t="s">
        <v>845</v>
      </c>
      <c r="G38" s="1507" t="s">
        <v>846</v>
      </c>
      <c r="H38" s="1507" t="s">
        <v>847</v>
      </c>
      <c r="I38" s="1507" t="s">
        <v>848</v>
      </c>
      <c r="J38" s="880">
        <v>900000</v>
      </c>
      <c r="K38" s="881">
        <v>0.03</v>
      </c>
      <c r="L38" s="882">
        <v>0.13</v>
      </c>
      <c r="M38" s="1508" t="s">
        <v>34</v>
      </c>
      <c r="N38" s="1509" t="s">
        <v>849</v>
      </c>
      <c r="O38" s="2437"/>
      <c r="P38" s="1510" t="s">
        <v>850</v>
      </c>
      <c r="Q38" s="1302"/>
      <c r="R38" s="1300" t="s">
        <v>317</v>
      </c>
    </row>
    <row r="39" spans="1:19" s="11" customFormat="1" ht="73.900000000000006" customHeight="1">
      <c r="A39" s="15">
        <v>1</v>
      </c>
      <c r="B39" s="1424" t="s">
        <v>19</v>
      </c>
      <c r="C39" s="586"/>
      <c r="D39" s="846">
        <v>0.36</v>
      </c>
      <c r="E39" s="1505" t="s">
        <v>851</v>
      </c>
      <c r="F39" s="1507" t="s">
        <v>852</v>
      </c>
      <c r="G39" s="1507" t="s">
        <v>853</v>
      </c>
      <c r="H39" s="1507" t="s">
        <v>854</v>
      </c>
      <c r="I39" s="1507" t="s">
        <v>855</v>
      </c>
      <c r="J39" s="880">
        <v>72000</v>
      </c>
      <c r="K39" s="881">
        <v>0.03</v>
      </c>
      <c r="L39" s="882">
        <v>0.03</v>
      </c>
      <c r="M39" s="1508" t="s">
        <v>34</v>
      </c>
      <c r="N39" s="1509" t="s">
        <v>856</v>
      </c>
      <c r="O39" s="2437"/>
      <c r="P39" s="1510" t="s">
        <v>850</v>
      </c>
      <c r="Q39" s="1303"/>
      <c r="R39" s="1300" t="s">
        <v>317</v>
      </c>
    </row>
    <row r="40" spans="1:19" s="11" customFormat="1" ht="77.5" customHeight="1">
      <c r="A40" s="15">
        <v>2</v>
      </c>
      <c r="B40" s="1424" t="s">
        <v>19</v>
      </c>
      <c r="C40" s="586"/>
      <c r="D40" s="19">
        <v>2.7</v>
      </c>
      <c r="E40" s="1420" t="s">
        <v>425</v>
      </c>
      <c r="F40" s="1461" t="s">
        <v>857</v>
      </c>
      <c r="G40" s="1461" t="s">
        <v>858</v>
      </c>
      <c r="H40" s="1461" t="s">
        <v>859</v>
      </c>
      <c r="I40" s="1461" t="s">
        <v>855</v>
      </c>
      <c r="J40" s="50">
        <v>540000</v>
      </c>
      <c r="K40" s="606">
        <v>0.03</v>
      </c>
      <c r="L40" s="930">
        <v>0.08</v>
      </c>
      <c r="M40" s="1462" t="s">
        <v>34</v>
      </c>
      <c r="N40" s="1511" t="s">
        <v>860</v>
      </c>
      <c r="O40" s="2438"/>
      <c r="P40" s="1504" t="s">
        <v>861</v>
      </c>
      <c r="Q40" s="1302"/>
      <c r="R40" s="1300" t="s">
        <v>317</v>
      </c>
    </row>
    <row r="41" spans="1:19" s="11" customFormat="1" ht="85.9" customHeight="1">
      <c r="A41" s="15">
        <v>1</v>
      </c>
      <c r="B41" s="1424" t="s">
        <v>19</v>
      </c>
      <c r="C41" s="586"/>
      <c r="D41" s="19">
        <v>2.19</v>
      </c>
      <c r="E41" s="1420" t="s">
        <v>423</v>
      </c>
      <c r="F41" s="1461" t="s">
        <v>857</v>
      </c>
      <c r="G41" s="1461" t="s">
        <v>858</v>
      </c>
      <c r="H41" s="1461" t="s">
        <v>862</v>
      </c>
      <c r="I41" s="1461" t="s">
        <v>855</v>
      </c>
      <c r="J41" s="50">
        <v>438000</v>
      </c>
      <c r="K41" s="606">
        <v>0.03</v>
      </c>
      <c r="L41" s="930">
        <v>0.06</v>
      </c>
      <c r="M41" s="1462" t="s">
        <v>34</v>
      </c>
      <c r="N41" s="1512" t="s">
        <v>863</v>
      </c>
      <c r="O41" s="2402"/>
      <c r="P41" s="1504" t="s">
        <v>861</v>
      </c>
      <c r="Q41" s="1302"/>
      <c r="R41" s="1300" t="s">
        <v>317</v>
      </c>
    </row>
    <row r="42" spans="1:19" s="11" customFormat="1" ht="55.9" customHeight="1">
      <c r="A42" s="1209">
        <v>1</v>
      </c>
      <c r="B42" s="1444" t="s">
        <v>51</v>
      </c>
      <c r="C42" s="1201"/>
      <c r="D42" s="1210">
        <v>56.61</v>
      </c>
      <c r="E42" s="41" t="s">
        <v>467</v>
      </c>
      <c r="F42" s="1211" t="s">
        <v>804</v>
      </c>
      <c r="G42" s="1245" t="s">
        <v>864</v>
      </c>
      <c r="H42" s="1440" t="s">
        <v>865</v>
      </c>
      <c r="I42" s="1440" t="s">
        <v>68</v>
      </c>
      <c r="J42" s="1246">
        <v>2980900</v>
      </c>
      <c r="K42" s="1232">
        <v>0.05</v>
      </c>
      <c r="L42" s="1233">
        <v>2.83</v>
      </c>
      <c r="M42" s="1444" t="s">
        <v>866</v>
      </c>
      <c r="N42" s="1442" t="s">
        <v>867</v>
      </c>
      <c r="O42" s="2434"/>
      <c r="P42" s="1443" t="s">
        <v>868</v>
      </c>
      <c r="Q42" s="1273"/>
      <c r="R42" s="1300" t="s">
        <v>302</v>
      </c>
      <c r="S42" s="586"/>
    </row>
    <row r="43" spans="1:19" s="11" customFormat="1" ht="45">
      <c r="A43" s="15">
        <v>2</v>
      </c>
      <c r="B43" s="1424" t="s">
        <v>19</v>
      </c>
      <c r="C43" s="586"/>
      <c r="D43" s="17">
        <v>2.2400000000000002</v>
      </c>
      <c r="E43" s="18" t="s">
        <v>421</v>
      </c>
      <c r="F43" s="20" t="s">
        <v>869</v>
      </c>
      <c r="G43" s="43" t="s">
        <v>870</v>
      </c>
      <c r="H43" s="1417" t="s">
        <v>871</v>
      </c>
      <c r="I43" s="1417" t="s">
        <v>872</v>
      </c>
      <c r="J43" s="50">
        <v>675000</v>
      </c>
      <c r="K43" s="51">
        <v>0.03</v>
      </c>
      <c r="L43" s="17">
        <v>0.06</v>
      </c>
      <c r="M43" s="1418" t="s">
        <v>873</v>
      </c>
      <c r="N43" s="1463" t="s">
        <v>874</v>
      </c>
      <c r="O43" s="2433"/>
      <c r="P43" s="1504" t="s">
        <v>875</v>
      </c>
      <c r="Q43" s="83"/>
      <c r="R43" s="1300" t="s">
        <v>302</v>
      </c>
    </row>
    <row r="44" spans="1:19" s="11" customFormat="1" ht="45.5" thickBot="1">
      <c r="A44" s="15">
        <v>1</v>
      </c>
      <c r="B44" s="1424" t="s">
        <v>19</v>
      </c>
      <c r="C44" s="586"/>
      <c r="D44" s="17">
        <v>2</v>
      </c>
      <c r="E44" s="18" t="s">
        <v>441</v>
      </c>
      <c r="F44" s="20" t="s">
        <v>43</v>
      </c>
      <c r="G44" s="43" t="s">
        <v>43</v>
      </c>
      <c r="H44" s="1417" t="s">
        <v>876</v>
      </c>
      <c r="I44" s="1417" t="s">
        <v>877</v>
      </c>
      <c r="J44" s="50">
        <v>400000</v>
      </c>
      <c r="K44" s="51">
        <v>0.05</v>
      </c>
      <c r="L44" s="17">
        <v>0.1</v>
      </c>
      <c r="M44" s="1418" t="s">
        <v>878</v>
      </c>
      <c r="N44" s="1420" t="s">
        <v>879</v>
      </c>
      <c r="O44" s="1504"/>
      <c r="P44" s="1504" t="s">
        <v>880</v>
      </c>
      <c r="Q44" s="83"/>
    </row>
    <row r="45" spans="1:19" s="1186" customFormat="1" ht="84.65" customHeight="1">
      <c r="A45" s="1214">
        <v>3</v>
      </c>
      <c r="B45" s="1513" t="s">
        <v>51</v>
      </c>
      <c r="C45" s="39"/>
      <c r="D45" s="1215">
        <v>74.47</v>
      </c>
      <c r="E45" s="1216" t="s">
        <v>471</v>
      </c>
      <c r="F45" s="1217" t="s">
        <v>804</v>
      </c>
      <c r="G45" s="1247" t="s">
        <v>881</v>
      </c>
      <c r="H45" s="1515" t="s">
        <v>882</v>
      </c>
      <c r="I45" s="1515" t="s">
        <v>883</v>
      </c>
      <c r="J45" s="1248">
        <v>8500000</v>
      </c>
      <c r="K45" s="1249">
        <v>0.03</v>
      </c>
      <c r="L45" s="1250">
        <v>2.23</v>
      </c>
      <c r="M45" s="1514" t="s">
        <v>884</v>
      </c>
      <c r="N45" s="1516" t="s">
        <v>885</v>
      </c>
      <c r="O45" s="2439"/>
      <c r="P45" s="1517" t="s">
        <v>886</v>
      </c>
      <c r="Q45" s="1304"/>
    </row>
    <row r="46" spans="1:19" s="1186" customFormat="1" ht="84.65" customHeight="1">
      <c r="A46" s="22">
        <v>3</v>
      </c>
      <c r="B46" s="1518" t="s">
        <v>837</v>
      </c>
      <c r="C46" s="503"/>
      <c r="D46" s="1219">
        <v>2.5</v>
      </c>
      <c r="E46" s="1220" t="s">
        <v>464</v>
      </c>
      <c r="F46" s="911" t="s">
        <v>804</v>
      </c>
      <c r="G46" s="943" t="s">
        <v>887</v>
      </c>
      <c r="H46" s="1520" t="s">
        <v>888</v>
      </c>
      <c r="I46" s="1520" t="s">
        <v>889</v>
      </c>
      <c r="J46" s="71">
        <v>500000</v>
      </c>
      <c r="K46" s="1251">
        <v>0.1</v>
      </c>
      <c r="L46" s="1219">
        <v>0.25</v>
      </c>
      <c r="M46" s="1519" t="s">
        <v>890</v>
      </c>
      <c r="N46" s="1521" t="s">
        <v>891</v>
      </c>
      <c r="O46" s="2440"/>
      <c r="P46" s="1522" t="s">
        <v>886</v>
      </c>
      <c r="Q46" s="1304" t="s">
        <v>892</v>
      </c>
    </row>
    <row r="47" spans="1:19" s="1186" customFormat="1" ht="84.65" customHeight="1">
      <c r="A47" s="39">
        <v>1</v>
      </c>
      <c r="B47" s="1518" t="s">
        <v>45</v>
      </c>
      <c r="C47" s="503"/>
      <c r="D47" s="26">
        <v>24.7</v>
      </c>
      <c r="E47" s="1220" t="s">
        <v>482</v>
      </c>
      <c r="F47" s="911" t="s">
        <v>43</v>
      </c>
      <c r="G47" s="1519" t="s">
        <v>43</v>
      </c>
      <c r="H47" s="1520" t="s">
        <v>893</v>
      </c>
      <c r="I47" s="1520" t="s">
        <v>894</v>
      </c>
      <c r="J47" s="71">
        <v>4941412</v>
      </c>
      <c r="K47" s="1251">
        <v>0.05</v>
      </c>
      <c r="L47" s="1219">
        <v>1.23</v>
      </c>
      <c r="M47" s="1519" t="s">
        <v>34</v>
      </c>
      <c r="N47" s="1519" t="s">
        <v>49</v>
      </c>
      <c r="O47" s="1536"/>
      <c r="P47" s="1523" t="s">
        <v>895</v>
      </c>
      <c r="Q47" s="23"/>
    </row>
    <row r="48" spans="1:19" s="10" customFormat="1" ht="73.900000000000006" customHeight="1">
      <c r="A48" s="39">
        <v>3</v>
      </c>
      <c r="B48" s="1513" t="s">
        <v>45</v>
      </c>
      <c r="C48" s="39"/>
      <c r="D48" s="1221">
        <v>125</v>
      </c>
      <c r="E48" s="1524" t="s">
        <v>398</v>
      </c>
      <c r="F48" s="1525" t="s">
        <v>896</v>
      </c>
      <c r="G48" s="1525" t="s">
        <v>897</v>
      </c>
      <c r="H48" s="1525" t="s">
        <v>898</v>
      </c>
      <c r="I48" s="1525" t="s">
        <v>899</v>
      </c>
      <c r="J48" s="1252">
        <v>25000000</v>
      </c>
      <c r="K48" s="1253">
        <v>0.05</v>
      </c>
      <c r="L48" s="1254">
        <v>6.25</v>
      </c>
      <c r="M48" s="1526" t="s">
        <v>34</v>
      </c>
      <c r="N48" s="1527" t="s">
        <v>900</v>
      </c>
      <c r="O48" s="2441"/>
      <c r="P48" s="1528" t="s">
        <v>901</v>
      </c>
      <c r="Q48" s="1305"/>
    </row>
    <row r="49" spans="1:20" s="10" customFormat="1" ht="121.9" customHeight="1">
      <c r="A49" s="39">
        <v>1</v>
      </c>
      <c r="B49" s="1513" t="s">
        <v>45</v>
      </c>
      <c r="C49" s="39"/>
      <c r="D49" s="1222">
        <v>116</v>
      </c>
      <c r="E49" s="1521" t="s">
        <v>573</v>
      </c>
      <c r="F49" s="1529" t="s">
        <v>902</v>
      </c>
      <c r="G49" s="1529" t="s">
        <v>903</v>
      </c>
      <c r="H49" s="1529" t="s">
        <v>904</v>
      </c>
      <c r="I49" s="1529" t="s">
        <v>905</v>
      </c>
      <c r="J49" s="71">
        <v>23336740</v>
      </c>
      <c r="K49" s="53">
        <v>0.05</v>
      </c>
      <c r="L49" s="54">
        <v>5.83</v>
      </c>
      <c r="M49" s="1530" t="s">
        <v>695</v>
      </c>
      <c r="N49" s="1531" t="s">
        <v>906</v>
      </c>
      <c r="O49" s="2442"/>
      <c r="P49" s="1532" t="s">
        <v>907</v>
      </c>
      <c r="Q49" s="75" t="s">
        <v>908</v>
      </c>
    </row>
    <row r="50" spans="1:20" s="10" customFormat="1" ht="57" customHeight="1">
      <c r="A50" s="39">
        <v>1</v>
      </c>
      <c r="B50" s="1513" t="s">
        <v>45</v>
      </c>
      <c r="C50" s="39"/>
      <c r="D50" s="1218">
        <v>1.05</v>
      </c>
      <c r="E50" s="1516" t="s">
        <v>575</v>
      </c>
      <c r="F50" s="1533" t="s">
        <v>43</v>
      </c>
      <c r="G50" s="1533" t="s">
        <v>43</v>
      </c>
      <c r="H50" s="1533" t="s">
        <v>909</v>
      </c>
      <c r="I50" s="1533" t="s">
        <v>910</v>
      </c>
      <c r="J50" s="1248">
        <v>202500</v>
      </c>
      <c r="K50" s="1255">
        <v>0.1</v>
      </c>
      <c r="L50" s="1256">
        <v>0.1</v>
      </c>
      <c r="M50" s="1534" t="s">
        <v>911</v>
      </c>
      <c r="N50" s="1535" t="s">
        <v>49</v>
      </c>
      <c r="O50" s="1535"/>
      <c r="P50" s="1516" t="s">
        <v>912</v>
      </c>
      <c r="Q50" s="549"/>
    </row>
    <row r="51" spans="1:20" s="1186" customFormat="1" ht="61.9" customHeight="1">
      <c r="A51" s="22">
        <v>2</v>
      </c>
      <c r="B51" s="1518" t="s">
        <v>837</v>
      </c>
      <c r="C51" s="503"/>
      <c r="D51" s="26">
        <v>4.0199999999999996</v>
      </c>
      <c r="E51" s="1220" t="s">
        <v>476</v>
      </c>
      <c r="F51" s="911" t="s">
        <v>43</v>
      </c>
      <c r="G51" s="1519" t="s">
        <v>43</v>
      </c>
      <c r="H51" s="1520" t="s">
        <v>913</v>
      </c>
      <c r="I51" s="1520" t="s">
        <v>914</v>
      </c>
      <c r="J51" s="71">
        <v>805000</v>
      </c>
      <c r="K51" s="1251">
        <v>0.05</v>
      </c>
      <c r="L51" s="1219">
        <v>0.2</v>
      </c>
      <c r="M51" s="1519" t="s">
        <v>915</v>
      </c>
      <c r="N51" s="1521" t="s">
        <v>916</v>
      </c>
      <c r="O51" s="2440"/>
      <c r="P51" s="1522" t="s">
        <v>917</v>
      </c>
      <c r="Q51" s="23"/>
      <c r="R51" s="1306"/>
    </row>
    <row r="52" spans="1:20" s="1186" customFormat="1" ht="64.150000000000006" customHeight="1">
      <c r="A52" s="22">
        <v>1</v>
      </c>
      <c r="B52" s="1518" t="s">
        <v>837</v>
      </c>
      <c r="C52" s="503"/>
      <c r="D52" s="26">
        <v>0.3</v>
      </c>
      <c r="E52" s="1220" t="s">
        <v>478</v>
      </c>
      <c r="F52" s="911" t="s">
        <v>804</v>
      </c>
      <c r="G52" s="1519" t="s">
        <v>918</v>
      </c>
      <c r="H52" s="1520" t="s">
        <v>919</v>
      </c>
      <c r="I52" s="1520" t="s">
        <v>920</v>
      </c>
      <c r="J52" s="71">
        <v>60000</v>
      </c>
      <c r="K52" s="1251">
        <v>0.03</v>
      </c>
      <c r="L52" s="1219">
        <v>8.9999999999999993E-3</v>
      </c>
      <c r="M52" s="1519" t="s">
        <v>34</v>
      </c>
      <c r="N52" s="1519" t="s">
        <v>49</v>
      </c>
      <c r="O52" s="1536"/>
      <c r="P52" s="1536" t="s">
        <v>43</v>
      </c>
      <c r="Q52" s="23"/>
    </row>
    <row r="53" spans="1:20" s="10" customFormat="1" ht="94.9" customHeight="1">
      <c r="A53" s="22">
        <v>3</v>
      </c>
      <c r="B53" s="1513" t="s">
        <v>45</v>
      </c>
      <c r="C53" s="39"/>
      <c r="D53" s="26">
        <v>2.2000000000000002</v>
      </c>
      <c r="E53" s="1521" t="s">
        <v>921</v>
      </c>
      <c r="F53" s="1529" t="s">
        <v>804</v>
      </c>
      <c r="G53" s="1529" t="s">
        <v>922</v>
      </c>
      <c r="H53" s="1529" t="s">
        <v>923</v>
      </c>
      <c r="I53" s="1529" t="s">
        <v>924</v>
      </c>
      <c r="J53" s="71">
        <v>440000</v>
      </c>
      <c r="K53" s="53">
        <v>0.1</v>
      </c>
      <c r="L53" s="1257">
        <v>0.22</v>
      </c>
      <c r="M53" s="1530" t="s">
        <v>34</v>
      </c>
      <c r="N53" s="1537" t="s">
        <v>925</v>
      </c>
      <c r="O53" s="2425"/>
      <c r="P53" s="1522" t="s">
        <v>926</v>
      </c>
      <c r="Q53" s="75"/>
    </row>
    <row r="54" spans="1:20" s="1187" customFormat="1" ht="84.65" customHeight="1">
      <c r="A54" s="22">
        <v>2</v>
      </c>
      <c r="B54" s="1513" t="s">
        <v>45</v>
      </c>
      <c r="C54" s="39"/>
      <c r="D54" s="1222">
        <v>2</v>
      </c>
      <c r="E54" s="1521" t="s">
        <v>927</v>
      </c>
      <c r="F54" s="1529" t="s">
        <v>804</v>
      </c>
      <c r="G54" s="1529" t="s">
        <v>928</v>
      </c>
      <c r="H54" s="1529" t="s">
        <v>929</v>
      </c>
      <c r="I54" s="1529" t="s">
        <v>930</v>
      </c>
      <c r="J54" s="71">
        <v>400000</v>
      </c>
      <c r="K54" s="53">
        <v>0.05</v>
      </c>
      <c r="L54" s="26">
        <v>0.1</v>
      </c>
      <c r="M54" s="1530" t="s">
        <v>931</v>
      </c>
      <c r="N54" s="1531" t="s">
        <v>932</v>
      </c>
      <c r="O54" s="2442"/>
      <c r="P54" s="1522" t="s">
        <v>926</v>
      </c>
      <c r="Q54" s="549"/>
    </row>
    <row r="55" spans="1:20" s="10" customFormat="1" ht="73.900000000000006" customHeight="1">
      <c r="A55" s="39">
        <v>1</v>
      </c>
      <c r="B55" s="1513" t="s">
        <v>933</v>
      </c>
      <c r="C55" s="39"/>
      <c r="D55" s="1218">
        <v>0.75</v>
      </c>
      <c r="E55" s="1516" t="s">
        <v>934</v>
      </c>
      <c r="F55" s="1533" t="s">
        <v>43</v>
      </c>
      <c r="G55" s="1533" t="s">
        <v>43</v>
      </c>
      <c r="H55" s="1533" t="s">
        <v>935</v>
      </c>
      <c r="I55" s="1533" t="s">
        <v>936</v>
      </c>
      <c r="J55" s="1248">
        <v>150000</v>
      </c>
      <c r="K55" s="1255" t="s">
        <v>68</v>
      </c>
      <c r="L55" s="1538" t="s">
        <v>68</v>
      </c>
      <c r="M55" s="1534" t="s">
        <v>746</v>
      </c>
      <c r="N55" s="1539" t="s">
        <v>937</v>
      </c>
      <c r="O55" s="1539"/>
      <c r="P55" s="1539" t="s">
        <v>938</v>
      </c>
      <c r="Q55" s="1305"/>
      <c r="R55" s="76"/>
    </row>
    <row r="56" spans="1:20" s="1188" customFormat="1" ht="73.900000000000006" customHeight="1">
      <c r="A56" s="22">
        <v>1</v>
      </c>
      <c r="B56" s="1513" t="s">
        <v>19</v>
      </c>
      <c r="C56" s="39"/>
      <c r="D56" s="26">
        <v>0.37</v>
      </c>
      <c r="E56" s="1220" t="s">
        <v>526</v>
      </c>
      <c r="F56" s="1529" t="s">
        <v>804</v>
      </c>
      <c r="G56" s="1529" t="s">
        <v>939</v>
      </c>
      <c r="H56" s="1529" t="s">
        <v>940</v>
      </c>
      <c r="I56" s="1529" t="s">
        <v>941</v>
      </c>
      <c r="J56" s="71">
        <v>75000</v>
      </c>
      <c r="K56" s="53">
        <v>0.03</v>
      </c>
      <c r="L56" s="26">
        <v>1E-3</v>
      </c>
      <c r="M56" s="1530" t="s">
        <v>68</v>
      </c>
      <c r="N56" s="1531" t="s">
        <v>942</v>
      </c>
      <c r="O56" s="2442"/>
      <c r="P56" s="1522" t="s">
        <v>943</v>
      </c>
      <c r="Q56" s="549" t="s">
        <v>324</v>
      </c>
      <c r="R56" s="76"/>
    </row>
    <row r="57" spans="1:20" s="5" customFormat="1" ht="48" customHeight="1">
      <c r="A57" s="22">
        <v>1</v>
      </c>
      <c r="B57" s="1513" t="s">
        <v>933</v>
      </c>
      <c r="C57" s="39"/>
      <c r="D57" s="26">
        <v>8.44</v>
      </c>
      <c r="E57" s="1521" t="s">
        <v>944</v>
      </c>
      <c r="F57" s="1529" t="s">
        <v>804</v>
      </c>
      <c r="G57" s="1529" t="s">
        <v>945</v>
      </c>
      <c r="H57" s="1540" t="s">
        <v>946</v>
      </c>
      <c r="I57" s="1540" t="s">
        <v>947</v>
      </c>
      <c r="J57" s="52">
        <v>1689340</v>
      </c>
      <c r="K57" s="53">
        <v>0.03</v>
      </c>
      <c r="L57" s="54">
        <v>0.25</v>
      </c>
      <c r="M57" s="1519" t="s">
        <v>68</v>
      </c>
      <c r="N57" s="1537" t="s">
        <v>948</v>
      </c>
      <c r="O57" s="2425"/>
      <c r="P57" s="1522" t="s">
        <v>949</v>
      </c>
      <c r="Q57" s="75"/>
      <c r="R57" s="76"/>
    </row>
    <row r="58" spans="1:20" s="10" customFormat="1" ht="102.65" customHeight="1">
      <c r="A58" s="39">
        <v>1</v>
      </c>
      <c r="B58" s="1513" t="s">
        <v>933</v>
      </c>
      <c r="C58" s="39"/>
      <c r="D58" s="1223">
        <v>9</v>
      </c>
      <c r="E58" s="1516" t="s">
        <v>530</v>
      </c>
      <c r="F58" s="1533" t="s">
        <v>43</v>
      </c>
      <c r="G58" s="1533" t="s">
        <v>43</v>
      </c>
      <c r="H58" s="1533" t="s">
        <v>950</v>
      </c>
      <c r="I58" s="1533" t="s">
        <v>951</v>
      </c>
      <c r="J58" s="1248">
        <v>2000000</v>
      </c>
      <c r="K58" s="1255">
        <v>0.05</v>
      </c>
      <c r="L58" s="1256">
        <v>0.45</v>
      </c>
      <c r="M58" s="1534" t="s">
        <v>34</v>
      </c>
      <c r="N58" s="1541" t="s">
        <v>952</v>
      </c>
      <c r="O58" s="1541"/>
      <c r="P58" s="1539" t="s">
        <v>953</v>
      </c>
      <c r="Q58" s="1305"/>
      <c r="R58" s="76"/>
    </row>
    <row r="59" spans="1:20" s="76" customFormat="1" ht="79.900000000000006" customHeight="1">
      <c r="A59" s="1224">
        <v>1</v>
      </c>
      <c r="B59" s="1542" t="s">
        <v>933</v>
      </c>
      <c r="C59" s="1224"/>
      <c r="D59" s="1225">
        <v>25</v>
      </c>
      <c r="E59" s="1543" t="s">
        <v>954</v>
      </c>
      <c r="F59" s="1544" t="s">
        <v>955</v>
      </c>
      <c r="G59" s="1225" t="s">
        <v>956</v>
      </c>
      <c r="H59" s="1258" t="s">
        <v>957</v>
      </c>
      <c r="I59" s="1225" t="s">
        <v>958</v>
      </c>
      <c r="J59" s="1259">
        <v>5000000</v>
      </c>
      <c r="K59" s="1260" t="s">
        <v>68</v>
      </c>
      <c r="L59" s="1261" t="s">
        <v>68</v>
      </c>
      <c r="M59" s="1545" t="s">
        <v>959</v>
      </c>
      <c r="N59" s="1546" t="s">
        <v>960</v>
      </c>
      <c r="O59" s="1546"/>
      <c r="P59" s="1546" t="s">
        <v>961</v>
      </c>
      <c r="Q59" s="1307"/>
      <c r="R59" s="1308"/>
      <c r="S59" s="1309"/>
    </row>
    <row r="60" spans="1:20" s="5" customFormat="1" ht="78.650000000000006" customHeight="1">
      <c r="A60" s="22">
        <v>3</v>
      </c>
      <c r="B60" s="1513" t="s">
        <v>19</v>
      </c>
      <c r="C60" s="39"/>
      <c r="D60" s="26">
        <v>1.91</v>
      </c>
      <c r="E60" s="1521" t="s">
        <v>528</v>
      </c>
      <c r="F60" s="1529" t="s">
        <v>804</v>
      </c>
      <c r="G60" s="1529" t="s">
        <v>962</v>
      </c>
      <c r="H60" s="1540" t="s">
        <v>963</v>
      </c>
      <c r="I60" s="1540" t="s">
        <v>964</v>
      </c>
      <c r="J60" s="52">
        <v>384000</v>
      </c>
      <c r="K60" s="53">
        <v>0.05</v>
      </c>
      <c r="L60" s="1257">
        <v>0.09</v>
      </c>
      <c r="M60" s="1519" t="s">
        <v>34</v>
      </c>
      <c r="N60" s="1537" t="s">
        <v>965</v>
      </c>
      <c r="O60" s="2425"/>
      <c r="P60" s="1547" t="s">
        <v>966</v>
      </c>
      <c r="Q60" s="75"/>
      <c r="R60" s="76"/>
      <c r="S60" s="76"/>
      <c r="T60" s="76"/>
    </row>
    <row r="61" spans="1:20" s="5" customFormat="1" ht="79.900000000000006" customHeight="1">
      <c r="A61" s="22">
        <v>1</v>
      </c>
      <c r="B61" s="1513" t="s">
        <v>967</v>
      </c>
      <c r="C61" s="39"/>
      <c r="D61" s="26">
        <v>3.49</v>
      </c>
      <c r="E61" s="1521" t="s">
        <v>563</v>
      </c>
      <c r="F61" s="1529" t="s">
        <v>804</v>
      </c>
      <c r="G61" s="1529" t="s">
        <v>968</v>
      </c>
      <c r="H61" s="1540" t="s">
        <v>969</v>
      </c>
      <c r="I61" s="1540" t="s">
        <v>970</v>
      </c>
      <c r="J61" s="52">
        <v>699000</v>
      </c>
      <c r="K61" s="53">
        <v>0.03</v>
      </c>
      <c r="L61" s="1257">
        <v>0.1</v>
      </c>
      <c r="M61" s="1519" t="s">
        <v>68</v>
      </c>
      <c r="N61" s="1531" t="s">
        <v>971</v>
      </c>
      <c r="O61" s="2442"/>
      <c r="P61" s="1547" t="s">
        <v>972</v>
      </c>
      <c r="Q61" s="75"/>
      <c r="R61" s="76"/>
      <c r="S61" s="76"/>
      <c r="T61" s="76"/>
    </row>
    <row r="62" spans="1:20" s="5" customFormat="1" ht="40">
      <c r="A62" s="22">
        <v>2</v>
      </c>
      <c r="B62" s="1513" t="s">
        <v>19</v>
      </c>
      <c r="C62" s="39"/>
      <c r="D62" s="1222">
        <v>0.53</v>
      </c>
      <c r="E62" s="1521" t="s">
        <v>587</v>
      </c>
      <c r="F62" s="1529" t="s">
        <v>43</v>
      </c>
      <c r="G62" s="1529" t="s">
        <v>43</v>
      </c>
      <c r="H62" s="1540" t="s">
        <v>973</v>
      </c>
      <c r="I62" s="1540" t="s">
        <v>974</v>
      </c>
      <c r="J62" s="52">
        <v>106638</v>
      </c>
      <c r="K62" s="53">
        <v>0.05</v>
      </c>
      <c r="L62" s="1257">
        <v>0.02</v>
      </c>
      <c r="M62" s="1519" t="s">
        <v>34</v>
      </c>
      <c r="N62" s="1530" t="s">
        <v>49</v>
      </c>
      <c r="O62" s="2419"/>
      <c r="P62" s="1547" t="s">
        <v>975</v>
      </c>
      <c r="Q62" s="75"/>
      <c r="R62" s="76"/>
      <c r="S62" s="76"/>
      <c r="T62" s="76"/>
    </row>
    <row r="63" spans="1:20" s="1188" customFormat="1" ht="119.5" customHeight="1">
      <c r="A63" s="22">
        <v>1</v>
      </c>
      <c r="B63" s="1513" t="s">
        <v>45</v>
      </c>
      <c r="C63" s="39"/>
      <c r="D63" s="26">
        <v>20</v>
      </c>
      <c r="E63" s="1521" t="s">
        <v>976</v>
      </c>
      <c r="F63" s="1529" t="s">
        <v>977</v>
      </c>
      <c r="G63" s="1529" t="s">
        <v>978</v>
      </c>
      <c r="H63" s="1529" t="s">
        <v>979</v>
      </c>
      <c r="I63" s="1529" t="s">
        <v>980</v>
      </c>
      <c r="J63" s="71">
        <v>4000000</v>
      </c>
      <c r="K63" s="53">
        <v>0.04</v>
      </c>
      <c r="L63" s="26">
        <v>0.8</v>
      </c>
      <c r="M63" s="1530" t="s">
        <v>34</v>
      </c>
      <c r="N63" s="1537" t="s">
        <v>981</v>
      </c>
      <c r="O63" s="2425"/>
      <c r="P63" s="1522" t="s">
        <v>982</v>
      </c>
      <c r="Q63" s="549"/>
      <c r="R63" s="76"/>
      <c r="S63" s="76"/>
      <c r="T63" s="76"/>
    </row>
    <row r="64" spans="1:20" s="5" customFormat="1" ht="80">
      <c r="A64" s="22">
        <v>2</v>
      </c>
      <c r="B64" s="1513" t="s">
        <v>45</v>
      </c>
      <c r="C64" s="39"/>
      <c r="D64" s="26">
        <v>83.49</v>
      </c>
      <c r="E64" s="1521" t="s">
        <v>983</v>
      </c>
      <c r="F64" s="1529" t="s">
        <v>804</v>
      </c>
      <c r="G64" s="1529" t="s">
        <v>984</v>
      </c>
      <c r="H64" s="1540" t="s">
        <v>985</v>
      </c>
      <c r="I64" s="52" t="s">
        <v>986</v>
      </c>
      <c r="J64" s="52">
        <v>8349600</v>
      </c>
      <c r="K64" s="53">
        <v>0.03</v>
      </c>
      <c r="L64" s="54">
        <v>2.5</v>
      </c>
      <c r="M64" s="1519" t="s">
        <v>34</v>
      </c>
      <c r="N64" s="1537" t="s">
        <v>987</v>
      </c>
      <c r="O64" s="2425"/>
      <c r="P64" s="1547" t="s">
        <v>988</v>
      </c>
      <c r="Q64" s="75"/>
      <c r="R64" s="76"/>
      <c r="S64" s="76"/>
      <c r="T64" s="76"/>
    </row>
    <row r="65" spans="1:20" s="1188" customFormat="1" ht="84.65" customHeight="1">
      <c r="A65" s="22">
        <v>1</v>
      </c>
      <c r="B65" s="1548" t="s">
        <v>19</v>
      </c>
      <c r="C65" s="1226"/>
      <c r="D65" s="1227">
        <v>0.08</v>
      </c>
      <c r="E65" s="1549" t="s">
        <v>989</v>
      </c>
      <c r="F65" s="1550" t="s">
        <v>804</v>
      </c>
      <c r="G65" s="1550" t="s">
        <v>922</v>
      </c>
      <c r="H65" s="1550" t="s">
        <v>990</v>
      </c>
      <c r="I65" s="1550" t="s">
        <v>991</v>
      </c>
      <c r="J65" s="1262">
        <v>16130</v>
      </c>
      <c r="K65" s="1263">
        <v>0.03</v>
      </c>
      <c r="L65" s="1227">
        <v>2E-3</v>
      </c>
      <c r="M65" s="1551" t="s">
        <v>34</v>
      </c>
      <c r="N65" s="1537" t="s">
        <v>992</v>
      </c>
      <c r="O65" s="2425"/>
      <c r="P65" s="1522" t="s">
        <v>926</v>
      </c>
      <c r="Q65" s="549"/>
      <c r="R65" s="76"/>
      <c r="S65" s="76"/>
      <c r="T65" s="76"/>
    </row>
    <row r="66" spans="1:20" s="5" customFormat="1" ht="107.5" customHeight="1">
      <c r="A66" s="22">
        <v>1</v>
      </c>
      <c r="B66" s="1513" t="s">
        <v>45</v>
      </c>
      <c r="C66" s="39"/>
      <c r="D66" s="26" t="s">
        <v>68</v>
      </c>
      <c r="E66" s="1521" t="s">
        <v>993</v>
      </c>
      <c r="F66" s="1529" t="s">
        <v>804</v>
      </c>
      <c r="G66" s="1529" t="s">
        <v>994</v>
      </c>
      <c r="H66" s="1540" t="s">
        <v>995</v>
      </c>
      <c r="I66" s="1540" t="s">
        <v>996</v>
      </c>
      <c r="J66" s="52" t="s">
        <v>68</v>
      </c>
      <c r="K66" s="53">
        <v>0.05</v>
      </c>
      <c r="L66" s="1552" t="s">
        <v>68</v>
      </c>
      <c r="M66" s="1519" t="s">
        <v>68</v>
      </c>
      <c r="N66" s="1537" t="s">
        <v>997</v>
      </c>
      <c r="O66" s="2425"/>
      <c r="P66" s="1522" t="s">
        <v>998</v>
      </c>
      <c r="Q66" s="75"/>
      <c r="R66" s="76"/>
      <c r="S66" s="76"/>
      <c r="T66" s="76"/>
    </row>
    <row r="67" spans="1:20" s="10" customFormat="1" ht="90" customHeight="1">
      <c r="A67" s="1228">
        <v>1</v>
      </c>
      <c r="B67" s="1513" t="s">
        <v>45</v>
      </c>
      <c r="C67" s="39"/>
      <c r="D67" s="1223">
        <v>208.47</v>
      </c>
      <c r="E67" s="1516" t="s">
        <v>364</v>
      </c>
      <c r="F67" s="1533" t="s">
        <v>43</v>
      </c>
      <c r="G67" s="1533" t="s">
        <v>43</v>
      </c>
      <c r="H67" s="1533" t="s">
        <v>999</v>
      </c>
      <c r="I67" s="1533" t="s">
        <v>1000</v>
      </c>
      <c r="J67" s="1248">
        <v>41700000</v>
      </c>
      <c r="K67" s="1255">
        <v>0.05</v>
      </c>
      <c r="L67" s="1256">
        <v>10.42</v>
      </c>
      <c r="M67" s="1534" t="s">
        <v>1001</v>
      </c>
      <c r="N67" s="1534" t="s">
        <v>49</v>
      </c>
      <c r="O67" s="2443"/>
      <c r="P67" s="1553" t="s">
        <v>1002</v>
      </c>
      <c r="Q67" s="1305"/>
      <c r="R67" s="76"/>
      <c r="S67" s="76"/>
      <c r="T67" s="76"/>
    </row>
    <row r="68" spans="1:20" s="10" customFormat="1" ht="81.650000000000006" customHeight="1">
      <c r="A68" s="1228">
        <v>1</v>
      </c>
      <c r="B68" s="1542" t="s">
        <v>45</v>
      </c>
      <c r="C68" s="1224"/>
      <c r="D68" s="1229">
        <v>4.5</v>
      </c>
      <c r="E68" s="1543" t="s">
        <v>658</v>
      </c>
      <c r="F68" s="1544" t="s">
        <v>43</v>
      </c>
      <c r="G68" s="1544" t="s">
        <v>43</v>
      </c>
      <c r="H68" s="1544" t="s">
        <v>1003</v>
      </c>
      <c r="I68" s="1544" t="s">
        <v>1004</v>
      </c>
      <c r="J68" s="1259">
        <v>451000</v>
      </c>
      <c r="K68" s="1264">
        <v>0.05</v>
      </c>
      <c r="L68" s="1265">
        <v>0.22</v>
      </c>
      <c r="M68" s="1545" t="s">
        <v>931</v>
      </c>
      <c r="N68" s="1545" t="s">
        <v>1005</v>
      </c>
      <c r="O68" s="2444"/>
      <c r="P68" s="1554" t="s">
        <v>1006</v>
      </c>
      <c r="Q68" s="1305"/>
      <c r="R68" s="76"/>
      <c r="S68" s="76"/>
      <c r="T68" s="76"/>
    </row>
    <row r="69" spans="1:20" s="1188" customFormat="1" ht="84.65" customHeight="1">
      <c r="A69" s="22">
        <v>2</v>
      </c>
      <c r="B69" s="1513" t="s">
        <v>45</v>
      </c>
      <c r="C69" s="1226"/>
      <c r="D69" s="1227">
        <v>5</v>
      </c>
      <c r="E69" s="1549" t="s">
        <v>1007</v>
      </c>
      <c r="F69" s="1550" t="s">
        <v>804</v>
      </c>
      <c r="G69" s="1550" t="s">
        <v>1008</v>
      </c>
      <c r="H69" s="1550" t="s">
        <v>1009</v>
      </c>
      <c r="I69" s="1550" t="s">
        <v>1010</v>
      </c>
      <c r="J69" s="1262">
        <v>1000000</v>
      </c>
      <c r="K69" s="1263">
        <v>0.05</v>
      </c>
      <c r="L69" s="1227">
        <v>0.25</v>
      </c>
      <c r="M69" s="1551" t="s">
        <v>1011</v>
      </c>
      <c r="N69" s="1537" t="s">
        <v>1012</v>
      </c>
      <c r="O69" s="2445"/>
      <c r="P69" s="1555" t="s">
        <v>1013</v>
      </c>
      <c r="Q69" s="549"/>
      <c r="R69" s="76"/>
      <c r="S69" s="76"/>
      <c r="T69" s="76"/>
    </row>
    <row r="70" spans="1:20" s="5" customFormat="1" ht="84.65" customHeight="1">
      <c r="A70" s="22">
        <v>3</v>
      </c>
      <c r="B70" s="1513" t="s">
        <v>19</v>
      </c>
      <c r="C70" s="39"/>
      <c r="D70" s="26">
        <v>0.08</v>
      </c>
      <c r="E70" s="1521" t="s">
        <v>639</v>
      </c>
      <c r="F70" s="1529" t="s">
        <v>804</v>
      </c>
      <c r="G70" s="1529" t="s">
        <v>1014</v>
      </c>
      <c r="H70" s="1540" t="s">
        <v>1015</v>
      </c>
      <c r="I70" s="1540" t="s">
        <v>1016</v>
      </c>
      <c r="J70" s="52">
        <v>16472</v>
      </c>
      <c r="K70" s="53">
        <v>0.1</v>
      </c>
      <c r="L70" s="1257">
        <v>8.0000000000000002E-3</v>
      </c>
      <c r="M70" s="1519" t="s">
        <v>34</v>
      </c>
      <c r="N70" s="1530" t="s">
        <v>49</v>
      </c>
      <c r="O70" s="2419"/>
      <c r="P70" s="1547" t="s">
        <v>972</v>
      </c>
      <c r="Q70" s="75"/>
      <c r="R70" s="76"/>
      <c r="S70" s="76"/>
      <c r="T70" s="76"/>
    </row>
    <row r="71" spans="1:20" s="5" customFormat="1" ht="73.150000000000006" customHeight="1" thickBot="1">
      <c r="A71" s="22">
        <v>2</v>
      </c>
      <c r="B71" s="1513" t="s">
        <v>45</v>
      </c>
      <c r="C71" s="39"/>
      <c r="D71" s="1222">
        <v>5</v>
      </c>
      <c r="E71" s="1521" t="s">
        <v>652</v>
      </c>
      <c r="F71" s="1529" t="s">
        <v>804</v>
      </c>
      <c r="G71" s="1529" t="s">
        <v>1017</v>
      </c>
      <c r="H71" s="1540" t="s">
        <v>1018</v>
      </c>
      <c r="I71" s="1540" t="s">
        <v>1019</v>
      </c>
      <c r="J71" s="52">
        <v>2500000</v>
      </c>
      <c r="K71" s="53">
        <v>0.05</v>
      </c>
      <c r="L71" s="54">
        <v>0.25</v>
      </c>
      <c r="M71" s="1519" t="s">
        <v>34</v>
      </c>
      <c r="N71" s="1537" t="s">
        <v>1020</v>
      </c>
      <c r="O71" s="2425"/>
      <c r="P71" s="1547" t="s">
        <v>926</v>
      </c>
      <c r="Q71" s="75"/>
      <c r="R71" s="76"/>
      <c r="S71" s="76"/>
      <c r="T71" s="76"/>
    </row>
    <row r="72" spans="1:20" s="10" customFormat="1" ht="128.5" customHeight="1">
      <c r="A72" s="1214">
        <v>1</v>
      </c>
      <c r="B72" s="1513" t="s">
        <v>45</v>
      </c>
      <c r="C72" s="39"/>
      <c r="D72" s="1218">
        <v>2.5</v>
      </c>
      <c r="E72" s="1516" t="s">
        <v>619</v>
      </c>
      <c r="F72" s="1533" t="s">
        <v>804</v>
      </c>
      <c r="G72" s="1533" t="s">
        <v>1021</v>
      </c>
      <c r="H72" s="1533" t="s">
        <v>1022</v>
      </c>
      <c r="I72" s="1533" t="s">
        <v>1023</v>
      </c>
      <c r="J72" s="1248">
        <v>500000</v>
      </c>
      <c r="K72" s="1255">
        <v>0.1</v>
      </c>
      <c r="L72" s="1256">
        <v>0.25</v>
      </c>
      <c r="M72" s="1534" t="s">
        <v>34</v>
      </c>
      <c r="N72" s="1539" t="s">
        <v>1024</v>
      </c>
      <c r="O72" s="2446"/>
      <c r="P72" s="1553" t="s">
        <v>1025</v>
      </c>
      <c r="Q72" s="1305"/>
      <c r="R72" s="76"/>
      <c r="S72" s="76"/>
      <c r="T72" s="76"/>
    </row>
    <row r="73" spans="1:20" s="5" customFormat="1" ht="69" customHeight="1">
      <c r="A73" s="22">
        <v>1</v>
      </c>
      <c r="B73" s="1513" t="s">
        <v>45</v>
      </c>
      <c r="C73" s="39"/>
      <c r="D73" s="1222">
        <v>0.64</v>
      </c>
      <c r="E73" s="1521" t="s">
        <v>668</v>
      </c>
      <c r="F73" s="1529" t="s">
        <v>804</v>
      </c>
      <c r="G73" s="1529" t="s">
        <v>1026</v>
      </c>
      <c r="H73" s="1540" t="s">
        <v>1027</v>
      </c>
      <c r="I73" s="1540" t="s">
        <v>1028</v>
      </c>
      <c r="J73" s="52">
        <v>64100</v>
      </c>
      <c r="K73" s="53">
        <v>0.1</v>
      </c>
      <c r="L73" s="26">
        <v>0.06</v>
      </c>
      <c r="M73" s="1519" t="s">
        <v>34</v>
      </c>
      <c r="N73" s="1530" t="s">
        <v>1029</v>
      </c>
      <c r="O73" s="2419"/>
      <c r="P73" s="1547" t="s">
        <v>1030</v>
      </c>
      <c r="Q73" s="75"/>
      <c r="R73" s="76"/>
      <c r="S73" s="76"/>
      <c r="T73" s="76"/>
    </row>
    <row r="74" spans="1:20" s="5" customFormat="1" ht="51.65" customHeight="1" thickBot="1">
      <c r="A74" s="22">
        <v>5</v>
      </c>
      <c r="B74" s="1513" t="s">
        <v>19</v>
      </c>
      <c r="C74" s="39"/>
      <c r="D74" s="26">
        <v>2.5</v>
      </c>
      <c r="E74" s="1521" t="s">
        <v>1031</v>
      </c>
      <c r="F74" s="1529" t="s">
        <v>43</v>
      </c>
      <c r="G74" s="1529" t="s">
        <v>43</v>
      </c>
      <c r="H74" s="1540" t="s">
        <v>1032</v>
      </c>
      <c r="I74" s="1540" t="s">
        <v>1033</v>
      </c>
      <c r="J74" s="52">
        <v>500000</v>
      </c>
      <c r="K74" s="53">
        <v>0.1</v>
      </c>
      <c r="L74" s="54">
        <v>0.25</v>
      </c>
      <c r="M74" s="1519" t="s">
        <v>34</v>
      </c>
      <c r="N74" s="1530" t="s">
        <v>49</v>
      </c>
      <c r="O74" s="2419"/>
      <c r="P74" s="1547" t="s">
        <v>1034</v>
      </c>
      <c r="Q74" s="75"/>
      <c r="R74" s="76"/>
      <c r="S74" s="76"/>
      <c r="T74" s="76"/>
    </row>
    <row r="75" spans="1:20" s="5" customFormat="1" ht="66.650000000000006" customHeight="1">
      <c r="A75" s="1214">
        <v>1</v>
      </c>
      <c r="B75" s="1556" t="s">
        <v>19</v>
      </c>
      <c r="C75" s="1310"/>
      <c r="D75" s="1311">
        <v>0.84</v>
      </c>
      <c r="E75" s="1557" t="s">
        <v>616</v>
      </c>
      <c r="F75" s="1559" t="s">
        <v>804</v>
      </c>
      <c r="G75" s="1559" t="s">
        <v>1035</v>
      </c>
      <c r="H75" s="1560" t="s">
        <v>1036</v>
      </c>
      <c r="I75" s="1328" t="s">
        <v>1037</v>
      </c>
      <c r="J75" s="1328">
        <v>164000</v>
      </c>
      <c r="K75" s="1329">
        <v>0.05</v>
      </c>
      <c r="L75" s="1330">
        <v>0.04</v>
      </c>
      <c r="M75" s="1558" t="s">
        <v>1038</v>
      </c>
      <c r="N75" s="1561" t="s">
        <v>1005</v>
      </c>
      <c r="O75" s="2447"/>
      <c r="P75" s="1562" t="s">
        <v>1039</v>
      </c>
      <c r="Q75" s="75"/>
      <c r="R75" s="76"/>
      <c r="S75" s="76"/>
      <c r="T75" s="76"/>
    </row>
    <row r="76" spans="1:20" s="5" customFormat="1" ht="76.150000000000006" customHeight="1">
      <c r="A76" s="22">
        <v>2</v>
      </c>
      <c r="B76" s="1513" t="s">
        <v>19</v>
      </c>
      <c r="C76" s="39"/>
      <c r="D76" s="26">
        <v>0.75</v>
      </c>
      <c r="E76" s="1521" t="s">
        <v>1040</v>
      </c>
      <c r="F76" s="1529" t="s">
        <v>804</v>
      </c>
      <c r="G76" s="1529" t="s">
        <v>1041</v>
      </c>
      <c r="H76" s="1540" t="s">
        <v>1042</v>
      </c>
      <c r="I76" s="1540" t="s">
        <v>1043</v>
      </c>
      <c r="J76" s="52">
        <v>150000</v>
      </c>
      <c r="K76" s="53">
        <v>0.03</v>
      </c>
      <c r="L76" s="1257">
        <v>0.02</v>
      </c>
      <c r="M76" s="1519" t="s">
        <v>68</v>
      </c>
      <c r="N76" s="1531" t="s">
        <v>1044</v>
      </c>
      <c r="O76" s="2442"/>
      <c r="P76" s="1547" t="s">
        <v>1045</v>
      </c>
      <c r="Q76" s="75"/>
      <c r="R76" s="76"/>
      <c r="S76" s="76"/>
      <c r="T76" s="76"/>
    </row>
    <row r="78" spans="1:20" s="5" customFormat="1" ht="54.65" customHeight="1">
      <c r="A78" s="22">
        <v>1</v>
      </c>
      <c r="B78" s="1513" t="s">
        <v>45</v>
      </c>
      <c r="C78" s="39"/>
      <c r="D78" s="1222">
        <v>6.45</v>
      </c>
      <c r="E78" s="1521" t="s">
        <v>612</v>
      </c>
      <c r="F78" s="1529" t="s">
        <v>43</v>
      </c>
      <c r="G78" s="1529" t="s">
        <v>43</v>
      </c>
      <c r="H78" s="1540" t="s">
        <v>1046</v>
      </c>
      <c r="I78" s="1540" t="s">
        <v>1047</v>
      </c>
      <c r="J78" s="52">
        <v>1291800</v>
      </c>
      <c r="K78" s="53">
        <v>0.05</v>
      </c>
      <c r="L78" s="54">
        <v>0.32</v>
      </c>
      <c r="M78" s="1519" t="s">
        <v>34</v>
      </c>
      <c r="N78" s="1531" t="s">
        <v>1048</v>
      </c>
      <c r="O78" s="2442"/>
      <c r="P78" s="1522" t="s">
        <v>1049</v>
      </c>
      <c r="Q78" s="75"/>
      <c r="R78" s="76"/>
      <c r="S78" s="76"/>
      <c r="T78" s="76"/>
    </row>
    <row r="79" spans="1:20" s="10" customFormat="1" ht="63" customHeight="1">
      <c r="A79" s="22">
        <v>4</v>
      </c>
      <c r="B79" s="1548" t="s">
        <v>45</v>
      </c>
      <c r="C79" s="1226"/>
      <c r="D79" s="1227">
        <v>0.97</v>
      </c>
      <c r="E79" s="1549" t="s">
        <v>375</v>
      </c>
      <c r="F79" s="1550" t="s">
        <v>43</v>
      </c>
      <c r="G79" s="1550" t="s">
        <v>43</v>
      </c>
      <c r="H79" s="1550" t="s">
        <v>1050</v>
      </c>
      <c r="I79" s="1550" t="s">
        <v>1051</v>
      </c>
      <c r="J79" s="1262">
        <v>195000</v>
      </c>
      <c r="K79" s="1263" t="s">
        <v>68</v>
      </c>
      <c r="L79" s="1563" t="s">
        <v>68</v>
      </c>
      <c r="M79" s="1551" t="s">
        <v>68</v>
      </c>
      <c r="N79" s="1564" t="s">
        <v>1052</v>
      </c>
      <c r="O79" s="2445"/>
      <c r="P79" s="1565" t="s">
        <v>1053</v>
      </c>
      <c r="Q79" s="1305"/>
      <c r="R79" s="76"/>
      <c r="S79" s="76"/>
      <c r="T79" s="76"/>
    </row>
    <row r="80" spans="1:20" s="5" customFormat="1" ht="51.65" customHeight="1">
      <c r="A80" s="22">
        <v>2</v>
      </c>
      <c r="B80" s="1513" t="s">
        <v>45</v>
      </c>
      <c r="C80" s="39"/>
      <c r="D80" s="1222">
        <v>0.75</v>
      </c>
      <c r="E80" s="1521" t="s">
        <v>1054</v>
      </c>
      <c r="F80" s="1529" t="s">
        <v>43</v>
      </c>
      <c r="G80" s="1529" t="s">
        <v>43</v>
      </c>
      <c r="H80" s="1540" t="s">
        <v>1055</v>
      </c>
      <c r="I80" s="1540" t="s">
        <v>1056</v>
      </c>
      <c r="J80" s="52">
        <v>225000</v>
      </c>
      <c r="K80" s="53">
        <v>0.03</v>
      </c>
      <c r="L80" s="1257">
        <v>0.02</v>
      </c>
      <c r="M80" s="1519" t="s">
        <v>34</v>
      </c>
      <c r="N80" s="1530" t="s">
        <v>49</v>
      </c>
      <c r="O80" s="2419"/>
      <c r="P80" s="1547" t="s">
        <v>1045</v>
      </c>
      <c r="Q80" s="75"/>
      <c r="R80" s="76"/>
      <c r="S80" s="76"/>
      <c r="T80" s="76"/>
    </row>
    <row r="81" spans="1:20" s="10" customFormat="1" ht="66" customHeight="1">
      <c r="A81" s="22">
        <v>2</v>
      </c>
      <c r="B81" s="1513" t="s">
        <v>45</v>
      </c>
      <c r="C81" s="39"/>
      <c r="D81" s="26">
        <v>13.5</v>
      </c>
      <c r="E81" s="1521" t="s">
        <v>1057</v>
      </c>
      <c r="F81" s="1529" t="s">
        <v>43</v>
      </c>
      <c r="G81" s="1529" t="s">
        <v>43</v>
      </c>
      <c r="H81" s="1529" t="s">
        <v>1058</v>
      </c>
      <c r="I81" s="1529" t="s">
        <v>1059</v>
      </c>
      <c r="J81" s="71">
        <v>2700000</v>
      </c>
      <c r="K81" s="53">
        <v>0.03</v>
      </c>
      <c r="L81" s="54">
        <v>0.4</v>
      </c>
      <c r="M81" s="1530" t="s">
        <v>68</v>
      </c>
      <c r="N81" s="1537" t="s">
        <v>1060</v>
      </c>
      <c r="O81" s="2425"/>
      <c r="P81" s="1522" t="s">
        <v>1061</v>
      </c>
      <c r="Q81" s="75"/>
      <c r="R81" s="76"/>
      <c r="S81" s="76"/>
      <c r="T81" s="76"/>
    </row>
    <row r="82" spans="1:20" s="10" customFormat="1" ht="66" customHeight="1">
      <c r="A82" s="22">
        <v>1</v>
      </c>
      <c r="B82" s="1513" t="s">
        <v>19</v>
      </c>
      <c r="C82" s="39"/>
      <c r="D82" s="1221">
        <v>0.3</v>
      </c>
      <c r="E82" s="1524" t="s">
        <v>371</v>
      </c>
      <c r="F82" s="1525" t="s">
        <v>804</v>
      </c>
      <c r="G82" s="1525" t="s">
        <v>1062</v>
      </c>
      <c r="H82" s="1525" t="s">
        <v>1063</v>
      </c>
      <c r="I82" s="1525" t="s">
        <v>1064</v>
      </c>
      <c r="J82" s="1252">
        <v>60000</v>
      </c>
      <c r="K82" s="1253" t="s">
        <v>68</v>
      </c>
      <c r="L82" s="1253" t="s">
        <v>68</v>
      </c>
      <c r="M82" s="1526" t="s">
        <v>34</v>
      </c>
      <c r="N82" s="1526" t="s">
        <v>1065</v>
      </c>
      <c r="O82" s="2448"/>
      <c r="P82" s="1566" t="s">
        <v>1066</v>
      </c>
      <c r="Q82" s="75"/>
      <c r="R82" s="76"/>
      <c r="S82" s="76"/>
      <c r="T82" s="76"/>
    </row>
    <row r="83" spans="1:20" s="1188" customFormat="1" ht="66" customHeight="1">
      <c r="A83" s="22">
        <v>1</v>
      </c>
      <c r="B83" s="1513" t="s">
        <v>45</v>
      </c>
      <c r="C83" s="39"/>
      <c r="D83" s="1312">
        <v>202</v>
      </c>
      <c r="E83" s="1567" t="s">
        <v>1067</v>
      </c>
      <c r="F83" s="1568" t="s">
        <v>804</v>
      </c>
      <c r="G83" s="1568" t="s">
        <v>1068</v>
      </c>
      <c r="H83" s="1568" t="s">
        <v>1069</v>
      </c>
      <c r="I83" s="1568" t="s">
        <v>68</v>
      </c>
      <c r="J83" s="1331">
        <v>10000000</v>
      </c>
      <c r="K83" s="1332">
        <v>0.05</v>
      </c>
      <c r="L83" s="1313">
        <v>10.1</v>
      </c>
      <c r="M83" s="1569" t="s">
        <v>68</v>
      </c>
      <c r="N83" s="1569" t="s">
        <v>1070</v>
      </c>
      <c r="O83" s="2449"/>
      <c r="P83" s="1570" t="s">
        <v>907</v>
      </c>
      <c r="Q83" s="549"/>
      <c r="R83" s="76"/>
      <c r="S83" s="76"/>
      <c r="T83" s="76"/>
    </row>
    <row r="84" spans="1:20" s="1188" customFormat="1" ht="66" customHeight="1">
      <c r="A84" s="22">
        <v>1</v>
      </c>
      <c r="B84" s="1513" t="s">
        <v>45</v>
      </c>
      <c r="C84" s="39"/>
      <c r="D84" s="1222">
        <v>0.79</v>
      </c>
      <c r="E84" s="1521" t="s">
        <v>1071</v>
      </c>
      <c r="F84" s="1529" t="s">
        <v>804</v>
      </c>
      <c r="G84" s="1529" t="s">
        <v>1072</v>
      </c>
      <c r="H84" s="1529" t="s">
        <v>1073</v>
      </c>
      <c r="I84" s="1529" t="s">
        <v>1074</v>
      </c>
      <c r="J84" s="71">
        <v>59712</v>
      </c>
      <c r="K84" s="53">
        <v>0.03</v>
      </c>
      <c r="L84" s="26">
        <v>0.02</v>
      </c>
      <c r="M84" s="1530" t="s">
        <v>34</v>
      </c>
      <c r="N84" s="1530" t="s">
        <v>49</v>
      </c>
      <c r="O84" s="2419"/>
      <c r="P84" s="1532" t="s">
        <v>907</v>
      </c>
      <c r="Q84" s="549"/>
      <c r="R84" s="76"/>
      <c r="S84" s="76"/>
      <c r="T84" s="76"/>
    </row>
    <row r="85" spans="1:20" s="1188" customFormat="1" ht="66" customHeight="1">
      <c r="A85" s="1228">
        <v>1</v>
      </c>
      <c r="B85" s="1513" t="s">
        <v>45</v>
      </c>
      <c r="C85" s="39"/>
      <c r="D85" s="1312">
        <v>3.38</v>
      </c>
      <c r="E85" s="1567" t="s">
        <v>1075</v>
      </c>
      <c r="F85" s="1568" t="s">
        <v>43</v>
      </c>
      <c r="G85" s="1568" t="s">
        <v>43</v>
      </c>
      <c r="H85" s="1568" t="s">
        <v>1076</v>
      </c>
      <c r="I85" s="1568" t="s">
        <v>68</v>
      </c>
      <c r="J85" s="1331">
        <v>319400</v>
      </c>
      <c r="K85" s="1332">
        <v>0.05</v>
      </c>
      <c r="L85" s="1313">
        <v>0.16</v>
      </c>
      <c r="M85" s="1569" t="s">
        <v>68</v>
      </c>
      <c r="N85" s="1569" t="s">
        <v>49</v>
      </c>
      <c r="O85" s="2449"/>
      <c r="P85" s="1571" t="s">
        <v>1077</v>
      </c>
      <c r="Q85" s="549"/>
      <c r="R85" s="76"/>
      <c r="S85" s="76"/>
      <c r="T85" s="76"/>
    </row>
    <row r="86" spans="1:20" s="1188" customFormat="1" ht="66" customHeight="1">
      <c r="A86" s="1228">
        <v>2</v>
      </c>
      <c r="B86" s="1513" t="s">
        <v>45</v>
      </c>
      <c r="C86" s="39"/>
      <c r="D86" s="1312">
        <v>4.5999999999999996</v>
      </c>
      <c r="E86" s="1567" t="s">
        <v>1078</v>
      </c>
      <c r="F86" s="1568" t="s">
        <v>43</v>
      </c>
      <c r="G86" s="1568" t="s">
        <v>43</v>
      </c>
      <c r="H86" s="1568" t="s">
        <v>1079</v>
      </c>
      <c r="I86" s="1568" t="s">
        <v>68</v>
      </c>
      <c r="J86" s="1331">
        <v>380300</v>
      </c>
      <c r="K86" s="1332">
        <v>0.05</v>
      </c>
      <c r="L86" s="1333">
        <v>0.23</v>
      </c>
      <c r="M86" s="1569" t="s">
        <v>68</v>
      </c>
      <c r="N86" s="1569" t="s">
        <v>49</v>
      </c>
      <c r="O86" s="2449"/>
      <c r="P86" s="1571" t="s">
        <v>1077</v>
      </c>
      <c r="Q86" s="549"/>
      <c r="R86" s="76"/>
      <c r="S86" s="76"/>
      <c r="T86" s="76"/>
    </row>
    <row r="87" spans="1:20" s="1188" customFormat="1" ht="66" customHeight="1">
      <c r="A87" s="1228">
        <v>1</v>
      </c>
      <c r="B87" s="1542" t="s">
        <v>45</v>
      </c>
      <c r="C87" s="1224"/>
      <c r="D87" s="1314">
        <v>0.99</v>
      </c>
      <c r="E87" s="1572" t="s">
        <v>1080</v>
      </c>
      <c r="F87" s="1573" t="s">
        <v>43</v>
      </c>
      <c r="G87" s="1573" t="s">
        <v>43</v>
      </c>
      <c r="H87" s="1573" t="s">
        <v>1081</v>
      </c>
      <c r="I87" s="1573" t="s">
        <v>68</v>
      </c>
      <c r="J87" s="1334">
        <v>198200</v>
      </c>
      <c r="K87" s="1335" t="s">
        <v>68</v>
      </c>
      <c r="L87" s="1574" t="s">
        <v>68</v>
      </c>
      <c r="M87" s="1575" t="s">
        <v>68</v>
      </c>
      <c r="N87" s="1576" t="s">
        <v>1082</v>
      </c>
      <c r="O87" s="2450"/>
      <c r="P87" s="1577" t="s">
        <v>1077</v>
      </c>
      <c r="Q87" s="549"/>
      <c r="R87" s="76"/>
      <c r="S87" s="76"/>
      <c r="T87" s="76"/>
    </row>
    <row r="88" spans="1:20" s="1188" customFormat="1" ht="66" customHeight="1">
      <c r="A88" s="22">
        <v>1</v>
      </c>
      <c r="B88" s="1513" t="s">
        <v>45</v>
      </c>
      <c r="C88" s="39"/>
      <c r="D88" s="26">
        <v>9</v>
      </c>
      <c r="E88" s="1521" t="s">
        <v>1083</v>
      </c>
      <c r="F88" s="1529" t="s">
        <v>804</v>
      </c>
      <c r="G88" s="1529" t="s">
        <v>1084</v>
      </c>
      <c r="H88" s="1529" t="s">
        <v>1085</v>
      </c>
      <c r="I88" s="1529" t="s">
        <v>1086</v>
      </c>
      <c r="J88" s="71">
        <v>2700000</v>
      </c>
      <c r="K88" s="53">
        <v>0.03</v>
      </c>
      <c r="L88" s="24">
        <v>0.4</v>
      </c>
      <c r="M88" s="1530" t="s">
        <v>68</v>
      </c>
      <c r="N88" s="1537" t="s">
        <v>1087</v>
      </c>
      <c r="O88" s="2425"/>
      <c r="P88" s="1522" t="s">
        <v>1088</v>
      </c>
      <c r="Q88" s="549"/>
      <c r="R88" s="76"/>
      <c r="S88" s="76"/>
      <c r="T88" s="76"/>
    </row>
    <row r="89" spans="1:20" s="1188" customFormat="1" ht="82.5" customHeight="1">
      <c r="A89" s="22">
        <v>2</v>
      </c>
      <c r="B89" s="1513" t="s">
        <v>19</v>
      </c>
      <c r="C89" s="1304"/>
      <c r="D89" s="1315">
        <v>41.93</v>
      </c>
      <c r="E89" s="1521" t="s">
        <v>1089</v>
      </c>
      <c r="F89" s="1529" t="s">
        <v>804</v>
      </c>
      <c r="G89" s="1529" t="s">
        <v>1090</v>
      </c>
      <c r="H89" s="1529" t="s">
        <v>1091</v>
      </c>
      <c r="I89" s="1529" t="s">
        <v>1092</v>
      </c>
      <c r="J89" s="71">
        <v>8387500</v>
      </c>
      <c r="K89" s="53">
        <v>0.05</v>
      </c>
      <c r="L89" s="26">
        <v>9.9860000000000007</v>
      </c>
      <c r="M89" s="1530" t="s">
        <v>68</v>
      </c>
      <c r="N89" s="1578" t="s">
        <v>1093</v>
      </c>
      <c r="O89" s="2451"/>
      <c r="P89" s="1532" t="s">
        <v>1094</v>
      </c>
      <c r="Q89" s="549"/>
      <c r="R89" s="76"/>
      <c r="S89" s="76"/>
      <c r="T89" s="76"/>
    </row>
    <row r="90" spans="1:20" s="1188" customFormat="1" ht="66" customHeight="1">
      <c r="A90" s="22">
        <v>1</v>
      </c>
      <c r="B90" s="1513" t="s">
        <v>19</v>
      </c>
      <c r="C90" s="39"/>
      <c r="D90" s="1222">
        <v>7.1</v>
      </c>
      <c r="E90" s="1521" t="s">
        <v>1095</v>
      </c>
      <c r="F90" s="1529" t="s">
        <v>1096</v>
      </c>
      <c r="G90" s="1529" t="s">
        <v>1097</v>
      </c>
      <c r="H90" s="1529" t="s">
        <v>1098</v>
      </c>
      <c r="I90" s="1529" t="s">
        <v>1099</v>
      </c>
      <c r="J90" s="71">
        <v>2130000</v>
      </c>
      <c r="K90" s="53">
        <v>0.05</v>
      </c>
      <c r="L90" s="26">
        <v>0.35</v>
      </c>
      <c r="M90" s="1530" t="s">
        <v>34</v>
      </c>
      <c r="N90" s="1537" t="s">
        <v>1100</v>
      </c>
      <c r="O90" s="2425"/>
      <c r="P90" s="1522" t="s">
        <v>1077</v>
      </c>
      <c r="Q90" s="549"/>
      <c r="R90" s="76"/>
      <c r="S90" s="76"/>
      <c r="T90" s="76"/>
    </row>
    <row r="91" spans="1:20" s="10" customFormat="1" ht="75" customHeight="1">
      <c r="A91" s="1228">
        <v>1</v>
      </c>
      <c r="B91" s="1513" t="s">
        <v>45</v>
      </c>
      <c r="C91" s="39"/>
      <c r="D91" s="1218">
        <v>3</v>
      </c>
      <c r="E91" s="1516" t="s">
        <v>1101</v>
      </c>
      <c r="F91" s="1533" t="s">
        <v>1102</v>
      </c>
      <c r="G91" s="1533" t="s">
        <v>1103</v>
      </c>
      <c r="H91" s="1533" t="s">
        <v>1104</v>
      </c>
      <c r="I91" s="1533" t="s">
        <v>1105</v>
      </c>
      <c r="J91" s="1248">
        <v>600000</v>
      </c>
      <c r="K91" s="1255">
        <v>0.03</v>
      </c>
      <c r="L91" s="1256">
        <v>0.09</v>
      </c>
      <c r="M91" s="1534" t="s">
        <v>1106</v>
      </c>
      <c r="N91" s="1539" t="s">
        <v>1107</v>
      </c>
      <c r="O91" s="2446"/>
      <c r="P91" s="1553" t="s">
        <v>1108</v>
      </c>
      <c r="Q91" s="75"/>
      <c r="R91" s="76"/>
      <c r="S91" s="76"/>
      <c r="T91" s="76"/>
    </row>
    <row r="92" spans="1:20" s="1188" customFormat="1" ht="66" customHeight="1">
      <c r="A92" s="22">
        <v>1</v>
      </c>
      <c r="B92" s="1513" t="s">
        <v>19</v>
      </c>
      <c r="C92" s="39"/>
      <c r="D92" s="26">
        <v>0.47</v>
      </c>
      <c r="E92" s="1521" t="s">
        <v>1109</v>
      </c>
      <c r="F92" s="1529" t="s">
        <v>43</v>
      </c>
      <c r="G92" s="1529" t="s">
        <v>43</v>
      </c>
      <c r="H92" s="1529" t="s">
        <v>1110</v>
      </c>
      <c r="I92" s="1529" t="s">
        <v>1111</v>
      </c>
      <c r="J92" s="71">
        <v>94245</v>
      </c>
      <c r="K92" s="53">
        <v>0.05</v>
      </c>
      <c r="L92" s="26">
        <v>0.02</v>
      </c>
      <c r="M92" s="1530" t="s">
        <v>68</v>
      </c>
      <c r="N92" s="1537" t="s">
        <v>1112</v>
      </c>
      <c r="O92" s="2425"/>
      <c r="P92" s="1522" t="s">
        <v>1113</v>
      </c>
      <c r="Q92" s="549"/>
      <c r="R92" s="76"/>
      <c r="S92" s="76"/>
      <c r="T92" s="76"/>
    </row>
    <row r="93" spans="1:20" s="1188" customFormat="1" ht="66" customHeight="1">
      <c r="A93" s="22">
        <v>2</v>
      </c>
      <c r="B93" s="1513" t="s">
        <v>45</v>
      </c>
      <c r="C93" s="39"/>
      <c r="D93" s="26">
        <v>0.75</v>
      </c>
      <c r="E93" s="1521" t="s">
        <v>1114</v>
      </c>
      <c r="F93" s="1529" t="s">
        <v>804</v>
      </c>
      <c r="G93" s="1529" t="s">
        <v>1115</v>
      </c>
      <c r="H93" s="1529" t="s">
        <v>1104</v>
      </c>
      <c r="I93" s="1529" t="s">
        <v>1116</v>
      </c>
      <c r="J93" s="71">
        <v>150000</v>
      </c>
      <c r="K93" s="53">
        <v>0.03</v>
      </c>
      <c r="L93" s="26">
        <v>0.02</v>
      </c>
      <c r="M93" s="1530" t="s">
        <v>34</v>
      </c>
      <c r="N93" s="1537" t="s">
        <v>1117</v>
      </c>
      <c r="O93" s="2425"/>
      <c r="P93" s="1522" t="s">
        <v>1118</v>
      </c>
      <c r="Q93" s="549"/>
      <c r="R93" s="76"/>
      <c r="S93" s="76"/>
      <c r="T93" s="76"/>
    </row>
    <row r="94" spans="1:20" s="1188" customFormat="1" ht="66" customHeight="1">
      <c r="A94" s="22">
        <v>3</v>
      </c>
      <c r="B94" s="1513" t="s">
        <v>19</v>
      </c>
      <c r="C94" s="39"/>
      <c r="D94" s="26">
        <v>0.25</v>
      </c>
      <c r="E94" s="1521" t="s">
        <v>1119</v>
      </c>
      <c r="F94" s="1529" t="s">
        <v>804</v>
      </c>
      <c r="G94" s="1529" t="s">
        <v>1120</v>
      </c>
      <c r="H94" s="1529" t="s">
        <v>1121</v>
      </c>
      <c r="I94" s="1529" t="s">
        <v>1122</v>
      </c>
      <c r="J94" s="71">
        <v>50000</v>
      </c>
      <c r="K94" s="53">
        <v>0.03</v>
      </c>
      <c r="L94" s="24">
        <v>0.8</v>
      </c>
      <c r="M94" s="1530" t="s">
        <v>34</v>
      </c>
      <c r="N94" s="1537" t="s">
        <v>1123</v>
      </c>
      <c r="O94" s="2425"/>
      <c r="P94" s="1522" t="s">
        <v>1094</v>
      </c>
      <c r="Q94" s="549"/>
      <c r="R94" s="76"/>
      <c r="S94" s="76"/>
      <c r="T94" s="76"/>
    </row>
    <row r="95" spans="1:20" s="10" customFormat="1" ht="67.5" customHeight="1">
      <c r="A95" s="22">
        <v>1</v>
      </c>
      <c r="B95" s="1513" t="s">
        <v>63</v>
      </c>
      <c r="C95" s="39"/>
      <c r="D95" s="1222">
        <v>359.87</v>
      </c>
      <c r="E95" s="1521" t="s">
        <v>1124</v>
      </c>
      <c r="F95" s="1529" t="s">
        <v>804</v>
      </c>
      <c r="G95" s="1529" t="s">
        <v>1125</v>
      </c>
      <c r="H95" s="1529" t="s">
        <v>1126</v>
      </c>
      <c r="I95" s="1529" t="s">
        <v>1127</v>
      </c>
      <c r="J95" s="71">
        <v>71975000</v>
      </c>
      <c r="K95" s="53">
        <v>0.05</v>
      </c>
      <c r="L95" s="54">
        <v>17.989999999999998</v>
      </c>
      <c r="M95" s="1530" t="s">
        <v>150</v>
      </c>
      <c r="N95" s="1531" t="s">
        <v>1128</v>
      </c>
      <c r="O95" s="2442"/>
      <c r="P95" s="1532" t="s">
        <v>907</v>
      </c>
      <c r="Q95" s="75"/>
      <c r="R95" s="76"/>
      <c r="S95" s="76"/>
      <c r="T95" s="76"/>
    </row>
    <row r="96" spans="1:20" s="10" customFormat="1" ht="67.5" customHeight="1">
      <c r="A96" s="1228">
        <v>1</v>
      </c>
      <c r="B96" s="1513" t="s">
        <v>45</v>
      </c>
      <c r="C96" s="39"/>
      <c r="D96" s="1218">
        <v>0.05</v>
      </c>
      <c r="E96" s="1516" t="s">
        <v>1129</v>
      </c>
      <c r="F96" s="1533" t="s">
        <v>1130</v>
      </c>
      <c r="G96" s="1533" t="s">
        <v>1131</v>
      </c>
      <c r="H96" s="1533" t="s">
        <v>1132</v>
      </c>
      <c r="I96" s="1533" t="s">
        <v>1133</v>
      </c>
      <c r="J96" s="1248">
        <v>100000</v>
      </c>
      <c r="K96" s="1255" t="s">
        <v>68</v>
      </c>
      <c r="L96" s="1256">
        <v>0.03</v>
      </c>
      <c r="M96" s="1534" t="s">
        <v>34</v>
      </c>
      <c r="N96" s="1539" t="s">
        <v>1134</v>
      </c>
      <c r="O96" s="2446"/>
      <c r="P96" s="1553" t="s">
        <v>1135</v>
      </c>
      <c r="Q96" s="75"/>
      <c r="R96" s="76"/>
      <c r="S96" s="76"/>
      <c r="T96" s="76"/>
    </row>
    <row r="97" spans="1:21" s="10" customFormat="1" ht="67.5" customHeight="1">
      <c r="A97" s="22">
        <v>1</v>
      </c>
      <c r="B97" s="1513" t="s">
        <v>45</v>
      </c>
      <c r="C97" s="39"/>
      <c r="D97" s="1316">
        <v>1.5</v>
      </c>
      <c r="E97" s="1524" t="s">
        <v>1136</v>
      </c>
      <c r="F97" s="1525" t="s">
        <v>804</v>
      </c>
      <c r="G97" s="1525" t="s">
        <v>1137</v>
      </c>
      <c r="H97" s="1525" t="s">
        <v>1138</v>
      </c>
      <c r="I97" s="1525" t="s">
        <v>1139</v>
      </c>
      <c r="J97" s="1252">
        <v>75000</v>
      </c>
      <c r="K97" s="1253">
        <v>0.05</v>
      </c>
      <c r="L97" s="1254">
        <v>7.0000000000000007E-2</v>
      </c>
      <c r="M97" s="1526" t="s">
        <v>34</v>
      </c>
      <c r="N97" s="1579" t="s">
        <v>1140</v>
      </c>
      <c r="O97" s="2452"/>
      <c r="P97" s="1528" t="s">
        <v>1141</v>
      </c>
      <c r="Q97" s="75"/>
      <c r="R97" s="76"/>
      <c r="S97" s="76"/>
      <c r="T97" s="76"/>
    </row>
    <row r="98" spans="1:21" s="10" customFormat="1" ht="67.5" customHeight="1">
      <c r="A98" s="22">
        <v>3</v>
      </c>
      <c r="B98" s="1513" t="s">
        <v>63</v>
      </c>
      <c r="C98" s="39"/>
      <c r="D98" s="1221">
        <v>15</v>
      </c>
      <c r="E98" s="1524" t="s">
        <v>643</v>
      </c>
      <c r="F98" s="1525" t="s">
        <v>804</v>
      </c>
      <c r="G98" s="1525" t="s">
        <v>1142</v>
      </c>
      <c r="H98" s="1525" t="s">
        <v>1143</v>
      </c>
      <c r="I98" s="1525" t="s">
        <v>1133</v>
      </c>
      <c r="J98" s="1252">
        <v>3000000</v>
      </c>
      <c r="K98" s="1253">
        <v>0.03</v>
      </c>
      <c r="L98" s="1254">
        <v>0.45</v>
      </c>
      <c r="M98" s="1526" t="s">
        <v>1144</v>
      </c>
      <c r="N98" s="1527" t="s">
        <v>1145</v>
      </c>
      <c r="O98" s="2441"/>
      <c r="P98" s="1528" t="s">
        <v>1094</v>
      </c>
      <c r="Q98" s="75"/>
      <c r="R98" s="76"/>
      <c r="S98" s="76"/>
      <c r="T98" s="76"/>
    </row>
    <row r="99" spans="1:21" s="1188" customFormat="1" ht="60">
      <c r="A99" s="1228">
        <v>1</v>
      </c>
      <c r="B99" s="1513" t="s">
        <v>19</v>
      </c>
      <c r="C99" s="39"/>
      <c r="D99" s="1223">
        <v>1.79</v>
      </c>
      <c r="E99" s="1516" t="s">
        <v>1146</v>
      </c>
      <c r="F99" s="1533" t="s">
        <v>43</v>
      </c>
      <c r="G99" s="1533" t="s">
        <v>43</v>
      </c>
      <c r="H99" s="1533" t="s">
        <v>1147</v>
      </c>
      <c r="I99" s="1533" t="s">
        <v>1148</v>
      </c>
      <c r="J99" s="1248">
        <v>360000</v>
      </c>
      <c r="K99" s="1255">
        <v>0.05</v>
      </c>
      <c r="L99" s="1218">
        <v>0.08</v>
      </c>
      <c r="M99" s="1534" t="s">
        <v>1149</v>
      </c>
      <c r="N99" s="1580" t="s">
        <v>1150</v>
      </c>
      <c r="O99" s="2453"/>
      <c r="P99" s="1553" t="s">
        <v>1151</v>
      </c>
      <c r="Q99" s="549"/>
      <c r="R99" s="76"/>
      <c r="S99" s="76"/>
      <c r="T99" s="76"/>
    </row>
    <row r="100" spans="1:21" s="1188" customFormat="1" ht="63" customHeight="1">
      <c r="A100" s="22">
        <v>1</v>
      </c>
      <c r="B100" s="1513" t="s">
        <v>45</v>
      </c>
      <c r="C100" s="39"/>
      <c r="D100" s="1222">
        <v>1.02</v>
      </c>
      <c r="E100" s="1521" t="s">
        <v>1152</v>
      </c>
      <c r="F100" s="1529" t="s">
        <v>43</v>
      </c>
      <c r="G100" s="1529" t="s">
        <v>43</v>
      </c>
      <c r="H100" s="1529" t="s">
        <v>1153</v>
      </c>
      <c r="I100" s="1529" t="s">
        <v>1154</v>
      </c>
      <c r="J100" s="71">
        <v>307290</v>
      </c>
      <c r="K100" s="53" t="s">
        <v>1155</v>
      </c>
      <c r="L100" s="1581" t="s">
        <v>1155</v>
      </c>
      <c r="M100" s="1530" t="s">
        <v>1156</v>
      </c>
      <c r="N100" s="1578" t="s">
        <v>1157</v>
      </c>
      <c r="O100" s="2451"/>
      <c r="P100" s="1522" t="s">
        <v>1158</v>
      </c>
      <c r="Q100" s="549"/>
      <c r="R100" s="76"/>
      <c r="S100" s="76"/>
      <c r="T100" s="76"/>
    </row>
    <row r="101" spans="1:21" s="10" customFormat="1" ht="85.5" customHeight="1">
      <c r="A101" s="1228">
        <v>2</v>
      </c>
      <c r="B101" s="1513" t="s">
        <v>19</v>
      </c>
      <c r="C101" s="39"/>
      <c r="D101" s="1218">
        <v>0.49</v>
      </c>
      <c r="E101" s="1516" t="s">
        <v>1159</v>
      </c>
      <c r="F101" s="1533" t="s">
        <v>804</v>
      </c>
      <c r="G101" s="1533" t="s">
        <v>1160</v>
      </c>
      <c r="H101" s="1533" t="s">
        <v>1161</v>
      </c>
      <c r="I101" s="1533" t="s">
        <v>1162</v>
      </c>
      <c r="J101" s="1248">
        <v>100000</v>
      </c>
      <c r="K101" s="1255">
        <v>0.1</v>
      </c>
      <c r="L101" s="1256">
        <v>0.49</v>
      </c>
      <c r="M101" s="1534" t="s">
        <v>34</v>
      </c>
      <c r="N101" s="1539" t="s">
        <v>1163</v>
      </c>
      <c r="O101" s="2446"/>
      <c r="P101" s="1553" t="s">
        <v>1164</v>
      </c>
      <c r="Q101" s="75"/>
      <c r="R101" s="76"/>
      <c r="S101" s="76"/>
      <c r="T101" s="76"/>
    </row>
    <row r="102" spans="1:21" s="1189" customFormat="1" ht="63" customHeight="1">
      <c r="A102" s="22">
        <v>1</v>
      </c>
      <c r="B102" s="1513" t="s">
        <v>19</v>
      </c>
      <c r="C102" s="39"/>
      <c r="D102" s="1222">
        <v>1.32</v>
      </c>
      <c r="E102" s="1521" t="s">
        <v>1165</v>
      </c>
      <c r="F102" s="1529" t="s">
        <v>43</v>
      </c>
      <c r="G102" s="1529" t="s">
        <v>43</v>
      </c>
      <c r="H102" s="1529" t="s">
        <v>1166</v>
      </c>
      <c r="I102" s="1529" t="s">
        <v>1167</v>
      </c>
      <c r="J102" s="71">
        <v>396000</v>
      </c>
      <c r="K102" s="53">
        <v>0.03</v>
      </c>
      <c r="L102" s="26">
        <f>D102*3%</f>
        <v>3.9600000000000003E-2</v>
      </c>
      <c r="M102" s="1519" t="s">
        <v>878</v>
      </c>
      <c r="N102" s="1519" t="s">
        <v>49</v>
      </c>
      <c r="O102" s="2454"/>
      <c r="P102" s="1522" t="s">
        <v>1168</v>
      </c>
      <c r="Q102" s="1582" t="s">
        <v>1169</v>
      </c>
      <c r="R102" s="76"/>
      <c r="S102" s="76"/>
      <c r="T102" s="76"/>
      <c r="U102" s="1350"/>
    </row>
    <row r="103" spans="1:21" s="5" customFormat="1" ht="67.5" customHeight="1">
      <c r="A103" s="39">
        <v>1</v>
      </c>
      <c r="B103" s="1513" t="s">
        <v>63</v>
      </c>
      <c r="C103" s="39"/>
      <c r="D103" s="1222">
        <v>41.11</v>
      </c>
      <c r="E103" s="1521" t="s">
        <v>1170</v>
      </c>
      <c r="F103" s="1540" t="s">
        <v>1171</v>
      </c>
      <c r="G103" s="1540" t="s">
        <v>1172</v>
      </c>
      <c r="H103" s="1540" t="s">
        <v>1173</v>
      </c>
      <c r="I103" s="1540" t="s">
        <v>1174</v>
      </c>
      <c r="J103" s="71">
        <v>8223480</v>
      </c>
      <c r="K103" s="53">
        <v>0.05</v>
      </c>
      <c r="L103" s="54">
        <v>2.0499999999999998</v>
      </c>
      <c r="M103" s="1519" t="s">
        <v>150</v>
      </c>
      <c r="N103" s="1521" t="s">
        <v>1175</v>
      </c>
      <c r="O103" s="1521"/>
      <c r="P103" s="1583" t="s">
        <v>1176</v>
      </c>
      <c r="Q103" s="75"/>
      <c r="R103" s="1351"/>
      <c r="S103" s="1308"/>
      <c r="T103" s="1308"/>
    </row>
    <row r="104" spans="1:21" s="5" customFormat="1" ht="64.5" customHeight="1">
      <c r="A104" s="22">
        <v>1</v>
      </c>
      <c r="B104" s="1513" t="s">
        <v>45</v>
      </c>
      <c r="C104" s="39"/>
      <c r="D104" s="26">
        <v>7.5</v>
      </c>
      <c r="E104" s="1521" t="s">
        <v>1177</v>
      </c>
      <c r="F104" s="1529" t="s">
        <v>804</v>
      </c>
      <c r="G104" s="1529" t="s">
        <v>1178</v>
      </c>
      <c r="H104" s="1540" t="s">
        <v>1179</v>
      </c>
      <c r="I104" s="1540" t="s">
        <v>1180</v>
      </c>
      <c r="J104" s="52">
        <v>1500000</v>
      </c>
      <c r="K104" s="53" t="s">
        <v>68</v>
      </c>
      <c r="L104" s="1552" t="s">
        <v>68</v>
      </c>
      <c r="M104" s="1519" t="s">
        <v>34</v>
      </c>
      <c r="N104" s="1530" t="s">
        <v>1181</v>
      </c>
      <c r="O104" s="2419"/>
      <c r="P104" s="1547" t="s">
        <v>1182</v>
      </c>
      <c r="Q104" s="75"/>
      <c r="R104" s="1351"/>
      <c r="S104" s="1308"/>
      <c r="T104" s="1308"/>
    </row>
    <row r="105" spans="1:21" s="5" customFormat="1" ht="67.5" customHeight="1">
      <c r="A105" s="22">
        <v>1</v>
      </c>
      <c r="B105" s="1513" t="s">
        <v>45</v>
      </c>
      <c r="C105" s="39"/>
      <c r="D105" s="26">
        <v>22.5</v>
      </c>
      <c r="E105" s="1521" t="s">
        <v>1183</v>
      </c>
      <c r="F105" s="1540" t="s">
        <v>1184</v>
      </c>
      <c r="G105" s="1540" t="s">
        <v>1185</v>
      </c>
      <c r="H105" s="1540" t="s">
        <v>1186</v>
      </c>
      <c r="I105" s="1540" t="s">
        <v>1187</v>
      </c>
      <c r="J105" s="71">
        <v>4500000</v>
      </c>
      <c r="K105" s="53">
        <v>0.1</v>
      </c>
      <c r="L105" s="54">
        <v>2.25</v>
      </c>
      <c r="M105" s="1519" t="s">
        <v>83</v>
      </c>
      <c r="N105" s="1537" t="s">
        <v>1188</v>
      </c>
      <c r="O105" s="2425"/>
      <c r="P105" s="1547" t="s">
        <v>1077</v>
      </c>
      <c r="Q105" s="75" t="s">
        <v>1189</v>
      </c>
      <c r="R105" s="1351"/>
      <c r="S105" s="1308"/>
      <c r="T105" s="1308"/>
    </row>
    <row r="106" spans="1:21" s="10" customFormat="1" ht="75" customHeight="1">
      <c r="A106" s="22">
        <v>2</v>
      </c>
      <c r="B106" s="1513" t="s">
        <v>45</v>
      </c>
      <c r="C106" s="39"/>
      <c r="D106" s="1223">
        <v>36.44</v>
      </c>
      <c r="E106" s="1516" t="s">
        <v>1190</v>
      </c>
      <c r="F106" s="1533" t="s">
        <v>1191</v>
      </c>
      <c r="G106" s="1533" t="s">
        <v>1192</v>
      </c>
      <c r="H106" s="1533" t="s">
        <v>1142</v>
      </c>
      <c r="I106" s="1533" t="s">
        <v>1179</v>
      </c>
      <c r="J106" s="1248">
        <v>2500000</v>
      </c>
      <c r="K106" s="1255" t="s">
        <v>68</v>
      </c>
      <c r="L106" s="1538" t="s">
        <v>68</v>
      </c>
      <c r="M106" s="1534" t="s">
        <v>1193</v>
      </c>
      <c r="N106" s="1539" t="s">
        <v>1194</v>
      </c>
      <c r="O106" s="2446"/>
      <c r="P106" s="1553" t="s">
        <v>1195</v>
      </c>
      <c r="Q106" s="75"/>
    </row>
    <row r="107" spans="1:21" s="10" customFormat="1" ht="69" customHeight="1">
      <c r="A107" s="22">
        <v>3</v>
      </c>
      <c r="B107" s="1513" t="s">
        <v>19</v>
      </c>
      <c r="C107" s="39"/>
      <c r="D107" s="1218">
        <v>0.6</v>
      </c>
      <c r="E107" s="1516" t="s">
        <v>1196</v>
      </c>
      <c r="F107" s="1533" t="s">
        <v>1197</v>
      </c>
      <c r="G107" s="1533" t="s">
        <v>1198</v>
      </c>
      <c r="H107" s="1533" t="s">
        <v>1142</v>
      </c>
      <c r="I107" s="1533" t="s">
        <v>1179</v>
      </c>
      <c r="J107" s="1248">
        <v>120000</v>
      </c>
      <c r="K107" s="1255">
        <v>0.03</v>
      </c>
      <c r="L107" s="1256">
        <v>0.01</v>
      </c>
      <c r="M107" s="1534" t="s">
        <v>34</v>
      </c>
      <c r="N107" s="1539" t="s">
        <v>1199</v>
      </c>
      <c r="O107" s="2446"/>
      <c r="P107" s="1553" t="s">
        <v>1200</v>
      </c>
      <c r="Q107" s="1584" t="s">
        <v>1169</v>
      </c>
    </row>
    <row r="108" spans="1:21" s="10" customFormat="1" ht="81" customHeight="1">
      <c r="A108" s="22">
        <v>4</v>
      </c>
      <c r="B108" s="1513" t="s">
        <v>45</v>
      </c>
      <c r="C108" s="39"/>
      <c r="D108" s="26">
        <v>10.5</v>
      </c>
      <c r="E108" s="1521" t="s">
        <v>1201</v>
      </c>
      <c r="F108" s="1529" t="s">
        <v>43</v>
      </c>
      <c r="G108" s="1529" t="s">
        <v>43</v>
      </c>
      <c r="H108" s="1529" t="s">
        <v>1202</v>
      </c>
      <c r="I108" s="1529" t="s">
        <v>1203</v>
      </c>
      <c r="J108" s="71">
        <v>2100000</v>
      </c>
      <c r="K108" s="53">
        <v>0.03</v>
      </c>
      <c r="L108" s="54">
        <v>0.31</v>
      </c>
      <c r="M108" s="1530" t="s">
        <v>1204</v>
      </c>
      <c r="N108" s="1530" t="s">
        <v>49</v>
      </c>
      <c r="O108" s="2419"/>
      <c r="P108" s="1532" t="s">
        <v>1205</v>
      </c>
      <c r="Q108" s="75"/>
    </row>
    <row r="109" spans="1:21" s="1187" customFormat="1" ht="73.5" customHeight="1">
      <c r="A109" s="22">
        <v>5</v>
      </c>
      <c r="B109" s="1542" t="s">
        <v>45</v>
      </c>
      <c r="C109" s="1224"/>
      <c r="D109" s="1225">
        <v>0.5</v>
      </c>
      <c r="E109" s="1543" t="s">
        <v>1206</v>
      </c>
      <c r="F109" s="1544" t="s">
        <v>43</v>
      </c>
      <c r="G109" s="1544" t="s">
        <v>43</v>
      </c>
      <c r="H109" s="1544" t="s">
        <v>1207</v>
      </c>
      <c r="I109" s="1544" t="s">
        <v>1208</v>
      </c>
      <c r="J109" s="1259">
        <v>100000</v>
      </c>
      <c r="K109" s="1264">
        <v>0.03</v>
      </c>
      <c r="L109" s="1336">
        <v>0.01</v>
      </c>
      <c r="M109" s="1545" t="s">
        <v>34</v>
      </c>
      <c r="N109" s="1585" t="s">
        <v>49</v>
      </c>
      <c r="O109" s="2455"/>
      <c r="P109" s="1554" t="s">
        <v>1209</v>
      </c>
      <c r="Q109" s="549"/>
    </row>
    <row r="110" spans="1:21" s="1187" customFormat="1" ht="66" customHeight="1">
      <c r="A110" s="22">
        <v>6</v>
      </c>
      <c r="B110" s="1513" t="s">
        <v>45</v>
      </c>
      <c r="C110" s="39"/>
      <c r="D110" s="1222">
        <v>4.9800000000000004</v>
      </c>
      <c r="E110" s="1521" t="s">
        <v>1210</v>
      </c>
      <c r="F110" s="1529" t="s">
        <v>1211</v>
      </c>
      <c r="G110" s="1529" t="s">
        <v>1212</v>
      </c>
      <c r="H110" s="1529" t="s">
        <v>1207</v>
      </c>
      <c r="I110" s="1529" t="s">
        <v>1213</v>
      </c>
      <c r="J110" s="71">
        <v>498000</v>
      </c>
      <c r="K110" s="53">
        <v>0.03</v>
      </c>
      <c r="L110" s="942">
        <v>0.14000000000000001</v>
      </c>
      <c r="M110" s="1530" t="s">
        <v>150</v>
      </c>
      <c r="N110" s="1586" t="s">
        <v>49</v>
      </c>
      <c r="O110" s="2456"/>
      <c r="P110" s="1532" t="s">
        <v>1176</v>
      </c>
      <c r="Q110" s="549"/>
    </row>
    <row r="111" spans="1:21" s="1187" customFormat="1" ht="66" customHeight="1">
      <c r="A111" s="22">
        <v>7</v>
      </c>
      <c r="B111" s="1513" t="s">
        <v>45</v>
      </c>
      <c r="C111" s="39"/>
      <c r="D111" s="1222">
        <v>0.5</v>
      </c>
      <c r="E111" s="1521" t="s">
        <v>1214</v>
      </c>
      <c r="F111" s="1529" t="s">
        <v>43</v>
      </c>
      <c r="G111" s="1529" t="s">
        <v>43</v>
      </c>
      <c r="H111" s="1529" t="s">
        <v>1215</v>
      </c>
      <c r="I111" s="1529" t="s">
        <v>1216</v>
      </c>
      <c r="J111" s="71">
        <v>250000</v>
      </c>
      <c r="K111" s="53">
        <v>0.05</v>
      </c>
      <c r="L111" s="942">
        <v>0.01</v>
      </c>
      <c r="M111" s="1530" t="s">
        <v>1217</v>
      </c>
      <c r="N111" s="1586" t="s">
        <v>49</v>
      </c>
      <c r="O111" s="2456"/>
      <c r="P111" s="1532" t="s">
        <v>1176</v>
      </c>
      <c r="Q111" s="549"/>
    </row>
    <row r="112" spans="1:21" ht="20.5" thickBot="1">
      <c r="E112" s="529" t="s">
        <v>1218</v>
      </c>
    </row>
    <row r="113" spans="1:20" s="1190" customFormat="1" ht="80.25" customHeight="1">
      <c r="A113" s="1228">
        <v>10</v>
      </c>
      <c r="B113" s="1587" t="s">
        <v>45</v>
      </c>
      <c r="C113" s="1317"/>
      <c r="D113" s="1318">
        <v>0</v>
      </c>
      <c r="E113" s="1319" t="s">
        <v>1219</v>
      </c>
      <c r="F113" s="1588" t="s">
        <v>869</v>
      </c>
      <c r="G113" s="1318" t="s">
        <v>1220</v>
      </c>
      <c r="H113" s="1589" t="s">
        <v>1221</v>
      </c>
      <c r="I113" s="1337" t="s">
        <v>1222</v>
      </c>
      <c r="J113" s="1338">
        <v>0</v>
      </c>
      <c r="K113" s="1339" t="s">
        <v>68</v>
      </c>
      <c r="L113" s="1340">
        <v>0</v>
      </c>
      <c r="M113" s="1588" t="s">
        <v>83</v>
      </c>
      <c r="N113" s="1319" t="s">
        <v>1223</v>
      </c>
      <c r="O113" s="2457"/>
      <c r="P113" s="1590" t="s">
        <v>1141</v>
      </c>
      <c r="Q113" s="1352"/>
      <c r="R113" s="1187"/>
      <c r="S113" s="1187"/>
      <c r="T113" s="1187"/>
    </row>
    <row r="114" spans="1:20" s="1191" customFormat="1" ht="70.5" customHeight="1" thickBot="1">
      <c r="A114" s="1228">
        <v>16</v>
      </c>
      <c r="B114" s="1587" t="s">
        <v>45</v>
      </c>
      <c r="C114" s="1321"/>
      <c r="D114" s="1322">
        <v>4.67</v>
      </c>
      <c r="E114" s="1591" t="s">
        <v>1224</v>
      </c>
      <c r="F114" s="1592" t="s">
        <v>869</v>
      </c>
      <c r="G114" s="1592" t="s">
        <v>1225</v>
      </c>
      <c r="H114" s="1593" t="s">
        <v>1226</v>
      </c>
      <c r="I114" s="1593" t="s">
        <v>1227</v>
      </c>
      <c r="J114" s="1341">
        <v>934283</v>
      </c>
      <c r="K114" s="1342">
        <v>0.05</v>
      </c>
      <c r="L114" s="1343">
        <v>0.23</v>
      </c>
      <c r="M114" s="1594" t="s">
        <v>34</v>
      </c>
      <c r="N114" s="1595" t="s">
        <v>49</v>
      </c>
      <c r="O114" s="2458"/>
      <c r="P114" s="1596" t="s">
        <v>1228</v>
      </c>
      <c r="Q114" s="1353"/>
      <c r="R114" s="564"/>
      <c r="S114" s="1196"/>
      <c r="T114" s="1196"/>
    </row>
    <row r="115" spans="1:20" s="1190" customFormat="1" ht="80.25" customHeight="1">
      <c r="A115" s="1228">
        <v>17</v>
      </c>
      <c r="B115" s="1587" t="s">
        <v>45</v>
      </c>
      <c r="C115" s="1317"/>
      <c r="D115" s="1318">
        <v>0</v>
      </c>
      <c r="E115" s="1319" t="s">
        <v>1219</v>
      </c>
      <c r="F115" s="1588" t="s">
        <v>869</v>
      </c>
      <c r="G115" s="1318" t="s">
        <v>1220</v>
      </c>
      <c r="H115" s="1589" t="s">
        <v>1221</v>
      </c>
      <c r="I115" s="1337" t="s">
        <v>1222</v>
      </c>
      <c r="J115" s="1338">
        <v>0</v>
      </c>
      <c r="K115" s="1339" t="s">
        <v>68</v>
      </c>
      <c r="L115" s="1340">
        <v>0</v>
      </c>
      <c r="M115" s="1588" t="s">
        <v>83</v>
      </c>
      <c r="N115" s="1319" t="s">
        <v>1223</v>
      </c>
      <c r="O115" s="2457"/>
      <c r="P115" s="1590" t="s">
        <v>1229</v>
      </c>
      <c r="Q115" s="1352"/>
      <c r="R115" s="1187"/>
      <c r="S115" s="1187"/>
      <c r="T115" s="1187"/>
    </row>
    <row r="116" spans="1:20" s="529" customFormat="1" ht="73.5" customHeight="1">
      <c r="A116" s="1228">
        <v>18</v>
      </c>
      <c r="B116" s="1587" t="s">
        <v>19</v>
      </c>
      <c r="C116" s="1321"/>
      <c r="D116" s="1322">
        <v>0.11</v>
      </c>
      <c r="E116" s="1591" t="s">
        <v>1230</v>
      </c>
      <c r="F116" s="1592" t="s">
        <v>1231</v>
      </c>
      <c r="G116" s="1592" t="s">
        <v>1232</v>
      </c>
      <c r="H116" s="1593" t="s">
        <v>1233</v>
      </c>
      <c r="I116" s="1593" t="s">
        <v>1221</v>
      </c>
      <c r="J116" s="1341">
        <v>23400</v>
      </c>
      <c r="K116" s="1342">
        <v>0.03</v>
      </c>
      <c r="L116" s="1343">
        <v>3.0000000000000001E-3</v>
      </c>
      <c r="M116" s="1594" t="s">
        <v>34</v>
      </c>
      <c r="N116" s="1597" t="s">
        <v>1234</v>
      </c>
      <c r="O116" s="2459"/>
      <c r="P116" s="1596" t="s">
        <v>1235</v>
      </c>
      <c r="Q116" s="23"/>
      <c r="R116" s="564"/>
      <c r="S116" s="564"/>
      <c r="T116" s="564"/>
    </row>
    <row r="117" spans="1:20" s="1191" customFormat="1" ht="73.5" customHeight="1">
      <c r="A117" s="1228">
        <v>19</v>
      </c>
      <c r="B117" s="1587" t="s">
        <v>19</v>
      </c>
      <c r="C117" s="1321"/>
      <c r="D117" s="1322">
        <v>0.13</v>
      </c>
      <c r="E117" s="1597" t="s">
        <v>1236</v>
      </c>
      <c r="F117" s="1592" t="s">
        <v>1231</v>
      </c>
      <c r="G117" s="1592" t="s">
        <v>1232</v>
      </c>
      <c r="H117" s="1593" t="s">
        <v>1233</v>
      </c>
      <c r="I117" s="1593" t="s">
        <v>1221</v>
      </c>
      <c r="J117" s="1338">
        <v>27000</v>
      </c>
      <c r="K117" s="1344">
        <v>0.03</v>
      </c>
      <c r="L117" s="1343">
        <v>4.0000000000000001E-3</v>
      </c>
      <c r="M117" s="1594" t="s">
        <v>34</v>
      </c>
      <c r="N117" s="1597" t="s">
        <v>1234</v>
      </c>
      <c r="O117" s="2459"/>
      <c r="P117" s="1596" t="s">
        <v>1237</v>
      </c>
      <c r="Q117" s="23"/>
      <c r="R117" s="564"/>
      <c r="S117" s="1196"/>
      <c r="T117" s="1196"/>
    </row>
    <row r="118" spans="1:20" s="1191" customFormat="1" ht="73.5" customHeight="1">
      <c r="A118" s="1228">
        <v>20</v>
      </c>
      <c r="B118" s="1587" t="s">
        <v>19</v>
      </c>
      <c r="C118" s="1321"/>
      <c r="D118" s="1322">
        <v>0.53</v>
      </c>
      <c r="E118" s="1597" t="s">
        <v>1238</v>
      </c>
      <c r="F118" s="1592" t="s">
        <v>1231</v>
      </c>
      <c r="G118" s="1592" t="s">
        <v>1232</v>
      </c>
      <c r="H118" s="1593" t="s">
        <v>1233</v>
      </c>
      <c r="I118" s="1593" t="s">
        <v>1221</v>
      </c>
      <c r="J118" s="1338">
        <v>107100</v>
      </c>
      <c r="K118" s="1344">
        <v>0.03</v>
      </c>
      <c r="L118" s="1343">
        <v>0.01</v>
      </c>
      <c r="M118" s="1594" t="s">
        <v>34</v>
      </c>
      <c r="N118" s="1597" t="s">
        <v>1234</v>
      </c>
      <c r="O118" s="2459"/>
      <c r="P118" s="1596" t="s">
        <v>1237</v>
      </c>
      <c r="Q118" s="23"/>
      <c r="R118" s="564"/>
      <c r="S118" s="1196"/>
      <c r="T118" s="1196"/>
    </row>
    <row r="119" spans="1:20" s="1187" customFormat="1" ht="73.5" customHeight="1">
      <c r="A119" s="1228">
        <v>21</v>
      </c>
      <c r="B119" s="1587" t="s">
        <v>19</v>
      </c>
      <c r="C119" s="1317"/>
      <c r="D119" s="1320">
        <v>0.25</v>
      </c>
      <c r="E119" s="1597" t="s">
        <v>1239</v>
      </c>
      <c r="F119" s="1598" t="s">
        <v>43</v>
      </c>
      <c r="G119" s="1598" t="s">
        <v>43</v>
      </c>
      <c r="H119" s="1599" t="s">
        <v>1240</v>
      </c>
      <c r="I119" s="1599" t="s">
        <v>1241</v>
      </c>
      <c r="J119" s="1338">
        <v>50000</v>
      </c>
      <c r="K119" s="1344" t="s">
        <v>1155</v>
      </c>
      <c r="L119" s="1600" t="s">
        <v>1155</v>
      </c>
      <c r="M119" s="1601" t="s">
        <v>68</v>
      </c>
      <c r="N119" s="1594" t="s">
        <v>49</v>
      </c>
      <c r="O119" s="2460"/>
      <c r="P119" s="1596" t="s">
        <v>1242</v>
      </c>
      <c r="Q119" s="1354"/>
    </row>
    <row r="120" spans="1:20" s="1187" customFormat="1" ht="73.5" customHeight="1">
      <c r="A120" s="1228">
        <v>22</v>
      </c>
      <c r="B120" s="1587" t="s">
        <v>45</v>
      </c>
      <c r="C120" s="1317"/>
      <c r="D120" s="1323">
        <v>8.4700000000000006</v>
      </c>
      <c r="E120" s="1597" t="s">
        <v>1243</v>
      </c>
      <c r="F120" s="1598" t="s">
        <v>1244</v>
      </c>
      <c r="G120" s="1598" t="s">
        <v>1245</v>
      </c>
      <c r="H120" s="1598" t="s">
        <v>1246</v>
      </c>
      <c r="I120" s="1598" t="s">
        <v>1247</v>
      </c>
      <c r="J120" s="1338">
        <v>423560</v>
      </c>
      <c r="K120" s="1344">
        <v>0.03</v>
      </c>
      <c r="L120" s="1343">
        <v>0.25</v>
      </c>
      <c r="M120" s="1601" t="s">
        <v>34</v>
      </c>
      <c r="N120" s="1602" t="s">
        <v>1248</v>
      </c>
      <c r="O120" s="2461"/>
      <c r="P120" s="1603" t="s">
        <v>1249</v>
      </c>
      <c r="Q120" s="1354"/>
    </row>
    <row r="121" spans="1:20" s="1191" customFormat="1" ht="73.5" customHeight="1">
      <c r="A121" s="1228">
        <v>23</v>
      </c>
      <c r="B121" s="1587" t="s">
        <v>19</v>
      </c>
      <c r="C121" s="1321"/>
      <c r="D121" s="1322">
        <v>0.33</v>
      </c>
      <c r="E121" s="1597" t="s">
        <v>1250</v>
      </c>
      <c r="F121" s="1604" t="s">
        <v>804</v>
      </c>
      <c r="G121" s="1599" t="s">
        <v>1251</v>
      </c>
      <c r="H121" s="1598" t="s">
        <v>1252</v>
      </c>
      <c r="I121" s="1599" t="s">
        <v>1246</v>
      </c>
      <c r="J121" s="1324">
        <v>66000</v>
      </c>
      <c r="K121" s="1344">
        <v>0.03</v>
      </c>
      <c r="L121" s="1343">
        <v>0.01</v>
      </c>
      <c r="M121" s="1594" t="s">
        <v>68</v>
      </c>
      <c r="N121" s="1594" t="s">
        <v>49</v>
      </c>
      <c r="O121" s="2460"/>
      <c r="P121" s="1603" t="s">
        <v>1253</v>
      </c>
      <c r="Q121" s="1354"/>
      <c r="R121" s="564"/>
      <c r="S121" s="1196"/>
      <c r="T121" s="1196"/>
    </row>
    <row r="122" spans="1:20" s="1191" customFormat="1" ht="73.5" customHeight="1">
      <c r="A122" s="1228">
        <v>24</v>
      </c>
      <c r="B122" s="1587" t="s">
        <v>45</v>
      </c>
      <c r="C122" s="1321"/>
      <c r="D122" s="1322">
        <v>52.5</v>
      </c>
      <c r="E122" s="1597" t="s">
        <v>1254</v>
      </c>
      <c r="F122" s="1324" t="s">
        <v>1255</v>
      </c>
      <c r="G122" s="1599" t="s">
        <v>1256</v>
      </c>
      <c r="H122" s="1599" t="s">
        <v>1257</v>
      </c>
      <c r="I122" s="1599" t="s">
        <v>1233</v>
      </c>
      <c r="J122" s="1324">
        <v>10500000</v>
      </c>
      <c r="K122" s="1344">
        <v>0.03</v>
      </c>
      <c r="L122" s="1343">
        <v>1.57</v>
      </c>
      <c r="M122" s="1594" t="s">
        <v>34</v>
      </c>
      <c r="N122" s="1591" t="s">
        <v>1258</v>
      </c>
      <c r="O122" s="2462"/>
      <c r="P122" s="1596" t="s">
        <v>1259</v>
      </c>
      <c r="Q122" s="1354"/>
      <c r="R122" s="564"/>
      <c r="S122" s="1196"/>
      <c r="T122" s="1196"/>
    </row>
    <row r="123" spans="1:20" s="1187" customFormat="1" ht="73.5" customHeight="1">
      <c r="A123" s="1228">
        <v>25</v>
      </c>
      <c r="B123" s="1587" t="s">
        <v>45</v>
      </c>
      <c r="C123" s="1317"/>
      <c r="D123" s="1323">
        <v>17.57</v>
      </c>
      <c r="E123" s="1597" t="s">
        <v>1260</v>
      </c>
      <c r="F123" s="1598" t="s">
        <v>1261</v>
      </c>
      <c r="G123" s="1598" t="s">
        <v>1262</v>
      </c>
      <c r="H123" s="1598" t="s">
        <v>1263</v>
      </c>
      <c r="I123" s="1598" t="s">
        <v>1264</v>
      </c>
      <c r="J123" s="1338">
        <v>8986000</v>
      </c>
      <c r="K123" s="1344">
        <v>0.1</v>
      </c>
      <c r="L123" s="1343">
        <v>1.75</v>
      </c>
      <c r="M123" s="1601" t="s">
        <v>150</v>
      </c>
      <c r="N123" s="1602" t="s">
        <v>1265</v>
      </c>
      <c r="O123" s="2461"/>
      <c r="P123" s="1603" t="s">
        <v>1266</v>
      </c>
      <c r="Q123" s="549"/>
    </row>
    <row r="124" spans="1:20" s="1191" customFormat="1" ht="160">
      <c r="A124" s="1228">
        <v>26</v>
      </c>
      <c r="B124" s="1587" t="s">
        <v>45</v>
      </c>
      <c r="C124" s="1321"/>
      <c r="D124" s="1325">
        <v>9.57</v>
      </c>
      <c r="E124" s="1597" t="s">
        <v>1267</v>
      </c>
      <c r="F124" s="1324" t="s">
        <v>43</v>
      </c>
      <c r="G124" s="1599" t="s">
        <v>1268</v>
      </c>
      <c r="H124" s="1599" t="s">
        <v>1269</v>
      </c>
      <c r="I124" s="1599" t="s">
        <v>1270</v>
      </c>
      <c r="J124" s="1324">
        <v>1915467</v>
      </c>
      <c r="K124" s="1344">
        <v>0.1</v>
      </c>
      <c r="L124" s="1343">
        <v>0.95</v>
      </c>
      <c r="M124" s="1594" t="s">
        <v>1271</v>
      </c>
      <c r="N124" s="1591" t="s">
        <v>1272</v>
      </c>
      <c r="O124" s="2462"/>
      <c r="P124" s="1596" t="s">
        <v>1273</v>
      </c>
      <c r="Q124" s="1354"/>
      <c r="R124" s="564"/>
      <c r="S124" s="1196"/>
      <c r="T124" s="1196"/>
    </row>
    <row r="125" spans="1:20" s="1187" customFormat="1" ht="96" customHeight="1">
      <c r="A125" s="1228">
        <v>27</v>
      </c>
      <c r="B125" s="1587" t="s">
        <v>19</v>
      </c>
      <c r="C125" s="1321"/>
      <c r="D125" s="1322">
        <v>0.17</v>
      </c>
      <c r="E125" s="1597" t="s">
        <v>1274</v>
      </c>
      <c r="F125" s="1598" t="s">
        <v>804</v>
      </c>
      <c r="G125" s="1598" t="s">
        <v>1275</v>
      </c>
      <c r="H125" s="1599" t="s">
        <v>1276</v>
      </c>
      <c r="I125" s="1599" t="s">
        <v>1277</v>
      </c>
      <c r="J125" s="1338">
        <v>35000</v>
      </c>
      <c r="K125" s="1344">
        <v>0.03</v>
      </c>
      <c r="L125" s="1343">
        <v>5.0000000000000001E-3</v>
      </c>
      <c r="M125" s="1605" t="s">
        <v>34</v>
      </c>
      <c r="N125" s="1594" t="s">
        <v>49</v>
      </c>
      <c r="O125" s="2460"/>
      <c r="P125" s="1606" t="s">
        <v>1278</v>
      </c>
      <c r="Q125" s="1354"/>
    </row>
    <row r="126" spans="1:20" s="1187" customFormat="1" ht="71.25" customHeight="1">
      <c r="A126" s="1228">
        <v>28</v>
      </c>
      <c r="B126" s="1587" t="s">
        <v>19</v>
      </c>
      <c r="C126" s="1317"/>
      <c r="D126" s="1323">
        <v>0.12</v>
      </c>
      <c r="E126" s="1597" t="s">
        <v>1279</v>
      </c>
      <c r="F126" s="1598" t="s">
        <v>43</v>
      </c>
      <c r="G126" s="1598" t="s">
        <v>43</v>
      </c>
      <c r="H126" s="1598" t="s">
        <v>1280</v>
      </c>
      <c r="I126" s="1598" t="s">
        <v>1281</v>
      </c>
      <c r="J126" s="1345">
        <v>24000</v>
      </c>
      <c r="K126" s="1344">
        <v>0.05</v>
      </c>
      <c r="L126" s="1343">
        <v>6.0000000000000001E-3</v>
      </c>
      <c r="M126" s="1601" t="s">
        <v>150</v>
      </c>
      <c r="N126" s="1602" t="s">
        <v>1282</v>
      </c>
      <c r="O126" s="2461"/>
      <c r="P126" s="1603" t="s">
        <v>1283</v>
      </c>
      <c r="Q126" s="1355"/>
    </row>
    <row r="127" spans="1:20" s="1187" customFormat="1" ht="66.75" customHeight="1">
      <c r="A127" s="1228">
        <v>29</v>
      </c>
      <c r="B127" s="1587" t="s">
        <v>45</v>
      </c>
      <c r="C127" s="1317"/>
      <c r="D127" s="1320">
        <v>2.4300000000000002</v>
      </c>
      <c r="E127" s="1597" t="s">
        <v>1284</v>
      </c>
      <c r="F127" s="1598" t="s">
        <v>43</v>
      </c>
      <c r="G127" s="1598" t="s">
        <v>43</v>
      </c>
      <c r="H127" s="1598" t="s">
        <v>1285</v>
      </c>
      <c r="I127" s="1598" t="s">
        <v>1286</v>
      </c>
      <c r="J127" s="1345">
        <v>486000</v>
      </c>
      <c r="K127" s="1344">
        <v>0.03</v>
      </c>
      <c r="L127" s="1343">
        <v>7.0000000000000007E-2</v>
      </c>
      <c r="M127" s="1601" t="s">
        <v>34</v>
      </c>
      <c r="N127" s="1607" t="s">
        <v>49</v>
      </c>
      <c r="O127" s="2463"/>
      <c r="P127" s="1603" t="s">
        <v>1287</v>
      </c>
      <c r="Q127" s="1354" t="s">
        <v>1288</v>
      </c>
    </row>
    <row r="128" spans="1:20" s="10" customFormat="1" ht="67.5" customHeight="1">
      <c r="A128" s="39">
        <v>2</v>
      </c>
      <c r="B128" s="1513" t="s">
        <v>19</v>
      </c>
      <c r="C128" s="39"/>
      <c r="D128" s="26">
        <v>3</v>
      </c>
      <c r="E128" s="1521" t="s">
        <v>1289</v>
      </c>
      <c r="F128" s="1529" t="s">
        <v>869</v>
      </c>
      <c r="G128" s="1529" t="s">
        <v>1290</v>
      </c>
      <c r="H128" s="1529" t="s">
        <v>1291</v>
      </c>
      <c r="I128" s="1529" t="s">
        <v>1292</v>
      </c>
      <c r="J128" s="71">
        <v>600000</v>
      </c>
      <c r="K128" s="53">
        <v>0.03</v>
      </c>
      <c r="L128" s="54">
        <v>0.09</v>
      </c>
      <c r="M128" s="1530" t="s">
        <v>34</v>
      </c>
      <c r="N128" s="1537" t="s">
        <v>1293</v>
      </c>
      <c r="O128" s="1537"/>
      <c r="P128" s="1537" t="s">
        <v>1294</v>
      </c>
      <c r="Q128" s="75"/>
    </row>
    <row r="129" spans="1:20" s="10" customFormat="1" ht="81" customHeight="1">
      <c r="A129" s="39">
        <v>3</v>
      </c>
      <c r="B129" s="1513" t="s">
        <v>19</v>
      </c>
      <c r="C129" s="39"/>
      <c r="D129" s="26">
        <v>3</v>
      </c>
      <c r="E129" s="1521" t="s">
        <v>1295</v>
      </c>
      <c r="F129" s="1529" t="s">
        <v>869</v>
      </c>
      <c r="G129" s="1529" t="s">
        <v>1296</v>
      </c>
      <c r="H129" s="1529" t="s">
        <v>1297</v>
      </c>
      <c r="I129" s="1529" t="s">
        <v>1298</v>
      </c>
      <c r="J129" s="71">
        <v>600000</v>
      </c>
      <c r="K129" s="53">
        <v>0.03</v>
      </c>
      <c r="L129" s="54">
        <v>0.09</v>
      </c>
      <c r="M129" s="1530" t="s">
        <v>34</v>
      </c>
      <c r="N129" s="1537" t="s">
        <v>1299</v>
      </c>
      <c r="O129" s="1537"/>
      <c r="P129" s="1537" t="s">
        <v>1205</v>
      </c>
      <c r="Q129" s="75"/>
    </row>
    <row r="130" spans="1:20" s="1188" customFormat="1" ht="87.65" customHeight="1">
      <c r="A130" s="39">
        <v>2</v>
      </c>
      <c r="B130" s="1513" t="s">
        <v>45</v>
      </c>
      <c r="C130" s="39"/>
      <c r="D130" s="1222">
        <v>1.02</v>
      </c>
      <c r="E130" s="1521" t="s">
        <v>1300</v>
      </c>
      <c r="F130" s="1529" t="s">
        <v>43</v>
      </c>
      <c r="G130" s="1529" t="s">
        <v>43</v>
      </c>
      <c r="H130" s="1529" t="s">
        <v>1301</v>
      </c>
      <c r="I130" s="1529" t="s">
        <v>1302</v>
      </c>
      <c r="J130" s="71">
        <v>307290</v>
      </c>
      <c r="K130" s="53">
        <v>0.1</v>
      </c>
      <c r="L130" s="25">
        <v>0.10199999999999999</v>
      </c>
      <c r="M130" s="1530" t="s">
        <v>34</v>
      </c>
      <c r="N130" s="1578" t="s">
        <v>1303</v>
      </c>
      <c r="O130" s="1578"/>
      <c r="P130" s="1519" t="s">
        <v>1304</v>
      </c>
      <c r="Q130" s="549"/>
    </row>
    <row r="131" spans="1:20" s="1187" customFormat="1" ht="68.25" customHeight="1" thickBot="1">
      <c r="A131" s="1228">
        <v>30</v>
      </c>
      <c r="B131" s="1608" t="s">
        <v>19</v>
      </c>
      <c r="C131" s="1326"/>
      <c r="D131" s="1327">
        <v>34.409999999999997</v>
      </c>
      <c r="E131" s="1609" t="s">
        <v>1305</v>
      </c>
      <c r="F131" s="1610" t="s">
        <v>804</v>
      </c>
      <c r="G131" s="1610" t="s">
        <v>1306</v>
      </c>
      <c r="H131" s="1610" t="s">
        <v>1307</v>
      </c>
      <c r="I131" s="1610" t="s">
        <v>1308</v>
      </c>
      <c r="J131" s="1346">
        <v>8476600</v>
      </c>
      <c r="K131" s="1347">
        <v>0.05</v>
      </c>
      <c r="L131" s="1348">
        <v>1.72</v>
      </c>
      <c r="M131" s="1611" t="s">
        <v>68</v>
      </c>
      <c r="N131" s="1612" t="s">
        <v>1309</v>
      </c>
      <c r="O131" s="2464"/>
      <c r="P131" s="1613" t="s">
        <v>1310</v>
      </c>
      <c r="Q131" s="1354"/>
    </row>
    <row r="132" spans="1:20" s="529" customFormat="1" ht="59.25" customHeight="1">
      <c r="A132" s="22">
        <v>1</v>
      </c>
      <c r="B132" s="1513" t="s">
        <v>19</v>
      </c>
      <c r="C132" s="39"/>
      <c r="D132" s="26">
        <v>1.3</v>
      </c>
      <c r="E132" s="1521" t="s">
        <v>1311</v>
      </c>
      <c r="F132" s="1519" t="s">
        <v>43</v>
      </c>
      <c r="G132" s="1519" t="s">
        <v>43</v>
      </c>
      <c r="H132" s="1540" t="s">
        <v>1312</v>
      </c>
      <c r="I132" s="1540" t="s">
        <v>1313</v>
      </c>
      <c r="J132" s="71">
        <v>260000</v>
      </c>
      <c r="K132" s="1349">
        <v>0.05</v>
      </c>
      <c r="L132" s="26">
        <f>D132*3%</f>
        <v>3.9E-2</v>
      </c>
      <c r="M132" s="1519" t="s">
        <v>34</v>
      </c>
      <c r="N132" s="1519" t="s">
        <v>49</v>
      </c>
      <c r="O132" s="2454"/>
      <c r="P132" s="1522" t="s">
        <v>1314</v>
      </c>
      <c r="Q132" s="549"/>
      <c r="R132" s="564"/>
      <c r="S132" s="564"/>
      <c r="T132" s="564"/>
    </row>
    <row r="133" spans="1:20" s="1187" customFormat="1" ht="71.25" customHeight="1">
      <c r="A133" s="22">
        <v>1</v>
      </c>
      <c r="B133" s="1513" t="s">
        <v>45</v>
      </c>
      <c r="C133" s="39"/>
      <c r="D133" s="1222">
        <v>4.37</v>
      </c>
      <c r="E133" s="1521" t="s">
        <v>1315</v>
      </c>
      <c r="F133" s="1529" t="s">
        <v>43</v>
      </c>
      <c r="G133" s="1529" t="s">
        <v>43</v>
      </c>
      <c r="H133" s="1529" t="s">
        <v>1316</v>
      </c>
      <c r="I133" s="1529" t="s">
        <v>1317</v>
      </c>
      <c r="J133" s="941">
        <v>537000</v>
      </c>
      <c r="K133" s="53">
        <v>0.05</v>
      </c>
      <c r="L133" s="942">
        <v>0.21</v>
      </c>
      <c r="M133" s="1530" t="s">
        <v>1318</v>
      </c>
      <c r="N133" s="1578" t="s">
        <v>1319</v>
      </c>
      <c r="O133" s="2451"/>
      <c r="P133" s="1532" t="s">
        <v>1141</v>
      </c>
      <c r="Q133" s="549" t="s">
        <v>1320</v>
      </c>
    </row>
    <row r="134" spans="1:20" s="1187" customFormat="1" ht="87.75" customHeight="1">
      <c r="A134" s="22">
        <v>1</v>
      </c>
      <c r="B134" s="1513" t="s">
        <v>19</v>
      </c>
      <c r="C134" s="39"/>
      <c r="D134" s="1222">
        <v>1.5</v>
      </c>
      <c r="E134" s="1521" t="s">
        <v>1321</v>
      </c>
      <c r="F134" s="1529" t="s">
        <v>804</v>
      </c>
      <c r="G134" s="1529" t="s">
        <v>1322</v>
      </c>
      <c r="H134" s="1529" t="s">
        <v>1323</v>
      </c>
      <c r="I134" s="1529" t="s">
        <v>1324</v>
      </c>
      <c r="J134" s="941">
        <v>450000</v>
      </c>
      <c r="K134" s="53">
        <v>0.03</v>
      </c>
      <c r="L134" s="942">
        <v>0.04</v>
      </c>
      <c r="M134" s="1530" t="s">
        <v>68</v>
      </c>
      <c r="N134" s="1578" t="s">
        <v>1325</v>
      </c>
      <c r="O134" s="2451"/>
      <c r="P134" s="1532" t="s">
        <v>1141</v>
      </c>
      <c r="Q134" s="549"/>
    </row>
    <row r="135" spans="1:20" s="1187" customFormat="1" ht="84.75" customHeight="1">
      <c r="A135" s="22">
        <v>3</v>
      </c>
      <c r="B135" s="1513" t="s">
        <v>45</v>
      </c>
      <c r="C135" s="39"/>
      <c r="D135" s="26">
        <v>0.62</v>
      </c>
      <c r="E135" s="1521" t="s">
        <v>1326</v>
      </c>
      <c r="F135" s="1529" t="s">
        <v>43</v>
      </c>
      <c r="G135" s="1529" t="s">
        <v>43</v>
      </c>
      <c r="H135" s="1529" t="s">
        <v>1327</v>
      </c>
      <c r="I135" s="1529" t="s">
        <v>1328</v>
      </c>
      <c r="J135" s="941">
        <v>46500</v>
      </c>
      <c r="K135" s="53" t="s">
        <v>68</v>
      </c>
      <c r="L135" s="1614" t="s">
        <v>68</v>
      </c>
      <c r="M135" s="1530" t="s">
        <v>34</v>
      </c>
      <c r="N135" s="1586" t="s">
        <v>49</v>
      </c>
      <c r="O135" s="2456"/>
      <c r="P135" s="1532" t="s">
        <v>1329</v>
      </c>
      <c r="Q135" s="549"/>
    </row>
    <row r="136" spans="1:20" s="1187" customFormat="1" ht="69" customHeight="1">
      <c r="A136" s="22">
        <v>1</v>
      </c>
      <c r="B136" s="1513" t="s">
        <v>19</v>
      </c>
      <c r="C136" s="39"/>
      <c r="D136" s="26">
        <v>0.17</v>
      </c>
      <c r="E136" s="1521" t="s">
        <v>1330</v>
      </c>
      <c r="F136" s="1529" t="s">
        <v>43</v>
      </c>
      <c r="G136" s="1529" t="s">
        <v>43</v>
      </c>
      <c r="H136" s="1529" t="s">
        <v>1331</v>
      </c>
      <c r="I136" s="1529" t="s">
        <v>1332</v>
      </c>
      <c r="J136" s="71">
        <v>35000</v>
      </c>
      <c r="K136" s="53">
        <v>0.03</v>
      </c>
      <c r="L136" s="942">
        <v>5.0000000000000001E-3</v>
      </c>
      <c r="M136" s="1530" t="s">
        <v>34</v>
      </c>
      <c r="N136" s="1586" t="s">
        <v>49</v>
      </c>
      <c r="O136" s="2456"/>
      <c r="P136" s="1532" t="s">
        <v>1141</v>
      </c>
      <c r="Q136" s="1615" t="s">
        <v>1333</v>
      </c>
    </row>
    <row r="137" spans="1:20" s="1187" customFormat="1" ht="58.5" customHeight="1">
      <c r="A137" s="22">
        <v>1</v>
      </c>
      <c r="B137" s="1513" t="s">
        <v>45</v>
      </c>
      <c r="C137" s="39"/>
      <c r="D137" s="1222">
        <v>12.41</v>
      </c>
      <c r="E137" s="1521" t="s">
        <v>1334</v>
      </c>
      <c r="F137" s="1529" t="s">
        <v>43</v>
      </c>
      <c r="G137" s="1529" t="s">
        <v>43</v>
      </c>
      <c r="H137" s="1529" t="s">
        <v>1335</v>
      </c>
      <c r="I137" s="1529" t="s">
        <v>1336</v>
      </c>
      <c r="J137" s="71">
        <v>2486200</v>
      </c>
      <c r="K137" s="53">
        <v>0.05</v>
      </c>
      <c r="L137" s="942">
        <v>0.62</v>
      </c>
      <c r="M137" s="1530" t="s">
        <v>83</v>
      </c>
      <c r="N137" s="1578" t="s">
        <v>1337</v>
      </c>
      <c r="O137" s="2451"/>
      <c r="P137" s="1532" t="s">
        <v>907</v>
      </c>
      <c r="Q137" s="549"/>
    </row>
    <row r="138" spans="1:20" s="1187" customFormat="1" ht="59.25" customHeight="1">
      <c r="A138" s="22">
        <v>1</v>
      </c>
      <c r="B138" s="1513" t="s">
        <v>63</v>
      </c>
      <c r="C138" s="39"/>
      <c r="D138" s="26">
        <v>2.5</v>
      </c>
      <c r="E138" s="1521" t="s">
        <v>1338</v>
      </c>
      <c r="F138" s="1529" t="s">
        <v>1339</v>
      </c>
      <c r="G138" s="1529" t="s">
        <v>1340</v>
      </c>
      <c r="H138" s="1529" t="s">
        <v>1341</v>
      </c>
      <c r="I138" s="1529" t="s">
        <v>1342</v>
      </c>
      <c r="J138" s="71">
        <v>500000</v>
      </c>
      <c r="K138" s="53">
        <v>0.1</v>
      </c>
      <c r="L138" s="942">
        <v>0.25</v>
      </c>
      <c r="M138" s="1530" t="s">
        <v>1343</v>
      </c>
      <c r="N138" s="1578" t="s">
        <v>1344</v>
      </c>
      <c r="O138" s="2451"/>
      <c r="P138" s="1532" t="s">
        <v>907</v>
      </c>
      <c r="Q138" s="549" t="s">
        <v>1345</v>
      </c>
    </row>
    <row r="139" spans="1:20" s="1187" customFormat="1" ht="75.75" customHeight="1">
      <c r="A139" s="22">
        <v>1</v>
      </c>
      <c r="B139" s="1513" t="s">
        <v>19</v>
      </c>
      <c r="C139" s="39"/>
      <c r="D139" s="1222">
        <v>2.42</v>
      </c>
      <c r="E139" s="1521" t="s">
        <v>1346</v>
      </c>
      <c r="F139" s="1529" t="s">
        <v>804</v>
      </c>
      <c r="G139" s="1529" t="s">
        <v>1347</v>
      </c>
      <c r="H139" s="1529" t="s">
        <v>1348</v>
      </c>
      <c r="I139" s="1529" t="s">
        <v>1349</v>
      </c>
      <c r="J139" s="71">
        <v>1212000</v>
      </c>
      <c r="K139" s="53">
        <v>0.05</v>
      </c>
      <c r="L139" s="942">
        <v>0.12</v>
      </c>
      <c r="M139" s="1530" t="s">
        <v>68</v>
      </c>
      <c r="N139" s="1578" t="s">
        <v>1350</v>
      </c>
      <c r="O139" s="2451"/>
      <c r="P139" s="1532" t="s">
        <v>1351</v>
      </c>
      <c r="Q139" s="549"/>
    </row>
    <row r="140" spans="1:20" s="1187" customFormat="1" ht="78" customHeight="1">
      <c r="A140" s="22">
        <v>1</v>
      </c>
      <c r="B140" s="1513" t="s">
        <v>45</v>
      </c>
      <c r="C140" s="39"/>
      <c r="D140" s="1223">
        <v>0.25</v>
      </c>
      <c r="E140" s="1516" t="s">
        <v>1352</v>
      </c>
      <c r="F140" s="1533" t="s">
        <v>804</v>
      </c>
      <c r="G140" s="1533" t="s">
        <v>1353</v>
      </c>
      <c r="H140" s="1616" t="s">
        <v>1354</v>
      </c>
      <c r="I140" s="1616" t="s">
        <v>1355</v>
      </c>
      <c r="J140" s="1367">
        <v>100000</v>
      </c>
      <c r="K140" s="1255" t="s">
        <v>68</v>
      </c>
      <c r="L140" s="1617" t="s">
        <v>68</v>
      </c>
      <c r="M140" s="1534" t="s">
        <v>34</v>
      </c>
      <c r="N140" s="1580" t="s">
        <v>1356</v>
      </c>
      <c r="O140" s="2453"/>
      <c r="P140" s="1553" t="s">
        <v>1357</v>
      </c>
      <c r="Q140" s="1385"/>
      <c r="R140" s="1190"/>
      <c r="S140" s="1190"/>
      <c r="T140" s="1190"/>
    </row>
    <row r="141" spans="1:20" s="1187" customFormat="1" ht="59.25" customHeight="1">
      <c r="A141" s="22">
        <v>1</v>
      </c>
      <c r="B141" s="1513" t="s">
        <v>45</v>
      </c>
      <c r="C141" s="39"/>
      <c r="D141" s="1222">
        <v>2.13</v>
      </c>
      <c r="E141" s="1521" t="s">
        <v>1358</v>
      </c>
      <c r="F141" s="1529" t="s">
        <v>43</v>
      </c>
      <c r="G141" s="1529" t="s">
        <v>43</v>
      </c>
      <c r="H141" s="1529" t="s">
        <v>1359</v>
      </c>
      <c r="I141" s="1529" t="s">
        <v>68</v>
      </c>
      <c r="J141" s="71">
        <v>256900</v>
      </c>
      <c r="K141" s="53">
        <v>0.03</v>
      </c>
      <c r="L141" s="942">
        <v>0.06</v>
      </c>
      <c r="M141" s="1530" t="s">
        <v>34</v>
      </c>
      <c r="N141" s="1586" t="s">
        <v>49</v>
      </c>
      <c r="O141" s="2456"/>
      <c r="P141" s="1532" t="s">
        <v>1351</v>
      </c>
      <c r="Q141" s="549"/>
    </row>
    <row r="142" spans="1:20" s="1187" customFormat="1" ht="84.75" customHeight="1">
      <c r="A142" s="22">
        <v>1</v>
      </c>
      <c r="B142" s="1513" t="s">
        <v>45</v>
      </c>
      <c r="C142" s="39"/>
      <c r="D142" s="26">
        <v>5.21</v>
      </c>
      <c r="E142" s="1521" t="s">
        <v>1360</v>
      </c>
      <c r="F142" s="1529" t="s">
        <v>43</v>
      </c>
      <c r="G142" s="1529" t="s">
        <v>43</v>
      </c>
      <c r="H142" s="1529" t="s">
        <v>1361</v>
      </c>
      <c r="I142" s="1529" t="s">
        <v>1362</v>
      </c>
      <c r="J142" s="941">
        <v>1042261</v>
      </c>
      <c r="K142" s="53">
        <v>0.05</v>
      </c>
      <c r="L142" s="942">
        <v>0.26</v>
      </c>
      <c r="M142" s="1530" t="s">
        <v>68</v>
      </c>
      <c r="N142" s="1578" t="s">
        <v>1363</v>
      </c>
      <c r="O142" s="2451"/>
      <c r="P142" s="1532" t="s">
        <v>1351</v>
      </c>
      <c r="Q142" s="549"/>
    </row>
    <row r="143" spans="1:20" s="1187" customFormat="1" ht="69" customHeight="1">
      <c r="A143" s="22">
        <v>1</v>
      </c>
      <c r="B143" s="1513" t="s">
        <v>45</v>
      </c>
      <c r="C143" s="1356"/>
      <c r="D143" s="1357">
        <v>395</v>
      </c>
      <c r="E143" s="1618" t="s">
        <v>1364</v>
      </c>
      <c r="F143" s="1533" t="s">
        <v>804</v>
      </c>
      <c r="G143" s="1619" t="s">
        <v>1365</v>
      </c>
      <c r="H143" s="1620" t="s">
        <v>1366</v>
      </c>
      <c r="I143" s="1620" t="s">
        <v>1367</v>
      </c>
      <c r="J143" s="1369">
        <v>79000000</v>
      </c>
      <c r="K143" s="1370">
        <v>0.2</v>
      </c>
      <c r="L143" s="1371">
        <v>79</v>
      </c>
      <c r="M143" s="1621" t="s">
        <v>150</v>
      </c>
      <c r="N143" s="1622" t="s">
        <v>1368</v>
      </c>
      <c r="O143" s="2465"/>
      <c r="P143" s="1623" t="s">
        <v>1369</v>
      </c>
      <c r="Q143" s="1386"/>
      <c r="R143" s="1190"/>
      <c r="S143" s="1190"/>
      <c r="T143" s="1190"/>
    </row>
    <row r="144" spans="1:20" s="1187" customFormat="1" ht="80">
      <c r="A144" s="22">
        <v>2</v>
      </c>
      <c r="B144" s="1513" t="s">
        <v>45</v>
      </c>
      <c r="C144" s="39"/>
      <c r="D144" s="26">
        <v>30</v>
      </c>
      <c r="E144" s="1521" t="s">
        <v>1370</v>
      </c>
      <c r="F144" s="1529" t="s">
        <v>804</v>
      </c>
      <c r="G144" s="1529" t="s">
        <v>1371</v>
      </c>
      <c r="H144" s="1624" t="s">
        <v>1372</v>
      </c>
      <c r="I144" s="1624" t="s">
        <v>1373</v>
      </c>
      <c r="J144" s="71">
        <v>6000000</v>
      </c>
      <c r="K144" s="1349">
        <v>0.03</v>
      </c>
      <c r="L144" s="942"/>
      <c r="M144" s="1530" t="s">
        <v>34</v>
      </c>
      <c r="N144" s="1625" t="s">
        <v>1374</v>
      </c>
      <c r="O144" s="2466"/>
      <c r="P144" s="1532" t="s">
        <v>1375</v>
      </c>
      <c r="Q144" s="1385" t="s">
        <v>1376</v>
      </c>
      <c r="R144" s="1190"/>
      <c r="S144" s="1190"/>
      <c r="T144" s="1190"/>
    </row>
    <row r="145" spans="1:20" s="1187" customFormat="1" ht="68.25" customHeight="1">
      <c r="A145" s="22">
        <v>2</v>
      </c>
      <c r="B145" s="1513" t="s">
        <v>45</v>
      </c>
      <c r="C145" s="39"/>
      <c r="D145" s="26">
        <v>2.25</v>
      </c>
      <c r="E145" s="1521" t="s">
        <v>1377</v>
      </c>
      <c r="F145" s="1529" t="s">
        <v>1378</v>
      </c>
      <c r="G145" s="1529" t="s">
        <v>1379</v>
      </c>
      <c r="H145" s="1529" t="s">
        <v>1380</v>
      </c>
      <c r="I145" s="1529" t="s">
        <v>1381</v>
      </c>
      <c r="J145" s="71">
        <v>450000</v>
      </c>
      <c r="K145" s="53">
        <v>0.03</v>
      </c>
      <c r="L145" s="942">
        <v>0.06</v>
      </c>
      <c r="M145" s="1530" t="s">
        <v>34</v>
      </c>
      <c r="N145" s="1578" t="s">
        <v>1382</v>
      </c>
      <c r="O145" s="2451"/>
      <c r="P145" s="1532" t="s">
        <v>1351</v>
      </c>
      <c r="Q145" s="549" t="s">
        <v>1383</v>
      </c>
    </row>
    <row r="146" spans="1:20" s="1187" customFormat="1" ht="68.25" customHeight="1">
      <c r="A146" s="22">
        <v>3</v>
      </c>
      <c r="B146" s="1513" t="s">
        <v>45</v>
      </c>
      <c r="C146" s="39"/>
      <c r="D146" s="26">
        <v>1.82</v>
      </c>
      <c r="E146" s="1521" t="s">
        <v>1384</v>
      </c>
      <c r="F146" s="1529" t="s">
        <v>1378</v>
      </c>
      <c r="G146" s="1529" t="s">
        <v>1379</v>
      </c>
      <c r="H146" s="1529" t="s">
        <v>1380</v>
      </c>
      <c r="I146" s="1529" t="s">
        <v>1381</v>
      </c>
      <c r="J146" s="71">
        <v>365000</v>
      </c>
      <c r="K146" s="53">
        <v>0.03</v>
      </c>
      <c r="L146" s="942">
        <v>0.05</v>
      </c>
      <c r="M146" s="1530" t="s">
        <v>34</v>
      </c>
      <c r="N146" s="1578" t="s">
        <v>1382</v>
      </c>
      <c r="O146" s="2451"/>
      <c r="P146" s="1532" t="s">
        <v>1351</v>
      </c>
      <c r="Q146" s="549" t="s">
        <v>1383</v>
      </c>
    </row>
    <row r="147" spans="1:20" s="1187" customFormat="1" ht="60">
      <c r="A147" s="39">
        <v>2</v>
      </c>
      <c r="B147" s="1513" t="s">
        <v>45</v>
      </c>
      <c r="C147" s="39"/>
      <c r="D147" s="1218">
        <v>15</v>
      </c>
      <c r="E147" s="1516" t="s">
        <v>1385</v>
      </c>
      <c r="F147" s="1533" t="s">
        <v>804</v>
      </c>
      <c r="G147" s="1533" t="s">
        <v>1386</v>
      </c>
      <c r="H147" s="1533" t="s">
        <v>1387</v>
      </c>
      <c r="I147" s="1533" t="s">
        <v>1388</v>
      </c>
      <c r="J147" s="1248">
        <v>3000000</v>
      </c>
      <c r="K147" s="1255">
        <v>0.03</v>
      </c>
      <c r="L147" s="1368">
        <v>0.45</v>
      </c>
      <c r="M147" s="1534" t="s">
        <v>34</v>
      </c>
      <c r="N147" s="1580" t="s">
        <v>1389</v>
      </c>
      <c r="O147" s="1580"/>
      <c r="P147" s="1539" t="s">
        <v>1390</v>
      </c>
      <c r="Q147" s="549"/>
    </row>
    <row r="148" spans="1:20" s="1187" customFormat="1" ht="68.25" customHeight="1">
      <c r="A148" s="22">
        <v>1</v>
      </c>
      <c r="B148" s="1513" t="s">
        <v>19</v>
      </c>
      <c r="C148" s="39"/>
      <c r="D148" s="26">
        <v>0.22</v>
      </c>
      <c r="E148" s="1521" t="s">
        <v>1391</v>
      </c>
      <c r="F148" s="1529" t="s">
        <v>43</v>
      </c>
      <c r="G148" s="1529" t="s">
        <v>43</v>
      </c>
      <c r="H148" s="1529" t="s">
        <v>1392</v>
      </c>
      <c r="I148" s="1529" t="s">
        <v>1393</v>
      </c>
      <c r="J148" s="941">
        <v>45000</v>
      </c>
      <c r="K148" s="53" t="s">
        <v>68</v>
      </c>
      <c r="L148" s="1614" t="s">
        <v>68</v>
      </c>
      <c r="M148" s="1530" t="s">
        <v>34</v>
      </c>
      <c r="N148" s="1586" t="s">
        <v>49</v>
      </c>
      <c r="O148" s="2456"/>
      <c r="P148" s="1532" t="s">
        <v>1394</v>
      </c>
      <c r="Q148" s="549" t="s">
        <v>1383</v>
      </c>
    </row>
    <row r="149" spans="1:20" s="1187" customFormat="1" ht="60.75" customHeight="1">
      <c r="A149" s="22">
        <v>1</v>
      </c>
      <c r="B149" s="1513" t="s">
        <v>45</v>
      </c>
      <c r="C149" s="39"/>
      <c r="D149" s="1222">
        <v>10.01</v>
      </c>
      <c r="E149" s="1521" t="s">
        <v>1395</v>
      </c>
      <c r="F149" s="1529" t="s">
        <v>43</v>
      </c>
      <c r="G149" s="1529" t="s">
        <v>1396</v>
      </c>
      <c r="H149" s="1624" t="s">
        <v>1397</v>
      </c>
      <c r="I149" s="1624" t="s">
        <v>1398</v>
      </c>
      <c r="J149" s="71">
        <v>5005500</v>
      </c>
      <c r="K149" s="53">
        <v>0.05</v>
      </c>
      <c r="L149" s="942">
        <v>0.5</v>
      </c>
      <c r="M149" s="1530" t="s">
        <v>68</v>
      </c>
      <c r="N149" s="1578" t="s">
        <v>1399</v>
      </c>
      <c r="O149" s="2451"/>
      <c r="P149" s="1532" t="s">
        <v>1394</v>
      </c>
      <c r="Q149" s="549" t="s">
        <v>1400</v>
      </c>
    </row>
    <row r="150" spans="1:20" s="1187" customFormat="1" ht="60.75" customHeight="1">
      <c r="A150" s="22">
        <v>2</v>
      </c>
      <c r="B150" s="1513" t="s">
        <v>45</v>
      </c>
      <c r="C150" s="39"/>
      <c r="D150" s="1222">
        <v>1.1299999999999999</v>
      </c>
      <c r="E150" s="1521" t="s">
        <v>1401</v>
      </c>
      <c r="F150" s="1529" t="s">
        <v>43</v>
      </c>
      <c r="G150" s="1529" t="s">
        <v>1396</v>
      </c>
      <c r="H150" s="1624" t="s">
        <v>1397</v>
      </c>
      <c r="I150" s="1624" t="s">
        <v>1398</v>
      </c>
      <c r="J150" s="71">
        <v>568400</v>
      </c>
      <c r="K150" s="53">
        <v>0.05</v>
      </c>
      <c r="L150" s="942">
        <v>0.05</v>
      </c>
      <c r="M150" s="1530" t="s">
        <v>68</v>
      </c>
      <c r="N150" s="1578" t="s">
        <v>1399</v>
      </c>
      <c r="O150" s="2451"/>
      <c r="P150" s="1532" t="s">
        <v>1394</v>
      </c>
      <c r="Q150" s="549" t="s">
        <v>1402</v>
      </c>
    </row>
    <row r="151" spans="1:20" s="1187" customFormat="1" ht="75" customHeight="1">
      <c r="A151" s="22">
        <v>2</v>
      </c>
      <c r="B151" s="1513" t="s">
        <v>45</v>
      </c>
      <c r="C151" s="39"/>
      <c r="D151" s="1222">
        <v>12.72</v>
      </c>
      <c r="E151" s="1521" t="s">
        <v>1403</v>
      </c>
      <c r="F151" s="1529" t="s">
        <v>804</v>
      </c>
      <c r="G151" s="1529" t="s">
        <v>43</v>
      </c>
      <c r="H151" s="1624" t="s">
        <v>1404</v>
      </c>
      <c r="I151" s="1624" t="s">
        <v>1405</v>
      </c>
      <c r="J151" s="941">
        <v>2546000</v>
      </c>
      <c r="K151" s="1349">
        <v>0.05</v>
      </c>
      <c r="L151" s="942">
        <v>0.63</v>
      </c>
      <c r="M151" s="1530" t="s">
        <v>34</v>
      </c>
      <c r="N151" s="1578" t="s">
        <v>1406</v>
      </c>
      <c r="O151" s="2451"/>
      <c r="P151" s="1532" t="s">
        <v>1407</v>
      </c>
      <c r="Q151" s="1387"/>
      <c r="R151" s="528"/>
      <c r="S151" s="528"/>
      <c r="T151" s="528"/>
    </row>
    <row r="152" spans="1:20" s="1187" customFormat="1" ht="68.25" customHeight="1">
      <c r="A152" s="22">
        <v>1</v>
      </c>
      <c r="B152" s="1513" t="s">
        <v>45</v>
      </c>
      <c r="C152" s="39"/>
      <c r="D152" s="26">
        <v>9</v>
      </c>
      <c r="E152" s="1521" t="s">
        <v>1408</v>
      </c>
      <c r="F152" s="1529" t="s">
        <v>1409</v>
      </c>
      <c r="G152" s="1529" t="s">
        <v>1410</v>
      </c>
      <c r="H152" s="1529" t="s">
        <v>1411</v>
      </c>
      <c r="I152" s="1529" t="s">
        <v>1412</v>
      </c>
      <c r="J152" s="941">
        <v>1800000</v>
      </c>
      <c r="K152" s="53">
        <v>0.05</v>
      </c>
      <c r="L152" s="942">
        <v>0.45</v>
      </c>
      <c r="M152" s="1530" t="s">
        <v>61</v>
      </c>
      <c r="N152" s="1586" t="s">
        <v>49</v>
      </c>
      <c r="O152" s="2456"/>
      <c r="P152" s="1532" t="s">
        <v>1375</v>
      </c>
      <c r="Q152" s="549"/>
    </row>
    <row r="153" spans="1:20" s="1187" customFormat="1" ht="83.25" customHeight="1">
      <c r="A153" s="39">
        <v>1</v>
      </c>
      <c r="B153" s="1513" t="s">
        <v>45</v>
      </c>
      <c r="C153" s="39"/>
      <c r="D153" s="26">
        <v>10</v>
      </c>
      <c r="E153" s="1521" t="s">
        <v>1413</v>
      </c>
      <c r="F153" s="1529" t="s">
        <v>1414</v>
      </c>
      <c r="G153" s="1529" t="s">
        <v>1415</v>
      </c>
      <c r="H153" s="1529" t="s">
        <v>1416</v>
      </c>
      <c r="I153" s="1529" t="s">
        <v>1417</v>
      </c>
      <c r="J153" s="941">
        <v>2000000</v>
      </c>
      <c r="K153" s="53">
        <v>0.05</v>
      </c>
      <c r="L153" s="942">
        <v>0.5</v>
      </c>
      <c r="M153" s="1530" t="s">
        <v>34</v>
      </c>
      <c r="N153" s="1578" t="s">
        <v>1418</v>
      </c>
      <c r="O153" s="1578"/>
      <c r="P153" s="1537" t="s">
        <v>1351</v>
      </c>
      <c r="Q153" s="549"/>
    </row>
    <row r="154" spans="1:20" s="1187" customFormat="1" ht="70.5" customHeight="1">
      <c r="A154" s="1224">
        <v>1</v>
      </c>
      <c r="B154" s="1542" t="s">
        <v>45</v>
      </c>
      <c r="C154" s="1224"/>
      <c r="D154" s="1225">
        <v>7</v>
      </c>
      <c r="E154" s="1543" t="s">
        <v>1419</v>
      </c>
      <c r="F154" s="1544" t="s">
        <v>75</v>
      </c>
      <c r="G154" s="1544" t="s">
        <v>1420</v>
      </c>
      <c r="H154" s="1544" t="s">
        <v>1421</v>
      </c>
      <c r="I154" s="1544" t="s">
        <v>1422</v>
      </c>
      <c r="J154" s="1372">
        <v>1400000</v>
      </c>
      <c r="K154" s="1264">
        <v>0.05</v>
      </c>
      <c r="L154" s="1336">
        <v>0.35</v>
      </c>
      <c r="M154" s="1545" t="s">
        <v>1423</v>
      </c>
      <c r="N154" s="1626" t="s">
        <v>1424</v>
      </c>
      <c r="O154" s="1626"/>
      <c r="P154" s="1546" t="s">
        <v>1425</v>
      </c>
      <c r="Q154" s="1388" t="s">
        <v>68</v>
      </c>
    </row>
    <row r="155" spans="1:20" s="1187" customFormat="1" ht="68.25" customHeight="1">
      <c r="A155" s="39">
        <v>1</v>
      </c>
      <c r="B155" s="1513" t="s">
        <v>45</v>
      </c>
      <c r="C155" s="39"/>
      <c r="D155" s="1222">
        <v>1.9</v>
      </c>
      <c r="E155" s="1521" t="s">
        <v>1426</v>
      </c>
      <c r="F155" s="1529" t="s">
        <v>1427</v>
      </c>
      <c r="G155" s="1529" t="s">
        <v>1428</v>
      </c>
      <c r="H155" s="1529" t="s">
        <v>1429</v>
      </c>
      <c r="I155" s="1529" t="s">
        <v>1430</v>
      </c>
      <c r="J155" s="71">
        <v>380000</v>
      </c>
      <c r="K155" s="53">
        <v>0.05</v>
      </c>
      <c r="L155" s="942">
        <v>0.09</v>
      </c>
      <c r="M155" s="1530" t="s">
        <v>34</v>
      </c>
      <c r="N155" s="1578" t="s">
        <v>1431</v>
      </c>
      <c r="O155" s="1578"/>
      <c r="P155" s="1537" t="s">
        <v>907</v>
      </c>
      <c r="Q155" s="549"/>
    </row>
    <row r="156" spans="1:20" s="1187" customFormat="1" ht="89.25" customHeight="1">
      <c r="A156" s="1224">
        <v>3</v>
      </c>
      <c r="B156" s="1513" t="s">
        <v>45</v>
      </c>
      <c r="C156" s="39"/>
      <c r="D156" s="1218">
        <v>5.7</v>
      </c>
      <c r="E156" s="1516" t="s">
        <v>1432</v>
      </c>
      <c r="F156" s="1533" t="s">
        <v>43</v>
      </c>
      <c r="G156" s="1533" t="s">
        <v>43</v>
      </c>
      <c r="H156" s="1533" t="s">
        <v>1433</v>
      </c>
      <c r="I156" s="1533" t="s">
        <v>1434</v>
      </c>
      <c r="J156" s="1248">
        <v>1140000</v>
      </c>
      <c r="K156" s="1255">
        <v>0.03</v>
      </c>
      <c r="L156" s="1368">
        <v>0.17</v>
      </c>
      <c r="M156" s="1534" t="s">
        <v>34</v>
      </c>
      <c r="N156" s="1627" t="s">
        <v>49</v>
      </c>
      <c r="O156" s="1627"/>
      <c r="P156" s="1539" t="s">
        <v>1425</v>
      </c>
      <c r="Q156" s="549"/>
    </row>
    <row r="157" spans="1:20" s="1187" customFormat="1" ht="86.25" customHeight="1">
      <c r="A157" s="1224">
        <v>1</v>
      </c>
      <c r="B157" s="1513" t="s">
        <v>45</v>
      </c>
      <c r="C157" s="39"/>
      <c r="D157" s="1218" t="s">
        <v>68</v>
      </c>
      <c r="E157" s="1516" t="s">
        <v>1435</v>
      </c>
      <c r="F157" s="1533" t="s">
        <v>75</v>
      </c>
      <c r="G157" s="1533" t="s">
        <v>1436</v>
      </c>
      <c r="H157" s="1533" t="s">
        <v>1437</v>
      </c>
      <c r="I157" s="1533" t="s">
        <v>1438</v>
      </c>
      <c r="J157" s="1248" t="s">
        <v>1155</v>
      </c>
      <c r="K157" s="1255">
        <v>0.03</v>
      </c>
      <c r="L157" s="1617" t="s">
        <v>68</v>
      </c>
      <c r="M157" s="1534" t="s">
        <v>68</v>
      </c>
      <c r="N157" s="1580" t="s">
        <v>1439</v>
      </c>
      <c r="O157" s="1580"/>
      <c r="P157" s="1539" t="s">
        <v>1440</v>
      </c>
      <c r="Q157" s="549"/>
    </row>
    <row r="160" spans="1:20" s="1187" customFormat="1" ht="71.25" customHeight="1">
      <c r="A160" s="534">
        <v>1</v>
      </c>
      <c r="B160" s="1358"/>
      <c r="C160" s="1358"/>
      <c r="D160" s="1359">
        <v>4.9800000000000004</v>
      </c>
      <c r="E160" s="1521" t="s">
        <v>1441</v>
      </c>
      <c r="F160" s="1529" t="s">
        <v>43</v>
      </c>
      <c r="G160" s="1529" t="s">
        <v>43</v>
      </c>
      <c r="H160" s="1529" t="s">
        <v>1442</v>
      </c>
      <c r="I160" s="1529" t="s">
        <v>1443</v>
      </c>
      <c r="J160" s="1373">
        <v>900000</v>
      </c>
      <c r="K160" s="1374">
        <v>0.02</v>
      </c>
      <c r="L160" s="1375">
        <v>0.09</v>
      </c>
      <c r="M160" s="1628" t="s">
        <v>68</v>
      </c>
      <c r="N160" s="1586" t="s">
        <v>49</v>
      </c>
      <c r="O160" s="2456"/>
      <c r="P160" s="1532" t="s">
        <v>1141</v>
      </c>
      <c r="Q160" s="549"/>
    </row>
    <row r="161" spans="1:20" s="1187" customFormat="1" ht="71.25" customHeight="1">
      <c r="A161" s="534">
        <v>2</v>
      </c>
      <c r="B161" s="1358"/>
      <c r="C161" s="1358"/>
      <c r="D161" s="1360">
        <v>4.5</v>
      </c>
      <c r="E161" s="1521" t="s">
        <v>1444</v>
      </c>
      <c r="F161" s="1529" t="s">
        <v>43</v>
      </c>
      <c r="G161" s="1529" t="s">
        <v>43</v>
      </c>
      <c r="H161" s="1529" t="s">
        <v>1442</v>
      </c>
      <c r="I161" s="1529" t="s">
        <v>1443</v>
      </c>
      <c r="J161" s="1373">
        <v>900000</v>
      </c>
      <c r="K161" s="1374">
        <v>0.02</v>
      </c>
      <c r="L161" s="1375">
        <v>0.09</v>
      </c>
      <c r="M161" s="1628" t="s">
        <v>68</v>
      </c>
      <c r="N161" s="1586" t="s">
        <v>49</v>
      </c>
      <c r="O161" s="2456"/>
      <c r="P161" s="1532" t="s">
        <v>1141</v>
      </c>
      <c r="Q161" s="549"/>
    </row>
    <row r="162" spans="1:20" s="1187" customFormat="1" ht="71.25" customHeight="1">
      <c r="A162" s="534">
        <v>3</v>
      </c>
      <c r="B162" s="1358"/>
      <c r="C162" s="1358"/>
      <c r="D162" s="1360">
        <v>4.95</v>
      </c>
      <c r="E162" s="1521" t="s">
        <v>1445</v>
      </c>
      <c r="F162" s="1529" t="s">
        <v>43</v>
      </c>
      <c r="G162" s="1529" t="s">
        <v>43</v>
      </c>
      <c r="H162" s="1529" t="s">
        <v>1442</v>
      </c>
      <c r="I162" s="1529" t="s">
        <v>1443</v>
      </c>
      <c r="J162" s="1373">
        <v>990000</v>
      </c>
      <c r="K162" s="1374">
        <v>0.02</v>
      </c>
      <c r="L162" s="1375">
        <v>0.09</v>
      </c>
      <c r="M162" s="1628" t="s">
        <v>68</v>
      </c>
      <c r="N162" s="1586" t="s">
        <v>49</v>
      </c>
      <c r="O162" s="2456"/>
      <c r="P162" s="1532" t="s">
        <v>1141</v>
      </c>
      <c r="Q162" s="549"/>
    </row>
    <row r="163" spans="1:20" s="1187" customFormat="1" ht="71.25" customHeight="1">
      <c r="A163" s="534">
        <v>1</v>
      </c>
      <c r="B163" s="1358"/>
      <c r="C163" s="1358"/>
      <c r="D163" s="1361">
        <v>0.3</v>
      </c>
      <c r="E163" s="1629" t="s">
        <v>1446</v>
      </c>
      <c r="F163" s="1630" t="s">
        <v>1448</v>
      </c>
      <c r="G163" s="1631" t="s">
        <v>1449</v>
      </c>
      <c r="H163" s="1630" t="s">
        <v>1450</v>
      </c>
      <c r="I163" s="1630" t="s">
        <v>1451</v>
      </c>
      <c r="J163" s="1376">
        <v>60000</v>
      </c>
      <c r="K163" s="1377">
        <v>0.03</v>
      </c>
      <c r="L163" s="1378">
        <v>0</v>
      </c>
      <c r="M163" s="1632" t="s">
        <v>1452</v>
      </c>
      <c r="N163" s="1633" t="s">
        <v>1453</v>
      </c>
      <c r="O163" s="2467"/>
      <c r="P163" s="1634" t="s">
        <v>1454</v>
      </c>
      <c r="Q163" s="549" t="s">
        <v>1383</v>
      </c>
    </row>
    <row r="164" spans="1:20" s="1190" customFormat="1" ht="90" customHeight="1">
      <c r="A164" s="534">
        <v>1</v>
      </c>
      <c r="B164" s="1362"/>
      <c r="C164" s="1362"/>
      <c r="D164" s="1363">
        <v>90</v>
      </c>
      <c r="E164" s="1543" t="s">
        <v>1455</v>
      </c>
      <c r="F164" s="1635" t="s">
        <v>43</v>
      </c>
      <c r="G164" s="1635" t="s">
        <v>43</v>
      </c>
      <c r="H164" s="1636" t="s">
        <v>1456</v>
      </c>
      <c r="I164" s="1636" t="s">
        <v>1457</v>
      </c>
      <c r="J164" s="1379">
        <v>5000000</v>
      </c>
      <c r="K164" s="1380">
        <v>0.05</v>
      </c>
      <c r="L164" s="1336">
        <v>4.5</v>
      </c>
      <c r="M164" s="1585" t="s">
        <v>68</v>
      </c>
      <c r="N164" s="1626" t="s">
        <v>1458</v>
      </c>
      <c r="O164" s="2468"/>
      <c r="P164" s="1554" t="s">
        <v>1459</v>
      </c>
      <c r="Q164" s="1389"/>
      <c r="R164" s="1187"/>
      <c r="S164" s="1187"/>
      <c r="T164" s="1187"/>
    </row>
    <row r="165" spans="1:20" s="1187" customFormat="1" ht="96" customHeight="1">
      <c r="A165" s="534">
        <v>1</v>
      </c>
      <c r="B165" s="1358"/>
      <c r="C165" s="1358"/>
      <c r="D165" s="1360">
        <v>30</v>
      </c>
      <c r="E165" s="1637" t="s">
        <v>1460</v>
      </c>
      <c r="F165" s="1638" t="s">
        <v>1461</v>
      </c>
      <c r="G165" s="1638" t="s">
        <v>1462</v>
      </c>
      <c r="H165" s="1638" t="s">
        <v>1463</v>
      </c>
      <c r="I165" s="1638" t="s">
        <v>1464</v>
      </c>
      <c r="J165" s="1373">
        <v>6000000</v>
      </c>
      <c r="K165" s="53">
        <v>0.05</v>
      </c>
      <c r="L165" s="1381">
        <v>1.5</v>
      </c>
      <c r="M165" s="1639" t="s">
        <v>1465</v>
      </c>
      <c r="N165" s="1578" t="s">
        <v>1466</v>
      </c>
      <c r="O165" s="2451"/>
      <c r="P165" s="1532" t="s">
        <v>1467</v>
      </c>
      <c r="Q165" s="1390"/>
    </row>
    <row r="166" spans="1:20" s="1187" customFormat="1" ht="79.5" customHeight="1">
      <c r="A166" s="534">
        <v>1</v>
      </c>
      <c r="B166" s="1358"/>
      <c r="C166" s="1358"/>
      <c r="D166" s="1359">
        <v>0.3</v>
      </c>
      <c r="E166" s="1637" t="s">
        <v>1468</v>
      </c>
      <c r="F166" s="1529" t="s">
        <v>43</v>
      </c>
      <c r="G166" s="1529" t="s">
        <v>43</v>
      </c>
      <c r="H166" s="1529" t="s">
        <v>1469</v>
      </c>
      <c r="I166" s="1529" t="s">
        <v>1470</v>
      </c>
      <c r="J166" s="1373">
        <v>30000</v>
      </c>
      <c r="K166" s="53">
        <v>0.03</v>
      </c>
      <c r="L166" s="942">
        <v>0.01</v>
      </c>
      <c r="M166" s="1530" t="s">
        <v>34</v>
      </c>
      <c r="N166" s="1586" t="s">
        <v>49</v>
      </c>
      <c r="O166" s="2456"/>
      <c r="P166" s="1532" t="s">
        <v>1141</v>
      </c>
      <c r="Q166" s="549"/>
    </row>
    <row r="167" spans="1:20" s="1187" customFormat="1" ht="102" customHeight="1">
      <c r="A167" s="534">
        <v>1</v>
      </c>
      <c r="B167" s="1358"/>
      <c r="C167" s="1358"/>
      <c r="D167" s="1364">
        <v>62.5</v>
      </c>
      <c r="E167" s="1516" t="s">
        <v>1471</v>
      </c>
      <c r="F167" s="1533" t="s">
        <v>1472</v>
      </c>
      <c r="G167" s="1533" t="s">
        <v>1473</v>
      </c>
      <c r="H167" s="1616" t="s">
        <v>1474</v>
      </c>
      <c r="I167" s="1616" t="s">
        <v>1475</v>
      </c>
      <c r="J167" s="1367">
        <v>12500000</v>
      </c>
      <c r="K167" s="1382">
        <v>0.1</v>
      </c>
      <c r="L167" s="1368">
        <v>6.25</v>
      </c>
      <c r="M167" s="1534" t="s">
        <v>34</v>
      </c>
      <c r="N167" s="1580" t="s">
        <v>1476</v>
      </c>
      <c r="O167" s="2453"/>
      <c r="P167" s="1553" t="s">
        <v>1477</v>
      </c>
      <c r="Q167" s="1391"/>
    </row>
    <row r="168" spans="1:20" s="1187" customFormat="1" ht="64.5" customHeight="1">
      <c r="A168" s="534">
        <v>2</v>
      </c>
      <c r="B168" s="1358"/>
      <c r="C168" s="1358"/>
      <c r="D168" s="1360">
        <v>14.29</v>
      </c>
      <c r="E168" s="1637" t="s">
        <v>1403</v>
      </c>
      <c r="F168" s="1529" t="s">
        <v>43</v>
      </c>
      <c r="G168" s="1529" t="s">
        <v>43</v>
      </c>
      <c r="H168" s="1529" t="s">
        <v>1478</v>
      </c>
      <c r="I168" s="1529" t="s">
        <v>1479</v>
      </c>
      <c r="J168" s="1373">
        <v>2858400</v>
      </c>
      <c r="K168" s="1374">
        <v>0.05</v>
      </c>
      <c r="L168" s="1375">
        <v>0.71</v>
      </c>
      <c r="M168" s="1628" t="s">
        <v>34</v>
      </c>
      <c r="N168" s="1578" t="s">
        <v>1480</v>
      </c>
      <c r="O168" s="2451"/>
      <c r="P168" s="1640" t="s">
        <v>1481</v>
      </c>
      <c r="Q168" s="549"/>
    </row>
    <row r="169" spans="1:20" s="1187" customFormat="1" ht="75" customHeight="1">
      <c r="A169" s="534">
        <v>1</v>
      </c>
      <c r="B169" s="1358"/>
      <c r="C169" s="1358"/>
      <c r="D169" s="1365">
        <v>12.5</v>
      </c>
      <c r="E169" s="1521" t="s">
        <v>1482</v>
      </c>
      <c r="F169" s="1529" t="s">
        <v>75</v>
      </c>
      <c r="G169" s="1529" t="s">
        <v>1483</v>
      </c>
      <c r="H169" s="1529" t="s">
        <v>1484</v>
      </c>
      <c r="I169" s="1529" t="s">
        <v>1485</v>
      </c>
      <c r="J169" s="941">
        <v>2500000</v>
      </c>
      <c r="K169" s="53">
        <v>0.05</v>
      </c>
      <c r="L169" s="942">
        <v>0.62</v>
      </c>
      <c r="M169" s="1530" t="s">
        <v>1486</v>
      </c>
      <c r="N169" s="1586" t="s">
        <v>49</v>
      </c>
      <c r="O169" s="2456"/>
      <c r="P169" s="1532" t="s">
        <v>1487</v>
      </c>
      <c r="Q169" s="549"/>
    </row>
    <row r="170" spans="1:20" s="1187" customFormat="1" ht="71.25" customHeight="1">
      <c r="A170" s="534">
        <v>3</v>
      </c>
      <c r="B170" s="1358"/>
      <c r="C170" s="1358"/>
      <c r="D170" s="1360">
        <v>0.75</v>
      </c>
      <c r="E170" s="1637" t="s">
        <v>1488</v>
      </c>
      <c r="F170" s="1529" t="s">
        <v>1378</v>
      </c>
      <c r="G170" s="1529" t="s">
        <v>1379</v>
      </c>
      <c r="H170" s="1529" t="s">
        <v>1489</v>
      </c>
      <c r="I170" s="1529" t="s">
        <v>1490</v>
      </c>
      <c r="J170" s="1373">
        <v>150000</v>
      </c>
      <c r="K170" s="1374">
        <v>0.03</v>
      </c>
      <c r="L170" s="1375">
        <v>0.02</v>
      </c>
      <c r="M170" s="1628" t="s">
        <v>34</v>
      </c>
      <c r="N170" s="1578" t="s">
        <v>1491</v>
      </c>
      <c r="O170" s="2451"/>
      <c r="P170" s="1532" t="s">
        <v>1141</v>
      </c>
      <c r="Q170" s="549" t="s">
        <v>1383</v>
      </c>
    </row>
    <row r="171" spans="1:20" s="1187" customFormat="1" ht="71.25" customHeight="1">
      <c r="A171" s="534">
        <v>1</v>
      </c>
      <c r="B171" s="1358"/>
      <c r="C171" s="1358"/>
      <c r="D171" s="1359">
        <v>1.62</v>
      </c>
      <c r="E171" s="1637" t="s">
        <v>1492</v>
      </c>
      <c r="F171" s="1529" t="s">
        <v>43</v>
      </c>
      <c r="G171" s="1529" t="s">
        <v>43</v>
      </c>
      <c r="H171" s="1529" t="s">
        <v>1493</v>
      </c>
      <c r="I171" s="1529" t="s">
        <v>1494</v>
      </c>
      <c r="J171" s="1373">
        <v>486000</v>
      </c>
      <c r="K171" s="1374">
        <v>0.03</v>
      </c>
      <c r="L171" s="1375">
        <v>0.04</v>
      </c>
      <c r="M171" s="1530" t="s">
        <v>34</v>
      </c>
      <c r="N171" s="1586" t="s">
        <v>49</v>
      </c>
      <c r="O171" s="2456"/>
      <c r="P171" s="1532" t="s">
        <v>1495</v>
      </c>
      <c r="Q171" s="549"/>
    </row>
    <row r="172" spans="1:20" s="1190" customFormat="1" ht="81" customHeight="1">
      <c r="A172" s="534">
        <v>1</v>
      </c>
      <c r="B172" s="1362"/>
      <c r="C172" s="1362"/>
      <c r="D172" s="1366">
        <v>100</v>
      </c>
      <c r="E172" s="1543" t="s">
        <v>1496</v>
      </c>
      <c r="F172" s="1533" t="s">
        <v>1497</v>
      </c>
      <c r="G172" s="1533" t="s">
        <v>1498</v>
      </c>
      <c r="H172" s="1636" t="s">
        <v>1499</v>
      </c>
      <c r="I172" s="1636" t="s">
        <v>68</v>
      </c>
      <c r="J172" s="1379">
        <v>20000000</v>
      </c>
      <c r="K172" s="1383">
        <v>0.05</v>
      </c>
      <c r="L172" s="1336">
        <v>5</v>
      </c>
      <c r="M172" s="1585" t="s">
        <v>61</v>
      </c>
      <c r="N172" s="1626" t="s">
        <v>1500</v>
      </c>
      <c r="O172" s="2468"/>
      <c r="P172" s="1553" t="s">
        <v>1501</v>
      </c>
      <c r="Q172" s="1385"/>
      <c r="R172" s="1187"/>
      <c r="S172" s="1187"/>
      <c r="T172" s="1187"/>
    </row>
    <row r="173" spans="1:20" s="1187" customFormat="1" ht="93.75" customHeight="1">
      <c r="A173" s="534">
        <v>1</v>
      </c>
      <c r="B173" s="1358"/>
      <c r="C173" s="1358"/>
      <c r="D173" s="1360">
        <v>23</v>
      </c>
      <c r="E173" s="1637" t="s">
        <v>1502</v>
      </c>
      <c r="F173" s="1638" t="s">
        <v>1503</v>
      </c>
      <c r="G173" s="1638" t="s">
        <v>1504</v>
      </c>
      <c r="H173" s="1638" t="s">
        <v>1505</v>
      </c>
      <c r="I173" s="1638" t="s">
        <v>1506</v>
      </c>
      <c r="J173" s="1373">
        <v>4500000</v>
      </c>
      <c r="K173" s="1374">
        <v>0.03</v>
      </c>
      <c r="L173" s="1375">
        <v>0.67</v>
      </c>
      <c r="M173" s="1628" t="s">
        <v>34</v>
      </c>
      <c r="N173" s="1641" t="s">
        <v>1507</v>
      </c>
      <c r="O173" s="2469"/>
      <c r="P173" s="1642" t="s">
        <v>1508</v>
      </c>
      <c r="Q173" s="549" t="s">
        <v>68</v>
      </c>
    </row>
    <row r="176" spans="1:20">
      <c r="M176" s="1384"/>
    </row>
    <row r="177" spans="5:5">
      <c r="E177" s="913"/>
    </row>
  </sheetData>
  <mergeCells count="4">
    <mergeCell ref="A1:P1"/>
    <mergeCell ref="N11:O11"/>
    <mergeCell ref="N6:O6"/>
    <mergeCell ref="N4:O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2"/>
  <sheetViews>
    <sheetView zoomScale="55" zoomScaleNormal="55" workbookViewId="0">
      <selection activeCell="A4" sqref="A4:XFD4"/>
    </sheetView>
  </sheetViews>
  <sheetFormatPr defaultColWidth="9.1796875" defaultRowHeight="22.5"/>
  <cols>
    <col min="1" max="1" width="6.81640625" style="628" customWidth="1"/>
    <col min="2" max="2" width="15.453125" style="628" bestFit="1" customWidth="1"/>
    <col min="3" max="3" width="4.81640625" style="628" bestFit="1" customWidth="1"/>
    <col min="4" max="4" width="18.54296875" style="554" customWidth="1"/>
    <col min="5" max="5" width="72.54296875" style="628" customWidth="1"/>
    <col min="6" max="6" width="25.26953125" style="631" bestFit="1" customWidth="1"/>
    <col min="7" max="7" width="25.26953125" style="628" bestFit="1" customWidth="1"/>
    <col min="8" max="8" width="26.81640625" style="632" bestFit="1" customWidth="1"/>
    <col min="9" max="9" width="22" style="628" customWidth="1"/>
    <col min="10" max="10" width="27.7265625" style="628" bestFit="1" customWidth="1"/>
    <col min="11" max="11" width="14.81640625" style="632" customWidth="1"/>
    <col min="12" max="12" width="12.81640625" style="633" bestFit="1" customWidth="1"/>
    <col min="13" max="13" width="25.81640625" style="634" customWidth="1"/>
    <col min="14" max="14" width="61" style="635" customWidth="1"/>
    <col min="15" max="15" width="14.7265625" style="635" customWidth="1"/>
    <col min="16" max="16" width="58.1796875" style="636" customWidth="1"/>
    <col min="17" max="17" width="54.81640625" style="637" customWidth="1"/>
    <col min="18" max="18" width="43.453125" style="634" customWidth="1"/>
    <col min="19" max="19" width="94.7265625" style="634" customWidth="1"/>
    <col min="20" max="20" width="58" style="638" customWidth="1"/>
    <col min="21" max="21" width="52.54296875" style="639" customWidth="1"/>
    <col min="22" max="16384" width="9.1796875" style="631"/>
  </cols>
  <sheetData>
    <row r="1" spans="1:22" s="550" customFormat="1" ht="36.75" customHeight="1">
      <c r="A1" s="3019" t="s">
        <v>5823</v>
      </c>
      <c r="B1" s="3020"/>
      <c r="C1" s="3020"/>
      <c r="D1" s="3020"/>
      <c r="E1" s="3020"/>
      <c r="F1" s="3020"/>
      <c r="G1" s="3020"/>
      <c r="H1" s="3020"/>
      <c r="I1" s="3020"/>
      <c r="J1" s="3020"/>
      <c r="K1" s="3020"/>
      <c r="L1" s="3020"/>
      <c r="M1" s="3020"/>
      <c r="N1" s="3020"/>
      <c r="O1" s="3020"/>
      <c r="P1" s="3021"/>
      <c r="Q1" s="948"/>
      <c r="R1" s="949"/>
      <c r="S1" s="949"/>
      <c r="T1" s="949"/>
    </row>
    <row r="2" spans="1:22" s="629" customFormat="1" ht="36.75" customHeight="1">
      <c r="A2" s="3022" t="s">
        <v>0</v>
      </c>
      <c r="B2" s="3023"/>
      <c r="C2" s="3023"/>
      <c r="D2" s="3023"/>
      <c r="E2" s="3023"/>
      <c r="F2" s="3023"/>
      <c r="G2" s="3023"/>
      <c r="H2" s="3023"/>
      <c r="I2" s="3023"/>
      <c r="J2" s="3023"/>
      <c r="K2" s="3023"/>
      <c r="L2" s="3023"/>
      <c r="M2" s="3023"/>
      <c r="N2" s="3023"/>
      <c r="O2" s="3023"/>
      <c r="P2" s="3024"/>
      <c r="Q2" s="888"/>
      <c r="R2" s="824"/>
      <c r="S2" s="824"/>
      <c r="T2" s="824"/>
    </row>
    <row r="3" spans="1:22" s="554" customFormat="1" ht="80.25" customHeight="1">
      <c r="A3" s="900" t="s">
        <v>1</v>
      </c>
      <c r="B3" s="901"/>
      <c r="C3" s="901"/>
      <c r="D3" s="902" t="s">
        <v>679</v>
      </c>
      <c r="E3" s="902" t="s">
        <v>5</v>
      </c>
      <c r="F3" s="902" t="s">
        <v>6</v>
      </c>
      <c r="G3" s="902" t="s">
        <v>7</v>
      </c>
      <c r="H3" s="914" t="s">
        <v>682</v>
      </c>
      <c r="I3" s="915" t="s">
        <v>683</v>
      </c>
      <c r="J3" s="902" t="s">
        <v>684</v>
      </c>
      <c r="K3" s="916" t="s">
        <v>685</v>
      </c>
      <c r="L3" s="917" t="s">
        <v>12</v>
      </c>
      <c r="M3" s="1766" t="s">
        <v>13</v>
      </c>
      <c r="N3" s="902" t="s">
        <v>14</v>
      </c>
      <c r="O3" s="2400" t="s">
        <v>5779</v>
      </c>
      <c r="P3" s="918" t="s">
        <v>15</v>
      </c>
      <c r="Q3" s="889" t="s">
        <v>3736</v>
      </c>
      <c r="R3" s="824"/>
      <c r="S3" s="824"/>
      <c r="T3" s="824"/>
    </row>
    <row r="4" spans="1:22" s="2473" customFormat="1" ht="159.75" customHeight="1">
      <c r="A4" s="828">
        <v>16</v>
      </c>
      <c r="B4" s="1491" t="s">
        <v>45</v>
      </c>
      <c r="C4" s="1491" t="s">
        <v>20</v>
      </c>
      <c r="D4" s="2640">
        <v>25</v>
      </c>
      <c r="E4" s="2641" t="s">
        <v>58</v>
      </c>
      <c r="F4" s="2642" t="s">
        <v>59</v>
      </c>
      <c r="G4" s="2642" t="s">
        <v>60</v>
      </c>
      <c r="H4" s="2642" t="s">
        <v>5965</v>
      </c>
      <c r="I4" s="2642" t="s">
        <v>5966</v>
      </c>
      <c r="J4" s="2643">
        <v>5000000</v>
      </c>
      <c r="K4" s="2644">
        <v>0.1</v>
      </c>
      <c r="L4" s="2645">
        <v>2.5</v>
      </c>
      <c r="M4" s="2646" t="s">
        <v>61</v>
      </c>
      <c r="N4" s="2647" t="s">
        <v>5967</v>
      </c>
      <c r="O4" s="2646" t="s">
        <v>5781</v>
      </c>
      <c r="P4" s="2915" t="s">
        <v>62</v>
      </c>
      <c r="Q4" s="2910"/>
      <c r="R4" s="2471" t="s">
        <v>6119</v>
      </c>
      <c r="S4" s="2472"/>
      <c r="T4" s="2895" t="s">
        <v>6120</v>
      </c>
    </row>
    <row r="5" spans="1:22" s="2343" customFormat="1" ht="117" customHeight="1">
      <c r="A5" s="2330">
        <v>1</v>
      </c>
      <c r="B5" s="1449" t="s">
        <v>19</v>
      </c>
      <c r="C5" s="2331" t="s">
        <v>20</v>
      </c>
      <c r="D5" s="2535">
        <v>33.020000000000003</v>
      </c>
      <c r="E5" s="2536" t="s">
        <v>5947</v>
      </c>
      <c r="F5" s="2537" t="s">
        <v>43</v>
      </c>
      <c r="G5" s="2538" t="s">
        <v>43</v>
      </c>
      <c r="H5" s="2539" t="s">
        <v>110</v>
      </c>
      <c r="I5" s="2539" t="s">
        <v>111</v>
      </c>
      <c r="J5" s="2540">
        <v>5000000</v>
      </c>
      <c r="K5" s="2541">
        <v>0.05</v>
      </c>
      <c r="L5" s="2542">
        <v>1.65</v>
      </c>
      <c r="M5" s="2538" t="s">
        <v>34</v>
      </c>
      <c r="N5" s="2543" t="s">
        <v>112</v>
      </c>
      <c r="O5" s="2544"/>
      <c r="P5" s="2545" t="s">
        <v>113</v>
      </c>
      <c r="Q5" s="2338" t="s">
        <v>114</v>
      </c>
      <c r="R5" s="2339" t="s">
        <v>115</v>
      </c>
      <c r="S5" s="2340" t="s">
        <v>116</v>
      </c>
      <c r="T5" s="2341" t="s">
        <v>117</v>
      </c>
      <c r="U5" s="2329"/>
      <c r="V5" s="2342"/>
    </row>
    <row r="6" spans="1:22" s="2329" customFormat="1" ht="54" customHeight="1">
      <c r="A6" s="2330">
        <v>1</v>
      </c>
      <c r="B6" s="2331" t="s">
        <v>19</v>
      </c>
      <c r="C6" s="2331" t="s">
        <v>68</v>
      </c>
      <c r="D6" s="2546">
        <v>2.5</v>
      </c>
      <c r="E6" s="2547" t="s">
        <v>106</v>
      </c>
      <c r="F6" s="2537" t="s">
        <v>43</v>
      </c>
      <c r="G6" s="2538" t="s">
        <v>43</v>
      </c>
      <c r="H6" s="2548" t="s">
        <v>107</v>
      </c>
      <c r="I6" s="2548" t="s">
        <v>108</v>
      </c>
      <c r="J6" s="2540">
        <v>500000</v>
      </c>
      <c r="K6" s="2549">
        <v>0.03</v>
      </c>
      <c r="L6" s="2550">
        <v>7.0000000000000007E-2</v>
      </c>
      <c r="M6" s="2538" t="s">
        <v>109</v>
      </c>
      <c r="N6" s="2538" t="s">
        <v>49</v>
      </c>
      <c r="O6" s="2551"/>
      <c r="P6" s="2545" t="s">
        <v>28</v>
      </c>
      <c r="R6" s="2352" t="s">
        <v>5703</v>
      </c>
      <c r="S6" s="2347"/>
      <c r="T6" s="2328"/>
    </row>
    <row r="7" spans="1:22" s="1184" customFormat="1" ht="57.75" customHeight="1">
      <c r="A7" s="15">
        <v>1</v>
      </c>
      <c r="B7" s="1416" t="s">
        <v>19</v>
      </c>
      <c r="C7" s="1416" t="s">
        <v>20</v>
      </c>
      <c r="D7" s="21">
        <v>35</v>
      </c>
      <c r="E7" s="18" t="s">
        <v>325</v>
      </c>
      <c r="F7" s="1422" t="s">
        <v>749</v>
      </c>
      <c r="G7" s="1422" t="s">
        <v>750</v>
      </c>
      <c r="H7" s="1417" t="s">
        <v>23</v>
      </c>
      <c r="I7" s="1417" t="s">
        <v>751</v>
      </c>
      <c r="J7" s="50">
        <v>7000000</v>
      </c>
      <c r="K7" s="51">
        <v>0.03</v>
      </c>
      <c r="L7" s="17">
        <v>1.05</v>
      </c>
      <c r="M7" s="1418" t="s">
        <v>109</v>
      </c>
      <c r="N7" s="1420" t="s">
        <v>752</v>
      </c>
      <c r="O7" s="1504"/>
      <c r="P7" s="1466" t="s">
        <v>753</v>
      </c>
      <c r="Q7" s="1279" t="s">
        <v>754</v>
      </c>
      <c r="R7" s="1278" t="s">
        <v>313</v>
      </c>
      <c r="S7" s="1280" t="s">
        <v>755</v>
      </c>
      <c r="T7" s="1281" t="s">
        <v>756</v>
      </c>
      <c r="U7" s="1272" t="s">
        <v>757</v>
      </c>
    </row>
    <row r="8" spans="1:22" s="899" customFormat="1" ht="87.65" customHeight="1">
      <c r="A8" s="30">
        <v>1</v>
      </c>
      <c r="B8" s="1449" t="s">
        <v>19</v>
      </c>
      <c r="C8" s="1449" t="s">
        <v>29</v>
      </c>
      <c r="D8" s="34">
        <v>5</v>
      </c>
      <c r="E8" s="660" t="s">
        <v>341</v>
      </c>
      <c r="F8" s="35" t="s">
        <v>780</v>
      </c>
      <c r="G8" s="1486" t="s">
        <v>781</v>
      </c>
      <c r="H8" s="1486" t="s">
        <v>782</v>
      </c>
      <c r="I8" s="1486" t="s">
        <v>783</v>
      </c>
      <c r="J8" s="64">
        <v>1000000</v>
      </c>
      <c r="K8" s="1240">
        <v>0.03</v>
      </c>
      <c r="L8" s="1241">
        <v>0.22</v>
      </c>
      <c r="M8" s="1486" t="s">
        <v>784</v>
      </c>
      <c r="N8" s="1487" t="s">
        <v>785</v>
      </c>
      <c r="O8" s="1488"/>
      <c r="P8" s="1488" t="s">
        <v>35</v>
      </c>
      <c r="Q8" s="1288" t="s">
        <v>114</v>
      </c>
      <c r="R8" s="1278" t="s">
        <v>317</v>
      </c>
      <c r="S8" s="1289" t="s">
        <v>786</v>
      </c>
      <c r="T8" s="1288" t="s">
        <v>787</v>
      </c>
      <c r="U8" s="1292" t="s">
        <v>788</v>
      </c>
      <c r="V8" s="1285"/>
    </row>
    <row r="9" spans="1:22" s="899" customFormat="1" ht="84.65" customHeight="1">
      <c r="A9" s="30">
        <v>8</v>
      </c>
      <c r="B9" s="1449" t="s">
        <v>837</v>
      </c>
      <c r="C9" s="1449"/>
      <c r="D9" s="31">
        <v>5</v>
      </c>
      <c r="E9" s="903" t="s">
        <v>3737</v>
      </c>
      <c r="F9" s="35" t="s">
        <v>804</v>
      </c>
      <c r="G9" s="1482" t="s">
        <v>3738</v>
      </c>
      <c r="H9" s="1767" t="s">
        <v>3739</v>
      </c>
      <c r="I9" s="1767" t="s">
        <v>3740</v>
      </c>
      <c r="J9" s="863">
        <v>1000000</v>
      </c>
      <c r="K9" s="919">
        <v>0.02</v>
      </c>
      <c r="L9" s="920">
        <v>0.1</v>
      </c>
      <c r="M9" s="1482" t="s">
        <v>68</v>
      </c>
      <c r="N9" s="1482" t="s">
        <v>49</v>
      </c>
      <c r="O9" s="2385"/>
      <c r="P9" s="1650" t="s">
        <v>886</v>
      </c>
      <c r="Q9" s="950"/>
    </row>
    <row r="10" spans="1:22" s="6" customFormat="1" ht="108" customHeight="1">
      <c r="A10" s="30">
        <v>1</v>
      </c>
      <c r="B10" s="1644" t="s">
        <v>45</v>
      </c>
      <c r="C10" s="1644"/>
      <c r="D10" s="587">
        <v>3.6</v>
      </c>
      <c r="E10" s="1484" t="s">
        <v>487</v>
      </c>
      <c r="F10" s="35" t="s">
        <v>804</v>
      </c>
      <c r="G10" s="1645" t="s">
        <v>3741</v>
      </c>
      <c r="H10" s="1645" t="s">
        <v>3742</v>
      </c>
      <c r="I10" s="1645" t="s">
        <v>3743</v>
      </c>
      <c r="J10" s="863">
        <v>360000</v>
      </c>
      <c r="K10" s="62">
        <v>0.03</v>
      </c>
      <c r="L10" s="66">
        <v>0.05</v>
      </c>
      <c r="M10" s="1648" t="s">
        <v>34</v>
      </c>
      <c r="N10" s="1484" t="s">
        <v>3744</v>
      </c>
      <c r="O10" s="1485"/>
      <c r="P10" s="1650" t="s">
        <v>3745</v>
      </c>
      <c r="Q10" s="78"/>
    </row>
    <row r="11" spans="1:22" s="819" customFormat="1" ht="102" customHeight="1">
      <c r="A11" s="30">
        <v>2</v>
      </c>
      <c r="B11" s="1644" t="s">
        <v>45</v>
      </c>
      <c r="C11" s="1644"/>
      <c r="D11" s="832">
        <v>5.5</v>
      </c>
      <c r="E11" s="1473" t="s">
        <v>386</v>
      </c>
      <c r="F11" s="1474" t="s">
        <v>3746</v>
      </c>
      <c r="G11" s="1474" t="s">
        <v>3747</v>
      </c>
      <c r="H11" s="1474" t="s">
        <v>3748</v>
      </c>
      <c r="I11" s="1474" t="s">
        <v>3749</v>
      </c>
      <c r="J11" s="864">
        <v>1100000</v>
      </c>
      <c r="K11" s="865">
        <v>0.05</v>
      </c>
      <c r="L11" s="678">
        <v>0.27</v>
      </c>
      <c r="M11" s="1768" t="s">
        <v>34</v>
      </c>
      <c r="N11" s="1476" t="s">
        <v>3750</v>
      </c>
      <c r="O11" s="1477"/>
      <c r="P11" s="1769" t="s">
        <v>3751</v>
      </c>
      <c r="Q11" s="79"/>
    </row>
    <row r="12" spans="1:22" s="6" customFormat="1" ht="102" customHeight="1">
      <c r="A12" s="28">
        <v>2</v>
      </c>
      <c r="B12" s="1644" t="s">
        <v>45</v>
      </c>
      <c r="C12" s="1644"/>
      <c r="D12" s="37">
        <v>208.47</v>
      </c>
      <c r="E12" s="1770" t="s">
        <v>406</v>
      </c>
      <c r="F12" s="1771" t="s">
        <v>3752</v>
      </c>
      <c r="G12" s="1771" t="s">
        <v>1231</v>
      </c>
      <c r="H12" s="1771" t="s">
        <v>3753</v>
      </c>
      <c r="I12" s="1771" t="s">
        <v>3754</v>
      </c>
      <c r="J12" s="55">
        <v>25600000</v>
      </c>
      <c r="K12" s="56">
        <v>0.05</v>
      </c>
      <c r="L12" s="57">
        <v>10.42</v>
      </c>
      <c r="M12" s="1772" t="s">
        <v>150</v>
      </c>
      <c r="N12" s="1773" t="s">
        <v>3755</v>
      </c>
      <c r="O12" s="1773"/>
      <c r="P12" s="1774" t="s">
        <v>1002</v>
      </c>
    </row>
    <row r="13" spans="1:22" s="821" customFormat="1" ht="81.650000000000006" customHeight="1">
      <c r="A13" s="15">
        <v>4</v>
      </c>
      <c r="B13" s="1424" t="s">
        <v>45</v>
      </c>
      <c r="C13" s="1424"/>
      <c r="D13" s="37">
        <v>0.9</v>
      </c>
      <c r="E13" s="1770" t="s">
        <v>368</v>
      </c>
      <c r="F13" s="1436" t="s">
        <v>43</v>
      </c>
      <c r="G13" s="1436" t="s">
        <v>43</v>
      </c>
      <c r="H13" s="1436" t="s">
        <v>1063</v>
      </c>
      <c r="I13" s="1436" t="s">
        <v>3756</v>
      </c>
      <c r="J13" s="921">
        <v>90000</v>
      </c>
      <c r="K13" s="922" t="s">
        <v>68</v>
      </c>
      <c r="L13" s="922" t="s">
        <v>68</v>
      </c>
      <c r="M13" s="1437" t="s">
        <v>34</v>
      </c>
      <c r="N13" s="1437" t="s">
        <v>49</v>
      </c>
      <c r="O13" s="2401"/>
      <c r="P13" s="1428" t="s">
        <v>1066</v>
      </c>
      <c r="Q13" s="894"/>
      <c r="R13" s="893"/>
      <c r="S13" s="893"/>
      <c r="T13" s="893"/>
    </row>
    <row r="14" spans="1:22" s="552" customFormat="1" ht="66" customHeight="1">
      <c r="A14" s="15">
        <v>1</v>
      </c>
      <c r="B14" s="1424" t="s">
        <v>45</v>
      </c>
      <c r="C14" s="1424"/>
      <c r="D14" s="31">
        <v>80</v>
      </c>
      <c r="E14" s="1484" t="s">
        <v>366</v>
      </c>
      <c r="F14" s="1461" t="s">
        <v>804</v>
      </c>
      <c r="G14" s="1461" t="s">
        <v>3757</v>
      </c>
      <c r="H14" s="1461" t="s">
        <v>1563</v>
      </c>
      <c r="I14" s="1461" t="s">
        <v>3758</v>
      </c>
      <c r="J14" s="50">
        <v>20475000</v>
      </c>
      <c r="K14" s="606">
        <v>0.03</v>
      </c>
      <c r="L14" s="19">
        <v>0.34</v>
      </c>
      <c r="M14" s="1462" t="s">
        <v>34</v>
      </c>
      <c r="N14" s="1512" t="s">
        <v>3759</v>
      </c>
      <c r="O14" s="2402"/>
      <c r="P14" s="1421" t="s">
        <v>1077</v>
      </c>
      <c r="Q14" s="623"/>
      <c r="R14" s="893"/>
      <c r="S14" s="893"/>
      <c r="T14" s="893"/>
    </row>
    <row r="15" spans="1:22" s="7" customFormat="1" ht="72.650000000000006" customHeight="1">
      <c r="A15" s="30">
        <v>1</v>
      </c>
      <c r="B15" s="1644" t="s">
        <v>45</v>
      </c>
      <c r="C15" s="1644"/>
      <c r="D15" s="678">
        <v>9.42</v>
      </c>
      <c r="E15" s="1473" t="s">
        <v>571</v>
      </c>
      <c r="F15" s="1474" t="s">
        <v>3760</v>
      </c>
      <c r="G15" s="1474" t="s">
        <v>3761</v>
      </c>
      <c r="H15" s="1775" t="s">
        <v>3762</v>
      </c>
      <c r="I15" s="923" t="s">
        <v>3763</v>
      </c>
      <c r="J15" s="923">
        <v>1885000</v>
      </c>
      <c r="K15" s="865">
        <v>0.05</v>
      </c>
      <c r="L15" s="866">
        <v>0.47</v>
      </c>
      <c r="M15" s="1768" t="s">
        <v>34</v>
      </c>
      <c r="N15" s="1776" t="s">
        <v>3764</v>
      </c>
      <c r="O15" s="2403"/>
      <c r="P15" s="1777" t="s">
        <v>1094</v>
      </c>
      <c r="Q15" s="78"/>
      <c r="R15" s="2"/>
      <c r="S15" s="2"/>
      <c r="T15" s="2"/>
    </row>
    <row r="16" spans="1:22" s="6" customFormat="1" ht="72" customHeight="1">
      <c r="A16" s="27">
        <v>3</v>
      </c>
      <c r="B16" s="1644" t="s">
        <v>45</v>
      </c>
      <c r="C16" s="1644"/>
      <c r="D16" s="29">
        <v>22.5</v>
      </c>
      <c r="E16" s="1770" t="s">
        <v>650</v>
      </c>
      <c r="F16" s="1771" t="s">
        <v>3765</v>
      </c>
      <c r="G16" s="1771" t="s">
        <v>3766</v>
      </c>
      <c r="H16" s="1771" t="s">
        <v>3767</v>
      </c>
      <c r="I16" s="1771" t="s">
        <v>3768</v>
      </c>
      <c r="J16" s="55">
        <v>4500000</v>
      </c>
      <c r="K16" s="56">
        <v>0.05</v>
      </c>
      <c r="L16" s="57">
        <v>1.1200000000000001</v>
      </c>
      <c r="M16" s="1772" t="s">
        <v>3769</v>
      </c>
      <c r="N16" s="1774" t="s">
        <v>3770</v>
      </c>
      <c r="O16" s="2404"/>
      <c r="P16" s="1778" t="s">
        <v>3771</v>
      </c>
      <c r="Q16" s="78"/>
      <c r="R16" s="2"/>
      <c r="S16" s="2"/>
      <c r="T16" s="2"/>
    </row>
    <row r="17" spans="1:20" s="821" customFormat="1" ht="74.5" customHeight="1">
      <c r="A17" s="845">
        <v>1</v>
      </c>
      <c r="B17" s="1497" t="s">
        <v>45</v>
      </c>
      <c r="C17" s="1497"/>
      <c r="D17" s="716">
        <v>5.0999999999999996</v>
      </c>
      <c r="E17" s="1779" t="s">
        <v>1864</v>
      </c>
      <c r="F17" s="1499" t="s">
        <v>804</v>
      </c>
      <c r="G17" s="1499" t="s">
        <v>3772</v>
      </c>
      <c r="H17" s="1499" t="s">
        <v>3773</v>
      </c>
      <c r="I17" s="1499" t="s">
        <v>3774</v>
      </c>
      <c r="J17" s="924">
        <v>510000</v>
      </c>
      <c r="K17" s="925">
        <v>0.05</v>
      </c>
      <c r="L17" s="926">
        <v>0.25</v>
      </c>
      <c r="M17" s="1500" t="s">
        <v>68</v>
      </c>
      <c r="N17" s="1780" t="s">
        <v>3775</v>
      </c>
      <c r="O17" s="1780"/>
      <c r="P17" s="1781" t="s">
        <v>3776</v>
      </c>
      <c r="Q17" s="894"/>
      <c r="R17" s="893"/>
      <c r="S17" s="893"/>
      <c r="T17" s="893"/>
    </row>
    <row r="18" spans="1:20" s="821" customFormat="1" ht="64.5" customHeight="1">
      <c r="A18" s="845">
        <v>1</v>
      </c>
      <c r="B18" s="1424" t="s">
        <v>45</v>
      </c>
      <c r="C18" s="1429"/>
      <c r="D18" s="906">
        <v>10.62</v>
      </c>
      <c r="E18" s="1782" t="s">
        <v>1875</v>
      </c>
      <c r="F18" s="1783" t="s">
        <v>804</v>
      </c>
      <c r="G18" s="1783" t="s">
        <v>3777</v>
      </c>
      <c r="H18" s="1783" t="s">
        <v>1610</v>
      </c>
      <c r="I18" s="1783" t="s">
        <v>1611</v>
      </c>
      <c r="J18" s="927">
        <v>2125794</v>
      </c>
      <c r="K18" s="928">
        <v>0.1</v>
      </c>
      <c r="L18" s="929">
        <v>1.06</v>
      </c>
      <c r="M18" s="1784" t="s">
        <v>34</v>
      </c>
      <c r="N18" s="1784" t="s">
        <v>49</v>
      </c>
      <c r="O18" s="2405"/>
      <c r="P18" s="1785" t="s">
        <v>3778</v>
      </c>
      <c r="Q18" s="951"/>
      <c r="R18" s="893"/>
      <c r="S18" s="893"/>
      <c r="T18" s="893"/>
    </row>
    <row r="19" spans="1:20" s="552" customFormat="1" ht="66" customHeight="1">
      <c r="A19" s="15">
        <v>5</v>
      </c>
      <c r="B19" s="1424" t="s">
        <v>19</v>
      </c>
      <c r="C19" s="1424"/>
      <c r="D19" s="31" t="s">
        <v>68</v>
      </c>
      <c r="E19" s="1484" t="s">
        <v>1878</v>
      </c>
      <c r="F19" s="1461" t="s">
        <v>43</v>
      </c>
      <c r="G19" s="1461" t="s">
        <v>43</v>
      </c>
      <c r="H19" s="1461" t="s">
        <v>3779</v>
      </c>
      <c r="I19" s="1461" t="s">
        <v>3780</v>
      </c>
      <c r="J19" s="50" t="s">
        <v>1155</v>
      </c>
      <c r="K19" s="606">
        <v>0.03</v>
      </c>
      <c r="L19" s="50" t="s">
        <v>1155</v>
      </c>
      <c r="M19" s="1462" t="s">
        <v>68</v>
      </c>
      <c r="N19" s="1462" t="s">
        <v>49</v>
      </c>
      <c r="O19" s="2406"/>
      <c r="P19" s="1421" t="s">
        <v>1077</v>
      </c>
      <c r="Q19" s="623"/>
      <c r="R19" s="893"/>
      <c r="S19" s="893"/>
      <c r="T19" s="893"/>
    </row>
    <row r="20" spans="1:20" s="821" customFormat="1" ht="66" customHeight="1">
      <c r="A20" s="15">
        <v>10</v>
      </c>
      <c r="B20" s="1424" t="s">
        <v>45</v>
      </c>
      <c r="C20" s="1424"/>
      <c r="D20" s="838">
        <v>5.2</v>
      </c>
      <c r="E20" s="1653" t="s">
        <v>1884</v>
      </c>
      <c r="F20" s="1667" t="s">
        <v>804</v>
      </c>
      <c r="G20" s="1667" t="s">
        <v>3781</v>
      </c>
      <c r="H20" s="1667" t="s">
        <v>3782</v>
      </c>
      <c r="I20" s="1667" t="s">
        <v>3783</v>
      </c>
      <c r="J20" s="870">
        <v>410300</v>
      </c>
      <c r="K20" s="871">
        <v>0.05</v>
      </c>
      <c r="L20" s="877">
        <v>0.26</v>
      </c>
      <c r="M20" s="1668" t="s">
        <v>3784</v>
      </c>
      <c r="N20" s="1668" t="s">
        <v>49</v>
      </c>
      <c r="O20" s="2407"/>
      <c r="P20" s="1786" t="s">
        <v>1141</v>
      </c>
      <c r="Q20" s="894" t="s">
        <v>3785</v>
      </c>
      <c r="R20" s="893"/>
      <c r="S20" s="893"/>
      <c r="T20" s="893"/>
    </row>
    <row r="21" spans="1:20" s="820" customFormat="1" ht="66" customHeight="1">
      <c r="A21" s="15">
        <v>12</v>
      </c>
      <c r="B21" s="1424" t="s">
        <v>45</v>
      </c>
      <c r="C21" s="1424"/>
      <c r="D21" s="587">
        <v>15.47</v>
      </c>
      <c r="E21" s="1484" t="s">
        <v>1890</v>
      </c>
      <c r="F21" s="1461" t="s">
        <v>43</v>
      </c>
      <c r="G21" s="1461" t="s">
        <v>43</v>
      </c>
      <c r="H21" s="1419" t="s">
        <v>3786</v>
      </c>
      <c r="I21" s="1419" t="s">
        <v>3787</v>
      </c>
      <c r="J21" s="909">
        <v>1979700</v>
      </c>
      <c r="K21" s="606">
        <v>0.05</v>
      </c>
      <c r="L21" s="930">
        <v>0.77</v>
      </c>
      <c r="M21" s="1418" t="s">
        <v>68</v>
      </c>
      <c r="N21" s="1462" t="s">
        <v>49</v>
      </c>
      <c r="O21" s="2406"/>
      <c r="P21" s="1681" t="s">
        <v>3788</v>
      </c>
      <c r="Q21" s="894"/>
      <c r="R21" s="893"/>
      <c r="S21" s="893"/>
      <c r="T21" s="893"/>
    </row>
    <row r="22" spans="1:20" s="821" customFormat="1" ht="73.5" customHeight="1">
      <c r="A22" s="15">
        <v>5</v>
      </c>
      <c r="B22" s="1424" t="s">
        <v>45</v>
      </c>
      <c r="C22" s="1429"/>
      <c r="D22" s="34">
        <v>4.5</v>
      </c>
      <c r="E22" s="1672" t="s">
        <v>1895</v>
      </c>
      <c r="F22" s="1671" t="s">
        <v>804</v>
      </c>
      <c r="G22" s="1671" t="s">
        <v>3789</v>
      </c>
      <c r="H22" s="1671" t="s">
        <v>3790</v>
      </c>
      <c r="I22" s="1671" t="s">
        <v>3791</v>
      </c>
      <c r="J22" s="878">
        <v>900000</v>
      </c>
      <c r="K22" s="872" t="s">
        <v>68</v>
      </c>
      <c r="L22" s="1787" t="s">
        <v>68</v>
      </c>
      <c r="M22" s="1673" t="s">
        <v>34</v>
      </c>
      <c r="N22" s="1788" t="s">
        <v>3792</v>
      </c>
      <c r="O22" s="2408"/>
      <c r="P22" s="1789" t="s">
        <v>3793</v>
      </c>
      <c r="Q22" s="951"/>
      <c r="R22" s="893"/>
      <c r="S22" s="893"/>
      <c r="T22" s="893"/>
    </row>
    <row r="23" spans="1:20" s="552" customFormat="1" ht="69" customHeight="1">
      <c r="A23" s="15">
        <v>2</v>
      </c>
      <c r="B23" s="1424" t="s">
        <v>19</v>
      </c>
      <c r="C23" s="1424"/>
      <c r="D23" s="587">
        <v>0.37</v>
      </c>
      <c r="E23" s="1484" t="s">
        <v>3794</v>
      </c>
      <c r="F23" s="1461" t="s">
        <v>43</v>
      </c>
      <c r="G23" s="1461" t="s">
        <v>43</v>
      </c>
      <c r="H23" s="1461" t="s">
        <v>3795</v>
      </c>
      <c r="I23" s="1461" t="s">
        <v>3796</v>
      </c>
      <c r="J23" s="50">
        <v>113000</v>
      </c>
      <c r="K23" s="606">
        <v>0.03</v>
      </c>
      <c r="L23" s="19">
        <f>D23*3%</f>
        <v>1.1099999999999999E-2</v>
      </c>
      <c r="M23" s="1462" t="s">
        <v>3797</v>
      </c>
      <c r="N23" s="1422" t="s">
        <v>49</v>
      </c>
      <c r="O23" s="2409"/>
      <c r="P23" s="1421" t="s">
        <v>1168</v>
      </c>
      <c r="Q23" s="623" t="s">
        <v>3798</v>
      </c>
      <c r="R23" s="893"/>
      <c r="S23" s="893"/>
      <c r="T23" s="893"/>
    </row>
    <row r="24" spans="1:20" s="552" customFormat="1" ht="66" customHeight="1">
      <c r="A24" s="15">
        <v>15</v>
      </c>
      <c r="B24" s="1424" t="s">
        <v>45</v>
      </c>
      <c r="C24" s="1424"/>
      <c r="D24" s="587">
        <v>6.95</v>
      </c>
      <c r="E24" s="1484" t="s">
        <v>1912</v>
      </c>
      <c r="F24" s="1461" t="s">
        <v>43</v>
      </c>
      <c r="G24" s="1461" t="s">
        <v>43</v>
      </c>
      <c r="H24" s="1461" t="s">
        <v>3799</v>
      </c>
      <c r="I24" s="1461" t="s">
        <v>3800</v>
      </c>
      <c r="J24" s="50">
        <v>1391000</v>
      </c>
      <c r="K24" s="606" t="s">
        <v>1155</v>
      </c>
      <c r="L24" s="1790" t="s">
        <v>1155</v>
      </c>
      <c r="M24" s="1462" t="s">
        <v>68</v>
      </c>
      <c r="N24" s="1462" t="s">
        <v>49</v>
      </c>
      <c r="O24" s="2406"/>
      <c r="P24" s="1421" t="s">
        <v>3801</v>
      </c>
      <c r="Q24" s="623"/>
      <c r="R24" s="893"/>
      <c r="S24" s="893"/>
      <c r="T24" s="893"/>
    </row>
    <row r="25" spans="1:20" s="552" customFormat="1" ht="66" customHeight="1">
      <c r="A25" s="15">
        <v>5</v>
      </c>
      <c r="B25" s="1424" t="s">
        <v>45</v>
      </c>
      <c r="C25" s="1424"/>
      <c r="D25" s="587">
        <v>2</v>
      </c>
      <c r="E25" s="1484" t="s">
        <v>1918</v>
      </c>
      <c r="F25" s="1461" t="s">
        <v>43</v>
      </c>
      <c r="G25" s="1461" t="s">
        <v>43</v>
      </c>
      <c r="H25" s="1461" t="s">
        <v>3802</v>
      </c>
      <c r="I25" s="1461" t="s">
        <v>3803</v>
      </c>
      <c r="J25" s="50">
        <v>415000</v>
      </c>
      <c r="K25" s="606" t="s">
        <v>3804</v>
      </c>
      <c r="L25" s="1418" t="s">
        <v>1155</v>
      </c>
      <c r="M25" s="1462" t="s">
        <v>150</v>
      </c>
      <c r="N25" s="1791" t="s">
        <v>3805</v>
      </c>
      <c r="O25" s="2410"/>
      <c r="P25" s="1792" t="s">
        <v>1094</v>
      </c>
      <c r="Q25" s="623"/>
      <c r="R25" s="893"/>
      <c r="S25" s="893"/>
      <c r="T25" s="893"/>
    </row>
    <row r="26" spans="1:20" s="821" customFormat="1" ht="67.5" customHeight="1">
      <c r="A26" s="15">
        <v>11</v>
      </c>
      <c r="B26" s="1424" t="s">
        <v>45</v>
      </c>
      <c r="C26" s="1424"/>
      <c r="D26" s="31">
        <v>20</v>
      </c>
      <c r="E26" s="1484" t="s">
        <v>1916</v>
      </c>
      <c r="F26" s="1461" t="s">
        <v>3806</v>
      </c>
      <c r="G26" s="1461" t="s">
        <v>3807</v>
      </c>
      <c r="H26" s="1461" t="s">
        <v>3808</v>
      </c>
      <c r="I26" s="1461" t="s">
        <v>3809</v>
      </c>
      <c r="J26" s="50">
        <v>4000000</v>
      </c>
      <c r="K26" s="606">
        <v>0.03</v>
      </c>
      <c r="L26" s="930">
        <v>0.6</v>
      </c>
      <c r="M26" s="1462" t="s">
        <v>83</v>
      </c>
      <c r="N26" s="1512" t="s">
        <v>3810</v>
      </c>
      <c r="O26" s="2402"/>
      <c r="P26" s="1792" t="s">
        <v>1077</v>
      </c>
      <c r="Q26" s="894"/>
      <c r="R26" s="893"/>
      <c r="S26" s="893"/>
      <c r="T26" s="893"/>
    </row>
    <row r="27" spans="1:20" s="821" customFormat="1" ht="63" customHeight="1">
      <c r="A27" s="15">
        <v>19</v>
      </c>
      <c r="B27" s="1424" t="s">
        <v>45</v>
      </c>
      <c r="C27" s="1424"/>
      <c r="D27" s="31">
        <v>1</v>
      </c>
      <c r="E27" s="1484" t="s">
        <v>1920</v>
      </c>
      <c r="F27" s="1461" t="s">
        <v>869</v>
      </c>
      <c r="G27" s="1461" t="s">
        <v>3811</v>
      </c>
      <c r="H27" s="1461" t="s">
        <v>3812</v>
      </c>
      <c r="I27" s="1461" t="s">
        <v>3813</v>
      </c>
      <c r="J27" s="50">
        <v>200000</v>
      </c>
      <c r="K27" s="606">
        <v>0.1</v>
      </c>
      <c r="L27" s="930">
        <v>0.1</v>
      </c>
      <c r="M27" s="1462" t="s">
        <v>150</v>
      </c>
      <c r="N27" s="1512" t="s">
        <v>3814</v>
      </c>
      <c r="O27" s="2402"/>
      <c r="P27" s="1792" t="s">
        <v>3815</v>
      </c>
      <c r="Q27" s="894"/>
      <c r="R27" s="893"/>
      <c r="S27" s="893"/>
      <c r="T27" s="893"/>
    </row>
    <row r="28" spans="1:20" s="821" customFormat="1" ht="66" customHeight="1">
      <c r="A28" s="845">
        <v>6</v>
      </c>
      <c r="B28" s="1424" t="s">
        <v>19</v>
      </c>
      <c r="C28" s="1424"/>
      <c r="D28" s="29">
        <v>0.5</v>
      </c>
      <c r="E28" s="1770" t="s">
        <v>1908</v>
      </c>
      <c r="F28" s="1436" t="s">
        <v>804</v>
      </c>
      <c r="G28" s="1436" t="s">
        <v>3816</v>
      </c>
      <c r="H28" s="1436" t="s">
        <v>3817</v>
      </c>
      <c r="I28" s="1436" t="s">
        <v>3818</v>
      </c>
      <c r="J28" s="921">
        <v>100000</v>
      </c>
      <c r="K28" s="922">
        <v>0.05</v>
      </c>
      <c r="L28" s="932">
        <v>0.02</v>
      </c>
      <c r="M28" s="1437" t="s">
        <v>68</v>
      </c>
      <c r="N28" s="1793" t="s">
        <v>3819</v>
      </c>
      <c r="O28" s="2411"/>
      <c r="P28" s="1438" t="s">
        <v>1094</v>
      </c>
      <c r="Q28" s="894"/>
      <c r="R28" s="893"/>
      <c r="S28" s="893"/>
      <c r="T28" s="893"/>
    </row>
    <row r="29" spans="1:20" s="552" customFormat="1" ht="87.65" customHeight="1">
      <c r="A29" s="845">
        <v>7</v>
      </c>
      <c r="B29" s="1424" t="s">
        <v>45</v>
      </c>
      <c r="C29" s="1424"/>
      <c r="D29" s="29">
        <v>23.25</v>
      </c>
      <c r="E29" s="1770" t="s">
        <v>1930</v>
      </c>
      <c r="F29" s="1436" t="s">
        <v>3820</v>
      </c>
      <c r="G29" s="1436" t="s">
        <v>3821</v>
      </c>
      <c r="H29" s="1436" t="s">
        <v>3822</v>
      </c>
      <c r="I29" s="1436" t="s">
        <v>3823</v>
      </c>
      <c r="J29" s="921">
        <v>4650000</v>
      </c>
      <c r="K29" s="922">
        <v>0.05</v>
      </c>
      <c r="L29" s="905">
        <v>1.1599999999999999</v>
      </c>
      <c r="M29" s="1437" t="s">
        <v>3824</v>
      </c>
      <c r="N29" s="1794" t="s">
        <v>3825</v>
      </c>
      <c r="O29" s="2412"/>
      <c r="P29" s="1438" t="s">
        <v>3826</v>
      </c>
      <c r="Q29" s="623"/>
      <c r="R29" s="893"/>
      <c r="S29" s="893"/>
      <c r="T29" s="893"/>
    </row>
    <row r="30" spans="1:20" s="552" customFormat="1" ht="63" customHeight="1">
      <c r="A30" s="15">
        <v>4</v>
      </c>
      <c r="B30" s="1424" t="s">
        <v>45</v>
      </c>
      <c r="C30" s="1424"/>
      <c r="D30" s="587">
        <v>5</v>
      </c>
      <c r="E30" s="1484" t="s">
        <v>1931</v>
      </c>
      <c r="F30" s="1461" t="s">
        <v>43</v>
      </c>
      <c r="G30" s="1461" t="s">
        <v>43</v>
      </c>
      <c r="H30" s="1461" t="s">
        <v>3827</v>
      </c>
      <c r="I30" s="1461" t="s">
        <v>3828</v>
      </c>
      <c r="J30" s="50">
        <v>250000</v>
      </c>
      <c r="K30" s="606">
        <v>0.03</v>
      </c>
      <c r="L30" s="931">
        <v>0.1</v>
      </c>
      <c r="M30" s="1462" t="s">
        <v>150</v>
      </c>
      <c r="N30" s="1422" t="s">
        <v>49</v>
      </c>
      <c r="O30" s="2409"/>
      <c r="P30" s="1421" t="s">
        <v>1158</v>
      </c>
      <c r="Q30" s="623"/>
      <c r="R30" s="893"/>
      <c r="S30" s="893"/>
      <c r="T30" s="893"/>
    </row>
    <row r="31" spans="1:20" s="821" customFormat="1" ht="67.5" customHeight="1">
      <c r="A31" s="15">
        <v>2</v>
      </c>
      <c r="B31" s="1424" t="s">
        <v>45</v>
      </c>
      <c r="C31" s="1424"/>
      <c r="D31" s="31">
        <v>25</v>
      </c>
      <c r="E31" s="1484" t="s">
        <v>1947</v>
      </c>
      <c r="F31" s="1461" t="s">
        <v>869</v>
      </c>
      <c r="G31" s="1461" t="s">
        <v>3829</v>
      </c>
      <c r="H31" s="1461" t="s">
        <v>3830</v>
      </c>
      <c r="I31" s="1461" t="s">
        <v>3831</v>
      </c>
      <c r="J31" s="50">
        <v>5000000</v>
      </c>
      <c r="K31" s="606">
        <v>0.03</v>
      </c>
      <c r="L31" s="930">
        <v>0.75</v>
      </c>
      <c r="M31" s="1462" t="s">
        <v>34</v>
      </c>
      <c r="N31" s="1512" t="s">
        <v>3832</v>
      </c>
      <c r="O31" s="2402"/>
      <c r="P31" s="1792" t="s">
        <v>1094</v>
      </c>
      <c r="Q31" s="894"/>
    </row>
    <row r="32" spans="1:20" s="822" customFormat="1" ht="67.5" customHeight="1">
      <c r="A32" s="849">
        <v>14</v>
      </c>
      <c r="B32" s="1424" t="s">
        <v>19</v>
      </c>
      <c r="C32" s="1424"/>
      <c r="D32" s="31">
        <v>0.1</v>
      </c>
      <c r="E32" s="1484" t="s">
        <v>1945</v>
      </c>
      <c r="F32" s="1461" t="s">
        <v>869</v>
      </c>
      <c r="G32" s="1461" t="s">
        <v>3833</v>
      </c>
      <c r="H32" s="1461" t="s">
        <v>3834</v>
      </c>
      <c r="I32" s="1461" t="s">
        <v>3835</v>
      </c>
      <c r="J32" s="50">
        <v>20000</v>
      </c>
      <c r="K32" s="606">
        <v>0.03</v>
      </c>
      <c r="L32" s="884">
        <v>3.0000000000000001E-3</v>
      </c>
      <c r="M32" s="1462" t="s">
        <v>34</v>
      </c>
      <c r="N32" s="1422" t="s">
        <v>49</v>
      </c>
      <c r="O32" s="2409"/>
      <c r="P32" s="1792" t="s">
        <v>1632</v>
      </c>
      <c r="Q32" s="623"/>
    </row>
    <row r="33" spans="1:20" s="823" customFormat="1" ht="84" customHeight="1">
      <c r="A33" s="15">
        <v>15</v>
      </c>
      <c r="B33" s="1424" t="s">
        <v>45</v>
      </c>
      <c r="C33" s="1424"/>
      <c r="D33" s="31">
        <v>0.1</v>
      </c>
      <c r="E33" s="1484" t="s">
        <v>2013</v>
      </c>
      <c r="F33" s="1461" t="s">
        <v>43</v>
      </c>
      <c r="G33" s="1461" t="s">
        <v>43</v>
      </c>
      <c r="H33" s="1419" t="s">
        <v>3836</v>
      </c>
      <c r="I33" s="1419" t="s">
        <v>3837</v>
      </c>
      <c r="J33" s="50">
        <v>20012</v>
      </c>
      <c r="K33" s="606">
        <v>0.05</v>
      </c>
      <c r="L33" s="884">
        <v>5.0000000000000001E-3</v>
      </c>
      <c r="M33" s="1418" t="s">
        <v>83</v>
      </c>
      <c r="N33" s="1418" t="s">
        <v>49</v>
      </c>
      <c r="O33" s="2413"/>
      <c r="P33" s="1681" t="s">
        <v>907</v>
      </c>
      <c r="Q33" s="623"/>
      <c r="R33" s="630"/>
      <c r="S33" s="895"/>
      <c r="T33" s="895"/>
    </row>
    <row r="34" spans="1:20" s="822" customFormat="1" ht="75">
      <c r="A34" s="15">
        <v>4</v>
      </c>
      <c r="B34" s="1424" t="s">
        <v>19</v>
      </c>
      <c r="C34" s="1424"/>
      <c r="D34" s="31" t="s">
        <v>68</v>
      </c>
      <c r="E34" s="1484" t="s">
        <v>2025</v>
      </c>
      <c r="F34" s="1461" t="s">
        <v>43</v>
      </c>
      <c r="G34" s="1461" t="s">
        <v>43</v>
      </c>
      <c r="H34" s="1419" t="s">
        <v>3838</v>
      </c>
      <c r="I34" s="1419" t="s">
        <v>3839</v>
      </c>
      <c r="J34" s="50" t="s">
        <v>1155</v>
      </c>
      <c r="K34" s="50" t="s">
        <v>1155</v>
      </c>
      <c r="L34" s="50" t="s">
        <v>1155</v>
      </c>
      <c r="M34" s="1462" t="s">
        <v>68</v>
      </c>
      <c r="N34" s="1431" t="s">
        <v>49</v>
      </c>
      <c r="O34" s="2414"/>
      <c r="P34" s="1792" t="s">
        <v>1314</v>
      </c>
      <c r="Q34" s="623"/>
    </row>
    <row r="35" spans="1:20" s="822" customFormat="1" ht="75">
      <c r="A35" s="15">
        <v>5</v>
      </c>
      <c r="B35" s="1424" t="s">
        <v>19</v>
      </c>
      <c r="C35" s="1424"/>
      <c r="D35" s="31" t="s">
        <v>68</v>
      </c>
      <c r="E35" s="1487" t="s">
        <v>2027</v>
      </c>
      <c r="F35" s="1461" t="s">
        <v>43</v>
      </c>
      <c r="G35" s="1461" t="s">
        <v>43</v>
      </c>
      <c r="H35" s="1419" t="s">
        <v>3838</v>
      </c>
      <c r="I35" s="1419" t="s">
        <v>3839</v>
      </c>
      <c r="J35" s="50" t="s">
        <v>1155</v>
      </c>
      <c r="K35" s="50" t="s">
        <v>1155</v>
      </c>
      <c r="L35" s="50" t="s">
        <v>1155</v>
      </c>
      <c r="M35" s="1462" t="s">
        <v>68</v>
      </c>
      <c r="N35" s="1431" t="s">
        <v>49</v>
      </c>
      <c r="O35" s="2414"/>
      <c r="P35" s="1792" t="s">
        <v>1314</v>
      </c>
      <c r="Q35" s="623"/>
    </row>
    <row r="36" spans="1:20" s="822" customFormat="1" ht="61.5" customHeight="1">
      <c r="A36" s="15">
        <v>1</v>
      </c>
      <c r="B36" s="1424" t="s">
        <v>45</v>
      </c>
      <c r="C36" s="1424"/>
      <c r="D36" s="832">
        <v>17.57</v>
      </c>
      <c r="E36" s="1473" t="s">
        <v>1260</v>
      </c>
      <c r="F36" s="1507" t="s">
        <v>1261</v>
      </c>
      <c r="G36" s="1507" t="s">
        <v>1262</v>
      </c>
      <c r="H36" s="1507" t="s">
        <v>1263</v>
      </c>
      <c r="I36" s="1507" t="s">
        <v>1264</v>
      </c>
      <c r="J36" s="880">
        <v>8986000</v>
      </c>
      <c r="K36" s="881">
        <v>0.1</v>
      </c>
      <c r="L36" s="883">
        <v>1.75</v>
      </c>
      <c r="M36" s="1508" t="s">
        <v>150</v>
      </c>
      <c r="N36" s="1795" t="s">
        <v>1265</v>
      </c>
      <c r="O36" s="2415"/>
      <c r="P36" s="1796" t="s">
        <v>1141</v>
      </c>
      <c r="Q36" s="623"/>
    </row>
    <row r="37" spans="1:20" s="554" customFormat="1" ht="61.5" customHeight="1">
      <c r="A37" s="907">
        <v>16</v>
      </c>
      <c r="B37" s="1429" t="s">
        <v>19</v>
      </c>
      <c r="C37" s="1429"/>
      <c r="D37" s="34">
        <v>0.39</v>
      </c>
      <c r="E37" s="1672" t="s">
        <v>2041</v>
      </c>
      <c r="F37" s="1671" t="s">
        <v>1231</v>
      </c>
      <c r="G37" s="1671" t="s">
        <v>1232</v>
      </c>
      <c r="H37" s="1432" t="s">
        <v>1233</v>
      </c>
      <c r="I37" s="1432" t="s">
        <v>1221</v>
      </c>
      <c r="J37" s="878">
        <v>78750</v>
      </c>
      <c r="K37" s="872">
        <v>0.03</v>
      </c>
      <c r="L37" s="933">
        <v>0.01</v>
      </c>
      <c r="M37" s="1431" t="s">
        <v>34</v>
      </c>
      <c r="N37" s="1797" t="s">
        <v>1234</v>
      </c>
      <c r="O37" s="2416"/>
      <c r="P37" s="1798" t="s">
        <v>1314</v>
      </c>
      <c r="Q37" s="1799" t="s">
        <v>3840</v>
      </c>
      <c r="R37" s="895" t="s">
        <v>3841</v>
      </c>
      <c r="S37" s="630"/>
      <c r="T37" s="630"/>
    </row>
    <row r="38" spans="1:20" s="823" customFormat="1" ht="81" customHeight="1">
      <c r="A38" s="586">
        <v>20</v>
      </c>
      <c r="B38" s="1424" t="s">
        <v>45</v>
      </c>
      <c r="C38" s="1424"/>
      <c r="D38" s="587">
        <v>7</v>
      </c>
      <c r="E38" s="1484" t="s">
        <v>2043</v>
      </c>
      <c r="F38" s="909" t="s">
        <v>43</v>
      </c>
      <c r="G38" s="909" t="s">
        <v>43</v>
      </c>
      <c r="H38" s="1419" t="s">
        <v>3842</v>
      </c>
      <c r="I38" s="1419" t="s">
        <v>3843</v>
      </c>
      <c r="J38" s="50" t="s">
        <v>1155</v>
      </c>
      <c r="K38" s="606">
        <v>0.03</v>
      </c>
      <c r="L38" s="884">
        <v>0.21</v>
      </c>
      <c r="M38" s="1418" t="s">
        <v>68</v>
      </c>
      <c r="N38" s="1422" t="s">
        <v>49</v>
      </c>
      <c r="O38" s="1422"/>
      <c r="P38" s="1512" t="s">
        <v>1141</v>
      </c>
      <c r="Q38" s="896"/>
      <c r="R38" s="630" t="s">
        <v>3844</v>
      </c>
      <c r="S38" s="895"/>
      <c r="T38" s="895"/>
    </row>
    <row r="39" spans="1:20" s="823" customFormat="1" ht="61.5" customHeight="1">
      <c r="A39" s="586">
        <v>22</v>
      </c>
      <c r="B39" s="1424" t="s">
        <v>19</v>
      </c>
      <c r="C39" s="1424"/>
      <c r="D39" s="31">
        <v>7.0000000000000007E-2</v>
      </c>
      <c r="E39" s="1484" t="s">
        <v>2045</v>
      </c>
      <c r="F39" s="1461" t="s">
        <v>1231</v>
      </c>
      <c r="G39" s="1461" t="s">
        <v>1232</v>
      </c>
      <c r="H39" s="1419" t="s">
        <v>1233</v>
      </c>
      <c r="I39" s="1419" t="s">
        <v>1221</v>
      </c>
      <c r="J39" s="50">
        <v>15150</v>
      </c>
      <c r="K39" s="606">
        <v>0.03</v>
      </c>
      <c r="L39" s="884">
        <v>2E-3</v>
      </c>
      <c r="M39" s="1418" t="s">
        <v>34</v>
      </c>
      <c r="N39" s="1420" t="s">
        <v>1234</v>
      </c>
      <c r="O39" s="1420"/>
      <c r="P39" s="1800" t="s">
        <v>1314</v>
      </c>
      <c r="Q39" s="1799" t="s">
        <v>3845</v>
      </c>
      <c r="R39" s="630"/>
      <c r="S39" s="895"/>
      <c r="T39" s="895"/>
    </row>
    <row r="40" spans="1:20" s="823" customFormat="1" ht="67.5">
      <c r="A40" s="586">
        <v>7</v>
      </c>
      <c r="B40" s="1424" t="s">
        <v>19</v>
      </c>
      <c r="C40" s="1424"/>
      <c r="D40" s="587">
        <v>13</v>
      </c>
      <c r="E40" s="1484" t="s">
        <v>2049</v>
      </c>
      <c r="F40" s="1461" t="s">
        <v>804</v>
      </c>
      <c r="G40" s="1461" t="s">
        <v>1316</v>
      </c>
      <c r="H40" s="1419" t="s">
        <v>3846</v>
      </c>
      <c r="I40" s="1419" t="s">
        <v>3847</v>
      </c>
      <c r="J40" s="934">
        <v>3300000</v>
      </c>
      <c r="K40" s="606">
        <v>0.03</v>
      </c>
      <c r="L40" s="884">
        <v>0.39</v>
      </c>
      <c r="M40" s="1418" t="s">
        <v>34</v>
      </c>
      <c r="N40" s="1418" t="s">
        <v>49</v>
      </c>
      <c r="O40" s="1418"/>
      <c r="P40" s="1800" t="s">
        <v>1314</v>
      </c>
      <c r="Q40" s="896"/>
      <c r="R40" s="630"/>
      <c r="S40" s="895"/>
      <c r="T40" s="895"/>
    </row>
    <row r="41" spans="1:20" s="822" customFormat="1" ht="58.9" customHeight="1">
      <c r="A41" s="586">
        <v>3</v>
      </c>
      <c r="B41" s="1424" t="s">
        <v>45</v>
      </c>
      <c r="C41" s="1424"/>
      <c r="D41" s="587">
        <v>0.67</v>
      </c>
      <c r="E41" s="1484" t="s">
        <v>2051</v>
      </c>
      <c r="F41" s="1461" t="s">
        <v>43</v>
      </c>
      <c r="G41" s="1461" t="s">
        <v>43</v>
      </c>
      <c r="H41" s="1461" t="s">
        <v>3849</v>
      </c>
      <c r="I41" s="1461" t="s">
        <v>3850</v>
      </c>
      <c r="J41" s="885">
        <v>33513</v>
      </c>
      <c r="K41" s="606" t="s">
        <v>68</v>
      </c>
      <c r="L41" s="1801" t="s">
        <v>68</v>
      </c>
      <c r="M41" s="1462" t="s">
        <v>34</v>
      </c>
      <c r="N41" s="1422" t="s">
        <v>49</v>
      </c>
      <c r="O41" s="1422"/>
      <c r="P41" s="1512" t="s">
        <v>1329</v>
      </c>
      <c r="Q41" s="623"/>
    </row>
    <row r="42" spans="1:20" s="822" customFormat="1" ht="67.5">
      <c r="A42" s="586">
        <v>1</v>
      </c>
      <c r="B42" s="1424" t="s">
        <v>45</v>
      </c>
      <c r="C42" s="1424"/>
      <c r="D42" s="587">
        <v>20.399999999999999</v>
      </c>
      <c r="E42" s="1484" t="s">
        <v>2053</v>
      </c>
      <c r="F42" s="1461" t="s">
        <v>43</v>
      </c>
      <c r="G42" s="1461" t="s">
        <v>43</v>
      </c>
      <c r="H42" s="1461" t="s">
        <v>3851</v>
      </c>
      <c r="I42" s="1461" t="s">
        <v>3852</v>
      </c>
      <c r="J42" s="885">
        <v>6121740</v>
      </c>
      <c r="K42" s="606">
        <v>0.1</v>
      </c>
      <c r="L42" s="884">
        <v>2.04</v>
      </c>
      <c r="M42" s="1462" t="s">
        <v>83</v>
      </c>
      <c r="N42" s="1791" t="s">
        <v>3853</v>
      </c>
      <c r="O42" s="1791"/>
      <c r="P42" s="1512" t="s">
        <v>1329</v>
      </c>
      <c r="Q42" s="623"/>
    </row>
    <row r="43" spans="1:20" s="822" customFormat="1" ht="50">
      <c r="A43" s="586">
        <v>2</v>
      </c>
      <c r="B43" s="1424" t="s">
        <v>19</v>
      </c>
      <c r="C43" s="1424"/>
      <c r="D43" s="31">
        <v>7.0000000000000007E-2</v>
      </c>
      <c r="E43" s="1484" t="s">
        <v>2057</v>
      </c>
      <c r="F43" s="1461" t="s">
        <v>804</v>
      </c>
      <c r="G43" s="1461" t="s">
        <v>3854</v>
      </c>
      <c r="H43" s="1461" t="s">
        <v>3855</v>
      </c>
      <c r="I43" s="588">
        <v>5</v>
      </c>
      <c r="J43" s="50">
        <v>15000</v>
      </c>
      <c r="K43" s="606">
        <v>0.03</v>
      </c>
      <c r="L43" s="884">
        <v>2E-3</v>
      </c>
      <c r="M43" s="1462" t="s">
        <v>34</v>
      </c>
      <c r="N43" s="1791" t="s">
        <v>3856</v>
      </c>
      <c r="O43" s="1791"/>
      <c r="P43" s="1512" t="s">
        <v>1141</v>
      </c>
      <c r="Q43" s="623" t="s">
        <v>1383</v>
      </c>
    </row>
    <row r="44" spans="1:20" s="822" customFormat="1" ht="67.5">
      <c r="A44" s="586">
        <v>8</v>
      </c>
      <c r="B44" s="1424" t="s">
        <v>45</v>
      </c>
      <c r="C44" s="1424"/>
      <c r="D44" s="29">
        <v>0.5</v>
      </c>
      <c r="E44" s="1770" t="s">
        <v>2074</v>
      </c>
      <c r="F44" s="1436" t="s">
        <v>804</v>
      </c>
      <c r="G44" s="1436" t="s">
        <v>3857</v>
      </c>
      <c r="H44" s="1436" t="s">
        <v>3858</v>
      </c>
      <c r="I44" s="1436" t="s">
        <v>3859</v>
      </c>
      <c r="J44" s="921">
        <v>100000</v>
      </c>
      <c r="K44" s="922">
        <v>0.05</v>
      </c>
      <c r="L44" s="935">
        <v>0.02</v>
      </c>
      <c r="M44" s="1437" t="s">
        <v>34</v>
      </c>
      <c r="N44" s="1802" t="s">
        <v>49</v>
      </c>
      <c r="O44" s="1802"/>
      <c r="P44" s="1793" t="s">
        <v>3860</v>
      </c>
      <c r="Q44" s="623"/>
    </row>
    <row r="45" spans="1:20" s="822" customFormat="1" ht="75">
      <c r="A45" s="586">
        <v>7</v>
      </c>
      <c r="B45" s="1424" t="s">
        <v>45</v>
      </c>
      <c r="C45" s="1424"/>
      <c r="D45" s="832">
        <v>7.55</v>
      </c>
      <c r="E45" s="1473" t="s">
        <v>3861</v>
      </c>
      <c r="F45" s="1507" t="s">
        <v>43</v>
      </c>
      <c r="G45" s="1507" t="s">
        <v>43</v>
      </c>
      <c r="H45" s="1507" t="s">
        <v>3862</v>
      </c>
      <c r="I45" s="847">
        <v>7</v>
      </c>
      <c r="J45" s="887">
        <v>755760</v>
      </c>
      <c r="K45" s="881" t="s">
        <v>68</v>
      </c>
      <c r="L45" s="1803" t="s">
        <v>68</v>
      </c>
      <c r="M45" s="1508" t="s">
        <v>34</v>
      </c>
      <c r="N45" s="1804" t="s">
        <v>3863</v>
      </c>
      <c r="O45" s="1804"/>
      <c r="P45" s="1805" t="s">
        <v>1351</v>
      </c>
      <c r="Q45" s="623"/>
    </row>
    <row r="46" spans="1:20" s="822" customFormat="1" ht="67.5">
      <c r="A46" s="586">
        <v>10</v>
      </c>
      <c r="B46" s="1424" t="s">
        <v>45</v>
      </c>
      <c r="C46" s="1424"/>
      <c r="D46" s="587">
        <v>4.49</v>
      </c>
      <c r="E46" s="1484" t="s">
        <v>2090</v>
      </c>
      <c r="F46" s="1461" t="s">
        <v>43</v>
      </c>
      <c r="G46" s="1461" t="s">
        <v>43</v>
      </c>
      <c r="H46" s="1461" t="s">
        <v>3864</v>
      </c>
      <c r="I46" s="1461" t="s">
        <v>3865</v>
      </c>
      <c r="J46" s="885" t="s">
        <v>1155</v>
      </c>
      <c r="K46" s="606">
        <v>0.1</v>
      </c>
      <c r="L46" s="884">
        <v>0.44</v>
      </c>
      <c r="M46" s="1462" t="s">
        <v>34</v>
      </c>
      <c r="N46" s="1791" t="s">
        <v>3866</v>
      </c>
      <c r="O46" s="1791"/>
      <c r="P46" s="1512" t="s">
        <v>3867</v>
      </c>
      <c r="Q46" s="623" t="s">
        <v>3868</v>
      </c>
    </row>
    <row r="47" spans="1:20" s="822" customFormat="1" ht="75.75" customHeight="1">
      <c r="A47" s="586">
        <v>13</v>
      </c>
      <c r="B47" s="1424" t="s">
        <v>19</v>
      </c>
      <c r="C47" s="1424"/>
      <c r="D47" s="31">
        <v>0.72</v>
      </c>
      <c r="E47" s="1484" t="s">
        <v>3869</v>
      </c>
      <c r="F47" s="1461" t="s">
        <v>43</v>
      </c>
      <c r="G47" s="1461" t="s">
        <v>43</v>
      </c>
      <c r="H47" s="1461" t="s">
        <v>3870</v>
      </c>
      <c r="I47" s="1461" t="s">
        <v>3871</v>
      </c>
      <c r="J47" s="885">
        <v>144000</v>
      </c>
      <c r="K47" s="606">
        <v>0.03</v>
      </c>
      <c r="L47" s="884">
        <v>2E-3</v>
      </c>
      <c r="M47" s="1462" t="s">
        <v>34</v>
      </c>
      <c r="N47" s="1422" t="s">
        <v>49</v>
      </c>
      <c r="O47" s="1422"/>
      <c r="P47" s="1512" t="s">
        <v>1351</v>
      </c>
      <c r="Q47" s="623"/>
    </row>
    <row r="48" spans="1:20" s="822" customFormat="1" ht="80.25" customHeight="1">
      <c r="A48" s="845">
        <v>5</v>
      </c>
      <c r="B48" s="1497" t="s">
        <v>45</v>
      </c>
      <c r="C48" s="1497"/>
      <c r="D48" s="910">
        <v>6.5</v>
      </c>
      <c r="E48" s="1806" t="s">
        <v>2100</v>
      </c>
      <c r="F48" s="1807" t="s">
        <v>43</v>
      </c>
      <c r="G48" s="1807" t="s">
        <v>43</v>
      </c>
      <c r="H48" s="1807" t="s">
        <v>3872</v>
      </c>
      <c r="I48" s="1807" t="s">
        <v>3873</v>
      </c>
      <c r="J48" s="936">
        <v>1950000</v>
      </c>
      <c r="K48" s="937">
        <v>0.08</v>
      </c>
      <c r="L48" s="938">
        <v>0.52</v>
      </c>
      <c r="M48" s="1808" t="s">
        <v>150</v>
      </c>
      <c r="N48" s="1809" t="s">
        <v>3874</v>
      </c>
      <c r="O48" s="2417"/>
      <c r="P48" s="1810" t="s">
        <v>3875</v>
      </c>
      <c r="Q48" s="623" t="s">
        <v>3876</v>
      </c>
    </row>
    <row r="49" spans="1:21" s="822" customFormat="1" ht="72.75" customHeight="1">
      <c r="A49" s="586">
        <v>1</v>
      </c>
      <c r="B49" s="1424" t="s">
        <v>45</v>
      </c>
      <c r="C49" s="1424"/>
      <c r="D49" s="37">
        <v>5</v>
      </c>
      <c r="E49" s="1770" t="s">
        <v>3877</v>
      </c>
      <c r="F49" s="1436" t="s">
        <v>3878</v>
      </c>
      <c r="G49" s="1436" t="s">
        <v>43</v>
      </c>
      <c r="H49" s="1436" t="s">
        <v>3879</v>
      </c>
      <c r="I49" s="1436" t="s">
        <v>3880</v>
      </c>
      <c r="J49" s="939">
        <v>1500000</v>
      </c>
      <c r="K49" s="922">
        <v>0.1</v>
      </c>
      <c r="L49" s="935">
        <v>0.5</v>
      </c>
      <c r="M49" s="1437" t="s">
        <v>3881</v>
      </c>
      <c r="N49" s="1794" t="s">
        <v>3882</v>
      </c>
      <c r="O49" s="1794"/>
      <c r="P49" s="1793" t="s">
        <v>3883</v>
      </c>
      <c r="Q49" s="623"/>
    </row>
    <row r="50" spans="1:21" s="822" customFormat="1" ht="69" customHeight="1">
      <c r="A50" s="586">
        <v>3</v>
      </c>
      <c r="B50" s="1424" t="s">
        <v>63</v>
      </c>
      <c r="C50" s="1424"/>
      <c r="D50" s="37">
        <v>348.94</v>
      </c>
      <c r="E50" s="1770" t="s">
        <v>2120</v>
      </c>
      <c r="F50" s="1436" t="s">
        <v>75</v>
      </c>
      <c r="G50" s="1436" t="s">
        <v>3884</v>
      </c>
      <c r="H50" s="1811" t="s">
        <v>3885</v>
      </c>
      <c r="I50" s="1811" t="s">
        <v>3886</v>
      </c>
      <c r="J50" s="939"/>
      <c r="K50" s="940">
        <v>0.05</v>
      </c>
      <c r="L50" s="935">
        <v>17.440000000000001</v>
      </c>
      <c r="M50" s="1437" t="s">
        <v>150</v>
      </c>
      <c r="N50" s="1794" t="s">
        <v>3887</v>
      </c>
      <c r="O50" s="1794"/>
      <c r="P50" s="1793" t="s">
        <v>1425</v>
      </c>
      <c r="Q50" s="953" t="s">
        <v>68</v>
      </c>
      <c r="R50" s="954"/>
      <c r="S50" s="954"/>
      <c r="T50" s="954"/>
    </row>
    <row r="51" spans="1:21" s="822" customFormat="1" ht="68.25" customHeight="1">
      <c r="A51" s="586">
        <v>4</v>
      </c>
      <c r="B51" s="1424" t="s">
        <v>45</v>
      </c>
      <c r="C51" s="1424"/>
      <c r="D51" s="31">
        <v>5</v>
      </c>
      <c r="E51" s="1484" t="s">
        <v>2124</v>
      </c>
      <c r="F51" s="1461" t="s">
        <v>75</v>
      </c>
      <c r="G51" s="1461" t="s">
        <v>3888</v>
      </c>
      <c r="H51" s="1461" t="s">
        <v>3889</v>
      </c>
      <c r="I51" s="1461" t="s">
        <v>3890</v>
      </c>
      <c r="J51" s="885">
        <v>1000000</v>
      </c>
      <c r="K51" s="606">
        <v>0.05</v>
      </c>
      <c r="L51" s="884">
        <v>0.25</v>
      </c>
      <c r="M51" s="1462" t="s">
        <v>3891</v>
      </c>
      <c r="N51" s="1791" t="s">
        <v>3892</v>
      </c>
      <c r="O51" s="1791"/>
      <c r="P51" s="1512" t="s">
        <v>907</v>
      </c>
      <c r="Q51" s="898"/>
    </row>
    <row r="52" spans="1:21" s="822" customFormat="1" ht="68.25" customHeight="1">
      <c r="A52" s="586">
        <v>2</v>
      </c>
      <c r="B52" s="1424" t="s">
        <v>45</v>
      </c>
      <c r="C52" s="1424"/>
      <c r="D52" s="31">
        <v>0.18</v>
      </c>
      <c r="E52" s="1484" t="s">
        <v>2125</v>
      </c>
      <c r="F52" s="1461" t="s">
        <v>75</v>
      </c>
      <c r="G52" s="1461" t="s">
        <v>3893</v>
      </c>
      <c r="H52" s="1461" t="s">
        <v>3894</v>
      </c>
      <c r="I52" s="1461" t="s">
        <v>3895</v>
      </c>
      <c r="J52" s="50">
        <v>37500</v>
      </c>
      <c r="K52" s="606">
        <v>0.03</v>
      </c>
      <c r="L52" s="884">
        <v>5.0000000000000001E-3</v>
      </c>
      <c r="M52" s="1462" t="s">
        <v>34</v>
      </c>
      <c r="N52" s="1791" t="s">
        <v>3896</v>
      </c>
      <c r="O52" s="1791"/>
      <c r="P52" s="1512" t="s">
        <v>1141</v>
      </c>
      <c r="Q52" s="898"/>
    </row>
    <row r="53" spans="1:21" s="822" customFormat="1" ht="71.25" customHeight="1">
      <c r="A53" s="586">
        <v>1</v>
      </c>
      <c r="B53" s="1424" t="s">
        <v>45</v>
      </c>
      <c r="C53" s="1424"/>
      <c r="D53" s="37">
        <v>13.99</v>
      </c>
      <c r="E53" s="1770" t="s">
        <v>2134</v>
      </c>
      <c r="F53" s="1436" t="s">
        <v>43</v>
      </c>
      <c r="G53" s="1436" t="s">
        <v>43</v>
      </c>
      <c r="H53" s="1436" t="s">
        <v>3897</v>
      </c>
      <c r="I53" s="1436" t="s">
        <v>3898</v>
      </c>
      <c r="J53" s="939">
        <v>500000</v>
      </c>
      <c r="K53" s="922">
        <v>0.03</v>
      </c>
      <c r="L53" s="935">
        <v>0.41</v>
      </c>
      <c r="M53" s="1437" t="s">
        <v>34</v>
      </c>
      <c r="N53" s="1802" t="s">
        <v>49</v>
      </c>
      <c r="O53" s="1802"/>
      <c r="P53" s="1793" t="s">
        <v>3899</v>
      </c>
      <c r="Q53" s="898"/>
    </row>
    <row r="54" spans="1:21" s="822" customFormat="1" ht="78.75" customHeight="1">
      <c r="A54" s="586">
        <v>13</v>
      </c>
      <c r="B54" s="1424" t="s">
        <v>45</v>
      </c>
      <c r="C54" s="1424"/>
      <c r="D54" s="587">
        <v>2</v>
      </c>
      <c r="E54" s="1484" t="s">
        <v>2146</v>
      </c>
      <c r="F54" s="1461" t="s">
        <v>3900</v>
      </c>
      <c r="G54" s="1461" t="s">
        <v>3901</v>
      </c>
      <c r="H54" s="1461" t="s">
        <v>3902</v>
      </c>
      <c r="I54" s="1461" t="s">
        <v>3903</v>
      </c>
      <c r="J54" s="885">
        <v>400000</v>
      </c>
      <c r="K54" s="606">
        <v>0.05</v>
      </c>
      <c r="L54" s="884">
        <v>0.1</v>
      </c>
      <c r="M54" s="1462" t="s">
        <v>34</v>
      </c>
      <c r="N54" s="1422" t="s">
        <v>49</v>
      </c>
      <c r="O54" s="1422"/>
      <c r="P54" s="1512" t="s">
        <v>907</v>
      </c>
      <c r="Q54" s="898"/>
    </row>
    <row r="55" spans="1:21" s="822" customFormat="1" ht="78.75" customHeight="1">
      <c r="A55" s="586">
        <v>11</v>
      </c>
      <c r="B55" s="1424" t="s">
        <v>45</v>
      </c>
      <c r="C55" s="1424"/>
      <c r="D55" s="587">
        <v>3.27</v>
      </c>
      <c r="E55" s="1484" t="s">
        <v>2148</v>
      </c>
      <c r="F55" s="1461" t="s">
        <v>75</v>
      </c>
      <c r="G55" s="1461" t="s">
        <v>3904</v>
      </c>
      <c r="H55" s="1461" t="s">
        <v>3905</v>
      </c>
      <c r="I55" s="1461" t="s">
        <v>3906</v>
      </c>
      <c r="J55" s="885">
        <v>700000</v>
      </c>
      <c r="K55" s="606">
        <v>0.05</v>
      </c>
      <c r="L55" s="884">
        <v>0.16</v>
      </c>
      <c r="M55" s="1462" t="s">
        <v>34</v>
      </c>
      <c r="N55" s="1422" t="s">
        <v>49</v>
      </c>
      <c r="O55" s="1422"/>
      <c r="P55" s="1511" t="s">
        <v>3907</v>
      </c>
      <c r="Q55" s="898"/>
    </row>
    <row r="56" spans="1:21" s="822" customFormat="1" ht="64.5" customHeight="1">
      <c r="A56" s="39">
        <v>7</v>
      </c>
      <c r="B56" s="1424" t="s">
        <v>45</v>
      </c>
      <c r="C56" s="1424"/>
      <c r="D56" s="42">
        <v>4.63</v>
      </c>
      <c r="E56" s="1521" t="s">
        <v>2151</v>
      </c>
      <c r="F56" s="1529" t="s">
        <v>75</v>
      </c>
      <c r="G56" s="1529" t="s">
        <v>3908</v>
      </c>
      <c r="H56" s="1529" t="s">
        <v>3909</v>
      </c>
      <c r="I56" s="1529" t="s">
        <v>3910</v>
      </c>
      <c r="J56" s="941">
        <v>927000</v>
      </c>
      <c r="K56" s="53">
        <v>0.05</v>
      </c>
      <c r="L56" s="942">
        <v>0.23</v>
      </c>
      <c r="M56" s="1530" t="s">
        <v>3911</v>
      </c>
      <c r="N56" s="1586" t="s">
        <v>49</v>
      </c>
      <c r="O56" s="1586"/>
      <c r="P56" s="1537" t="s">
        <v>1141</v>
      </c>
      <c r="Q56" s="898"/>
    </row>
    <row r="57" spans="1:21" s="824" customFormat="1" ht="66" customHeight="1">
      <c r="A57" s="586">
        <v>2</v>
      </c>
      <c r="B57" s="1424" t="s">
        <v>45</v>
      </c>
      <c r="C57" s="1424"/>
      <c r="D57" s="42">
        <v>41.53</v>
      </c>
      <c r="E57" s="1420" t="s">
        <v>3912</v>
      </c>
      <c r="F57" s="1461" t="s">
        <v>75</v>
      </c>
      <c r="G57" s="1461" t="s">
        <v>3913</v>
      </c>
      <c r="H57" s="1461" t="s">
        <v>3914</v>
      </c>
      <c r="I57" s="1461" t="s">
        <v>3915</v>
      </c>
      <c r="J57" s="885">
        <v>5483000</v>
      </c>
      <c r="K57" s="606">
        <v>0.05</v>
      </c>
      <c r="L57" s="884">
        <v>2.74</v>
      </c>
      <c r="M57" s="1462" t="s">
        <v>34</v>
      </c>
      <c r="N57" s="1791" t="s">
        <v>3916</v>
      </c>
      <c r="O57" s="1791"/>
      <c r="P57" s="1512" t="s">
        <v>3917</v>
      </c>
      <c r="Q57" s="623"/>
    </row>
    <row r="58" spans="1:21" s="824" customFormat="1" ht="66" customHeight="1">
      <c r="A58" s="586">
        <v>3</v>
      </c>
      <c r="B58" s="1424" t="s">
        <v>45</v>
      </c>
      <c r="C58" s="1424"/>
      <c r="D58" s="42">
        <v>13.32</v>
      </c>
      <c r="E58" s="1420" t="s">
        <v>3918</v>
      </c>
      <c r="F58" s="1461" t="s">
        <v>75</v>
      </c>
      <c r="G58" s="1461" t="s">
        <v>3913</v>
      </c>
      <c r="H58" s="1461" t="s">
        <v>3914</v>
      </c>
      <c r="I58" s="1461" t="s">
        <v>3915</v>
      </c>
      <c r="J58" s="885">
        <v>5483001</v>
      </c>
      <c r="K58" s="606">
        <v>1.05</v>
      </c>
      <c r="L58" s="884">
        <v>3.74</v>
      </c>
      <c r="M58" s="1462" t="s">
        <v>34</v>
      </c>
      <c r="N58" s="1791" t="s">
        <v>3916</v>
      </c>
      <c r="O58" s="1791"/>
      <c r="P58" s="1512" t="s">
        <v>3917</v>
      </c>
      <c r="Q58" s="623"/>
    </row>
    <row r="59" spans="1:21" s="824" customFormat="1" ht="70.5" customHeight="1">
      <c r="A59" s="586">
        <v>3</v>
      </c>
      <c r="B59" s="1424" t="s">
        <v>45</v>
      </c>
      <c r="C59" s="1424"/>
      <c r="D59" s="912">
        <v>1.35</v>
      </c>
      <c r="E59" s="1812" t="s">
        <v>2171</v>
      </c>
      <c r="F59" s="1813" t="s">
        <v>3919</v>
      </c>
      <c r="G59" s="1813" t="s">
        <v>3920</v>
      </c>
      <c r="H59" s="1813" t="s">
        <v>3921</v>
      </c>
      <c r="I59" s="1813" t="s">
        <v>3922</v>
      </c>
      <c r="J59" s="944">
        <v>270000</v>
      </c>
      <c r="K59" s="945">
        <v>0.03</v>
      </c>
      <c r="L59" s="946">
        <v>0.04</v>
      </c>
      <c r="M59" s="1814" t="s">
        <v>34</v>
      </c>
      <c r="N59" s="1815" t="s">
        <v>3923</v>
      </c>
      <c r="O59" s="1815"/>
      <c r="P59" s="1816" t="s">
        <v>3924</v>
      </c>
      <c r="Q59" s="623"/>
    </row>
    <row r="61" spans="1:21">
      <c r="M61" s="947"/>
      <c r="R61" s="631"/>
      <c r="S61" s="631"/>
      <c r="T61" s="631"/>
      <c r="U61" s="631"/>
    </row>
    <row r="62" spans="1:21">
      <c r="E62" s="913"/>
      <c r="R62" s="631"/>
      <c r="S62" s="631"/>
      <c r="T62" s="631"/>
      <c r="U62" s="631"/>
    </row>
  </sheetData>
  <mergeCells count="2">
    <mergeCell ref="A1:P1"/>
    <mergeCell ref="A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V54"/>
  <sheetViews>
    <sheetView tabSelected="1" topLeftCell="A28" zoomScale="36" zoomScaleNormal="36" workbookViewId="0">
      <selection activeCell="E16" sqref="E16"/>
    </sheetView>
  </sheetViews>
  <sheetFormatPr defaultColWidth="8.81640625" defaultRowHeight="18.5"/>
  <cols>
    <col min="1" max="1" width="8.81640625" style="12"/>
    <col min="2" max="2" width="16.7265625" style="12" customWidth="1"/>
    <col min="3" max="3" width="7.1796875" style="2510" customWidth="1"/>
    <col min="4" max="4" width="24.453125" style="12" customWidth="1"/>
    <col min="5" max="5" width="63.7265625" style="12" customWidth="1"/>
    <col min="6" max="6" width="37.81640625" style="12" bestFit="1" customWidth="1"/>
    <col min="7" max="7" width="39.54296875" style="12" customWidth="1"/>
    <col min="8" max="8" width="38.26953125" style="12" customWidth="1"/>
    <col min="9" max="9" width="37.26953125" style="12" customWidth="1"/>
    <col min="10" max="10" width="31" style="12" customWidth="1"/>
    <col min="11" max="11" width="15.453125" style="12" bestFit="1" customWidth="1"/>
    <col min="12" max="12" width="17.453125" style="12" bestFit="1" customWidth="1"/>
    <col min="13" max="13" width="31.54296875" style="12" customWidth="1"/>
    <col min="14" max="14" width="45.7265625" style="12" customWidth="1"/>
    <col min="15" max="15" width="15.26953125" style="12" customWidth="1"/>
    <col min="16" max="16" width="38.453125" style="12" customWidth="1"/>
    <col min="17" max="17" width="44.1796875" style="2682" customWidth="1"/>
    <col min="18" max="18" width="39.81640625" style="12" customWidth="1"/>
    <col min="19" max="19" width="40.26953125" style="12" customWidth="1"/>
    <col min="20" max="16384" width="8.81640625" style="12"/>
  </cols>
  <sheetData>
    <row r="1" spans="1:22" s="1" customFormat="1" ht="25.5" thickBot="1">
      <c r="A1" s="2963" t="s">
        <v>6049</v>
      </c>
      <c r="B1" s="2964"/>
      <c r="C1" s="2964"/>
      <c r="D1" s="2964"/>
      <c r="E1" s="2964"/>
      <c r="F1" s="2964"/>
      <c r="G1" s="2964"/>
      <c r="H1" s="2964"/>
      <c r="I1" s="2964"/>
      <c r="J1" s="2964"/>
      <c r="K1" s="2964"/>
      <c r="L1" s="2964"/>
      <c r="M1" s="2964"/>
      <c r="N1" s="2964"/>
      <c r="O1" s="2965"/>
      <c r="P1" s="2966"/>
      <c r="Q1" s="2661"/>
      <c r="R1" s="2"/>
      <c r="S1" s="2"/>
      <c r="T1" s="2"/>
    </row>
    <row r="2" spans="1:22" s="2" customFormat="1" ht="25.5" thickBot="1">
      <c r="A2" s="2967" t="s">
        <v>0</v>
      </c>
      <c r="B2" s="2968"/>
      <c r="C2" s="2968"/>
      <c r="D2" s="2968"/>
      <c r="E2" s="2968"/>
      <c r="F2" s="2968"/>
      <c r="G2" s="2968"/>
      <c r="H2" s="2968"/>
      <c r="I2" s="2968"/>
      <c r="J2" s="2968"/>
      <c r="K2" s="2968"/>
      <c r="L2" s="2968"/>
      <c r="M2" s="2968"/>
      <c r="N2" s="2968"/>
      <c r="O2" s="2969"/>
      <c r="P2" s="2970"/>
      <c r="Q2" s="2662"/>
    </row>
    <row r="3" spans="1:22" s="3" customFormat="1" ht="75.5" thickBot="1">
      <c r="A3" s="13" t="s">
        <v>1</v>
      </c>
      <c r="B3" s="14" t="s">
        <v>2</v>
      </c>
      <c r="C3" s="14"/>
      <c r="D3" s="14" t="s">
        <v>5631</v>
      </c>
      <c r="E3" s="14" t="s">
        <v>5</v>
      </c>
      <c r="F3" s="14" t="s">
        <v>6</v>
      </c>
      <c r="G3" s="14" t="s">
        <v>7</v>
      </c>
      <c r="H3" s="44" t="s">
        <v>682</v>
      </c>
      <c r="I3" s="45" t="s">
        <v>1509</v>
      </c>
      <c r="J3" s="14" t="s">
        <v>684</v>
      </c>
      <c r="K3" s="46" t="s">
        <v>685</v>
      </c>
      <c r="L3" s="47" t="s">
        <v>12</v>
      </c>
      <c r="M3" s="2318" t="s">
        <v>5824</v>
      </c>
      <c r="N3" s="14" t="s">
        <v>14</v>
      </c>
      <c r="O3" s="2418" t="s">
        <v>5779</v>
      </c>
      <c r="P3" s="48" t="s">
        <v>15</v>
      </c>
      <c r="R3" s="72" t="s">
        <v>16</v>
      </c>
      <c r="S3" s="2"/>
      <c r="T3" s="2"/>
    </row>
    <row r="4" spans="1:22" s="9" customFormat="1" ht="51" customHeight="1">
      <c r="A4" s="39"/>
      <c r="B4" s="2562"/>
      <c r="C4" s="2562"/>
      <c r="D4" s="40"/>
      <c r="E4" s="2563"/>
      <c r="F4" s="2324"/>
      <c r="G4" s="2324"/>
      <c r="H4" s="2325"/>
      <c r="I4" s="2325"/>
      <c r="J4" s="67"/>
      <c r="K4" s="68"/>
      <c r="L4" s="69"/>
      <c r="M4" s="2324"/>
      <c r="N4" s="1479"/>
      <c r="O4" s="2324"/>
      <c r="P4" s="2326"/>
      <c r="Q4" s="3"/>
      <c r="R4" s="2"/>
      <c r="S4" s="80"/>
      <c r="U4" s="81"/>
      <c r="V4" s="82"/>
    </row>
    <row r="5" spans="1:22" s="2583" customFormat="1" ht="73.150000000000006" customHeight="1">
      <c r="A5" s="828">
        <v>24</v>
      </c>
      <c r="B5" s="1491" t="s">
        <v>19</v>
      </c>
      <c r="C5" s="1491"/>
      <c r="D5" s="2640">
        <v>2.0699999999999998</v>
      </c>
      <c r="E5" s="2648" t="s">
        <v>6046</v>
      </c>
      <c r="F5" s="2649" t="s">
        <v>75</v>
      </c>
      <c r="G5" s="2650" t="s">
        <v>6045</v>
      </c>
      <c r="H5" s="2650" t="s">
        <v>6043</v>
      </c>
      <c r="I5" s="2650" t="s">
        <v>6044</v>
      </c>
      <c r="J5" s="2643">
        <v>415000</v>
      </c>
      <c r="K5" s="2651">
        <v>0.05</v>
      </c>
      <c r="L5" s="2652">
        <v>0.1</v>
      </c>
      <c r="M5" s="2650" t="s">
        <v>6048</v>
      </c>
      <c r="N5" s="2974" t="s">
        <v>49</v>
      </c>
      <c r="O5" s="2974"/>
      <c r="P5" s="2654" t="s">
        <v>68</v>
      </c>
      <c r="Q5" s="2655" t="s">
        <v>5924</v>
      </c>
      <c r="R5" s="2656"/>
      <c r="S5" s="2655"/>
      <c r="T5" s="2477"/>
      <c r="U5" s="2473"/>
      <c r="V5" s="2582"/>
    </row>
    <row r="6" spans="1:22" s="2583" customFormat="1" ht="73.150000000000006" customHeight="1">
      <c r="A6" s="828">
        <v>25</v>
      </c>
      <c r="B6" s="1491" t="s">
        <v>19</v>
      </c>
      <c r="C6" s="1491" t="s">
        <v>68</v>
      </c>
      <c r="D6" s="2659">
        <v>60</v>
      </c>
      <c r="E6" s="2660" t="s">
        <v>6042</v>
      </c>
      <c r="F6" s="2657" t="s">
        <v>6039</v>
      </c>
      <c r="G6" s="2650" t="s">
        <v>6040</v>
      </c>
      <c r="H6" s="2650" t="s">
        <v>6038</v>
      </c>
      <c r="I6" s="2650" t="s">
        <v>5962</v>
      </c>
      <c r="J6" s="2643">
        <v>18000000</v>
      </c>
      <c r="K6" s="2651">
        <v>0.05</v>
      </c>
      <c r="L6" s="2652">
        <v>3</v>
      </c>
      <c r="M6" s="2650" t="s">
        <v>61</v>
      </c>
      <c r="N6" s="2974" t="s">
        <v>49</v>
      </c>
      <c r="O6" s="2974"/>
      <c r="P6" s="2654" t="s">
        <v>62</v>
      </c>
      <c r="Q6" s="2655" t="s">
        <v>5924</v>
      </c>
      <c r="R6" s="2656" t="s">
        <v>6041</v>
      </c>
      <c r="S6" s="2655"/>
      <c r="T6" s="2477"/>
      <c r="U6" s="2473"/>
      <c r="V6" s="2582"/>
    </row>
    <row r="7" spans="1:22" s="2583" customFormat="1" ht="165.75" customHeight="1">
      <c r="A7" s="828">
        <v>14</v>
      </c>
      <c r="B7" s="2361" t="s">
        <v>19</v>
      </c>
      <c r="C7" s="1491" t="s">
        <v>20</v>
      </c>
      <c r="D7" s="2355">
        <v>40.96</v>
      </c>
      <c r="E7" s="1207" t="s">
        <v>5718</v>
      </c>
      <c r="F7" s="830" t="s">
        <v>22</v>
      </c>
      <c r="G7" s="1820" t="s">
        <v>5707</v>
      </c>
      <c r="H7" s="2363" t="s">
        <v>6008</v>
      </c>
      <c r="I7" s="2363" t="s">
        <v>6009</v>
      </c>
      <c r="J7" s="861">
        <v>8193000</v>
      </c>
      <c r="K7" s="862">
        <v>0.05</v>
      </c>
      <c r="L7" s="829">
        <v>2.04</v>
      </c>
      <c r="M7" s="1820" t="s">
        <v>5709</v>
      </c>
      <c r="N7" s="1821" t="s">
        <v>6010</v>
      </c>
      <c r="O7" s="1820" t="s">
        <v>5780</v>
      </c>
      <c r="P7" s="1496" t="s">
        <v>5710</v>
      </c>
      <c r="Q7" s="2356" t="s">
        <v>5924</v>
      </c>
      <c r="R7" s="2357" t="s">
        <v>5720</v>
      </c>
      <c r="S7" s="2358"/>
      <c r="T7" s="2359"/>
      <c r="U7" s="2473"/>
      <c r="V7" s="2582"/>
    </row>
    <row r="8" spans="1:22" s="2583" customFormat="1" ht="59.25" customHeight="1">
      <c r="A8" s="828">
        <v>17</v>
      </c>
      <c r="B8" s="1491" t="s">
        <v>19</v>
      </c>
      <c r="C8" s="367" t="s">
        <v>29</v>
      </c>
      <c r="D8" s="1820">
        <v>3.25</v>
      </c>
      <c r="E8" s="1207" t="s">
        <v>5932</v>
      </c>
      <c r="F8" s="1818" t="s">
        <v>5935</v>
      </c>
      <c r="G8" s="1820" t="s">
        <v>5934</v>
      </c>
      <c r="H8" s="1820" t="s">
        <v>6014</v>
      </c>
      <c r="I8" s="1820" t="s">
        <v>6015</v>
      </c>
      <c r="J8" s="2575">
        <v>650000</v>
      </c>
      <c r="K8" s="2576">
        <v>0.1</v>
      </c>
      <c r="L8" s="1820">
        <v>0.32</v>
      </c>
      <c r="M8" s="1820" t="s">
        <v>34</v>
      </c>
      <c r="N8" s="2578" t="s">
        <v>6011</v>
      </c>
      <c r="O8" s="1820" t="s">
        <v>5781</v>
      </c>
      <c r="P8" s="1496" t="s">
        <v>5957</v>
      </c>
      <c r="Q8" s="2663" t="s">
        <v>5924</v>
      </c>
      <c r="R8" s="2480"/>
      <c r="S8" s="2473"/>
      <c r="T8" s="2477"/>
      <c r="U8" s="2473"/>
      <c r="V8" s="2582"/>
    </row>
    <row r="9" spans="1:22" s="2583" customFormat="1" ht="92.25" customHeight="1">
      <c r="A9" s="828">
        <v>4</v>
      </c>
      <c r="B9" s="2361" t="s">
        <v>19</v>
      </c>
      <c r="C9" s="367" t="s">
        <v>20</v>
      </c>
      <c r="D9" s="2355">
        <v>6.93</v>
      </c>
      <c r="E9" s="1207" t="s">
        <v>5834</v>
      </c>
      <c r="F9" s="1818" t="s">
        <v>5836</v>
      </c>
      <c r="G9" s="1818" t="s">
        <v>5837</v>
      </c>
      <c r="H9" s="1820" t="s">
        <v>5869</v>
      </c>
      <c r="I9" s="1820" t="s">
        <v>5886</v>
      </c>
      <c r="J9" s="2511">
        <v>1386000</v>
      </c>
      <c r="K9" s="862">
        <v>0.05</v>
      </c>
      <c r="L9" s="829">
        <v>0.34</v>
      </c>
      <c r="M9" s="1820" t="s">
        <v>5835</v>
      </c>
      <c r="N9" s="1821" t="s">
        <v>5887</v>
      </c>
      <c r="O9" s="1820" t="s">
        <v>5780</v>
      </c>
      <c r="P9" s="1496" t="s">
        <v>28</v>
      </c>
      <c r="Q9" s="2663" t="s">
        <v>5924</v>
      </c>
      <c r="R9" s="2509" t="s">
        <v>5840</v>
      </c>
      <c r="S9" s="2473"/>
      <c r="T9" s="2477"/>
      <c r="U9" s="2473"/>
      <c r="V9" s="2582"/>
    </row>
    <row r="10" spans="1:22" s="2583" customFormat="1" ht="60" customHeight="1">
      <c r="A10" s="828">
        <v>8</v>
      </c>
      <c r="B10" s="1491" t="s">
        <v>19</v>
      </c>
      <c r="C10" s="1491" t="s">
        <v>29</v>
      </c>
      <c r="D10" s="2355">
        <v>2.5</v>
      </c>
      <c r="E10" s="1207" t="s">
        <v>5864</v>
      </c>
      <c r="F10" s="830" t="s">
        <v>43</v>
      </c>
      <c r="G10" s="1820" t="s">
        <v>43</v>
      </c>
      <c r="H10" s="1820" t="s">
        <v>5982</v>
      </c>
      <c r="I10" s="1820" t="s">
        <v>5983</v>
      </c>
      <c r="J10" s="861">
        <v>500000</v>
      </c>
      <c r="K10" s="862">
        <v>0.1</v>
      </c>
      <c r="L10" s="829">
        <v>0.25</v>
      </c>
      <c r="M10" s="1820" t="s">
        <v>5867</v>
      </c>
      <c r="N10" s="1821" t="s">
        <v>5989</v>
      </c>
      <c r="O10" s="1820" t="s">
        <v>5780</v>
      </c>
      <c r="P10" s="1496" t="s">
        <v>28</v>
      </c>
      <c r="Q10" s="2356" t="s">
        <v>5924</v>
      </c>
      <c r="R10" s="2581"/>
      <c r="S10" s="2358"/>
      <c r="T10" s="2359"/>
      <c r="U10" s="2473"/>
      <c r="V10" s="2582"/>
    </row>
    <row r="11" spans="1:22" s="2583" customFormat="1" ht="59.25" customHeight="1">
      <c r="A11" s="2626">
        <v>22</v>
      </c>
      <c r="B11" s="1491" t="s">
        <v>45</v>
      </c>
      <c r="C11" s="2606"/>
      <c r="D11" s="2612">
        <v>52</v>
      </c>
      <c r="E11" s="2608" t="s">
        <v>6016</v>
      </c>
      <c r="F11" s="2613" t="s">
        <v>6018</v>
      </c>
      <c r="G11" s="2637" t="s">
        <v>6022</v>
      </c>
      <c r="H11" s="2637" t="s">
        <v>6021</v>
      </c>
      <c r="I11" s="2637" t="s">
        <v>6027</v>
      </c>
      <c r="J11" s="2611">
        <v>15600000</v>
      </c>
      <c r="K11" s="2609">
        <v>0.05</v>
      </c>
      <c r="L11" s="2607">
        <v>2.6</v>
      </c>
      <c r="M11" s="2607" t="s">
        <v>695</v>
      </c>
      <c r="N11" s="2638" t="s">
        <v>49</v>
      </c>
      <c r="O11" s="2636"/>
      <c r="P11" s="2610" t="s">
        <v>6019</v>
      </c>
      <c r="Q11" s="2663" t="s">
        <v>5924</v>
      </c>
      <c r="R11" s="2480"/>
      <c r="S11" s="2473"/>
      <c r="T11" s="2477"/>
      <c r="U11" s="2473"/>
      <c r="V11" s="2582"/>
    </row>
    <row r="12" spans="1:22" s="2583" customFormat="1" ht="59.25" customHeight="1">
      <c r="A12" s="828">
        <v>23</v>
      </c>
      <c r="B12" s="1491" t="s">
        <v>45</v>
      </c>
      <c r="C12" s="2606"/>
      <c r="D12" s="2607">
        <v>27.5</v>
      </c>
      <c r="E12" s="2635" t="s">
        <v>5980</v>
      </c>
      <c r="F12" s="2613" t="s">
        <v>22</v>
      </c>
      <c r="G12" s="2607" t="s">
        <v>5981</v>
      </c>
      <c r="H12" s="2607" t="s">
        <v>5963</v>
      </c>
      <c r="I12" s="2607" t="s">
        <v>5965</v>
      </c>
      <c r="J12" s="2611">
        <v>5500000</v>
      </c>
      <c r="K12" s="2609">
        <v>0.05</v>
      </c>
      <c r="L12" s="2607">
        <v>1.375</v>
      </c>
      <c r="M12" s="2607" t="s">
        <v>61</v>
      </c>
      <c r="N12" s="2972" t="s">
        <v>49</v>
      </c>
      <c r="O12" s="2973"/>
      <c r="P12" s="2610" t="s">
        <v>6000</v>
      </c>
      <c r="Q12" s="2663" t="s">
        <v>6030</v>
      </c>
      <c r="R12" s="2480"/>
      <c r="S12" s="2473"/>
      <c r="T12" s="2477"/>
      <c r="U12" s="2473"/>
      <c r="V12" s="2582"/>
    </row>
    <row r="13" spans="1:22" s="2583" customFormat="1" ht="75.75" customHeight="1">
      <c r="A13" s="828">
        <v>3</v>
      </c>
      <c r="B13" s="1491" t="s">
        <v>63</v>
      </c>
      <c r="C13" s="2606"/>
      <c r="D13" s="2627">
        <v>0.91</v>
      </c>
      <c r="E13" s="2628" t="s">
        <v>5990</v>
      </c>
      <c r="F13" s="2629" t="s">
        <v>43</v>
      </c>
      <c r="G13" s="2630" t="s">
        <v>43</v>
      </c>
      <c r="H13" s="2630" t="s">
        <v>5964</v>
      </c>
      <c r="I13" s="2630" t="s">
        <v>5964</v>
      </c>
      <c r="J13" s="2631">
        <v>182767</v>
      </c>
      <c r="K13" s="2632">
        <v>0.05</v>
      </c>
      <c r="L13" s="2630">
        <v>4.4999999999999998E-2</v>
      </c>
      <c r="M13" s="2630" t="s">
        <v>5997</v>
      </c>
      <c r="N13" s="2634" t="s">
        <v>5998</v>
      </c>
      <c r="O13" s="2578"/>
      <c r="P13" s="2633" t="s">
        <v>5999</v>
      </c>
      <c r="Q13" s="2664" t="s">
        <v>6006</v>
      </c>
      <c r="R13" s="2480"/>
      <c r="S13" s="2473"/>
      <c r="T13" s="2477"/>
      <c r="U13" s="2473"/>
      <c r="V13" s="2582"/>
    </row>
    <row r="14" spans="1:22" s="2583" customFormat="1" ht="88.5" customHeight="1">
      <c r="A14" s="828">
        <v>22</v>
      </c>
      <c r="B14" s="1491" t="s">
        <v>45</v>
      </c>
      <c r="C14" s="367"/>
      <c r="D14" s="2362">
        <v>8.3699999999999992</v>
      </c>
      <c r="E14" s="2601" t="s">
        <v>120</v>
      </c>
      <c r="F14" s="1492" t="s">
        <v>22</v>
      </c>
      <c r="G14" s="2602" t="s">
        <v>121</v>
      </c>
      <c r="H14" s="2602" t="s">
        <v>5860</v>
      </c>
      <c r="I14" s="2602" t="s">
        <v>5811</v>
      </c>
      <c r="J14" s="861">
        <v>838000</v>
      </c>
      <c r="K14" s="2603">
        <v>0.05</v>
      </c>
      <c r="L14" s="2604">
        <v>0.41</v>
      </c>
      <c r="M14" s="2605" t="s">
        <v>34</v>
      </c>
      <c r="N14" s="2971" t="s">
        <v>5968</v>
      </c>
      <c r="O14" s="2971"/>
      <c r="P14" s="1496" t="s">
        <v>5969</v>
      </c>
      <c r="Q14" s="2356" t="s">
        <v>5970</v>
      </c>
      <c r="R14" s="2357"/>
      <c r="S14" s="2358"/>
      <c r="T14" s="2477"/>
      <c r="U14" s="2473"/>
      <c r="V14" s="2582"/>
    </row>
    <row r="15" spans="1:22" s="2583" customFormat="1" ht="66.75" customHeight="1">
      <c r="A15" s="828">
        <v>23</v>
      </c>
      <c r="B15" s="1491" t="s">
        <v>45</v>
      </c>
      <c r="C15" s="367"/>
      <c r="D15" s="2362">
        <v>10.43</v>
      </c>
      <c r="E15" s="2601" t="s">
        <v>124</v>
      </c>
      <c r="F15" s="1492" t="s">
        <v>22</v>
      </c>
      <c r="G15" s="2602" t="s">
        <v>121</v>
      </c>
      <c r="H15" s="2602" t="s">
        <v>5860</v>
      </c>
      <c r="I15" s="2602" t="s">
        <v>5811</v>
      </c>
      <c r="J15" s="861">
        <v>1000000</v>
      </c>
      <c r="K15" s="2603">
        <v>0.05</v>
      </c>
      <c r="L15" s="2604">
        <v>0.52</v>
      </c>
      <c r="M15" s="2605" t="s">
        <v>34</v>
      </c>
      <c r="N15" s="2971" t="s">
        <v>5968</v>
      </c>
      <c r="O15" s="2971"/>
      <c r="P15" s="1496" t="s">
        <v>5969</v>
      </c>
      <c r="Q15" s="2665" t="s">
        <v>5970</v>
      </c>
      <c r="R15" s="2493"/>
      <c r="S15" s="2494"/>
      <c r="T15" s="2477"/>
      <c r="U15" s="2473"/>
      <c r="V15" s="2582"/>
    </row>
    <row r="16" spans="1:22" s="4" customFormat="1" ht="70.5" customHeight="1">
      <c r="A16" s="15">
        <v>21</v>
      </c>
      <c r="B16" s="1491" t="s">
        <v>19</v>
      </c>
      <c r="C16" s="16"/>
      <c r="D16" s="1444">
        <v>12</v>
      </c>
      <c r="E16" s="41" t="s">
        <v>5918</v>
      </c>
      <c r="F16" s="2568">
        <v>46079.625</v>
      </c>
      <c r="G16" s="1464">
        <v>46080.5</v>
      </c>
      <c r="H16" s="1444" t="s">
        <v>5919</v>
      </c>
      <c r="I16" s="1444" t="s">
        <v>5920</v>
      </c>
      <c r="J16" s="1246">
        <v>2400000</v>
      </c>
      <c r="K16" s="2569">
        <v>0.1</v>
      </c>
      <c r="L16" s="1444">
        <v>1.2</v>
      </c>
      <c r="M16" s="1444" t="s">
        <v>878</v>
      </c>
      <c r="N16" s="2572" t="s">
        <v>49</v>
      </c>
      <c r="O16" s="2572"/>
      <c r="P16" s="1443" t="s">
        <v>5921</v>
      </c>
      <c r="Q16" s="2666" t="s">
        <v>5922</v>
      </c>
      <c r="R16" s="2570"/>
      <c r="S16" s="1184"/>
      <c r="T16" s="2571"/>
      <c r="U16" s="1184"/>
      <c r="V16" s="1271"/>
    </row>
    <row r="17" spans="1:22" s="9" customFormat="1" ht="51" customHeight="1">
      <c r="A17" s="39"/>
      <c r="B17" s="2562" t="s">
        <v>68</v>
      </c>
      <c r="C17" s="2562"/>
      <c r="D17" s="40">
        <v>4.99</v>
      </c>
      <c r="E17" s="2563" t="s">
        <v>5913</v>
      </c>
      <c r="F17" s="1478" t="s">
        <v>5747</v>
      </c>
      <c r="G17" s="2565">
        <v>46083.458333333336</v>
      </c>
      <c r="H17" s="2325" t="s">
        <v>5916</v>
      </c>
      <c r="I17" s="2325" t="s">
        <v>5917</v>
      </c>
      <c r="J17" s="67">
        <v>998000</v>
      </c>
      <c r="K17" s="68">
        <v>0.05</v>
      </c>
      <c r="L17" s="69">
        <f>D17*K17</f>
        <v>0.24950000000000003</v>
      </c>
      <c r="M17" s="2324"/>
      <c r="N17" s="1479" t="s">
        <v>49</v>
      </c>
      <c r="O17" s="2324"/>
      <c r="P17" s="2326" t="s">
        <v>68</v>
      </c>
      <c r="Q17" s="2573" t="s">
        <v>5922</v>
      </c>
      <c r="R17" s="2"/>
      <c r="S17" s="80"/>
      <c r="U17" s="81"/>
      <c r="V17" s="82"/>
    </row>
    <row r="18" spans="1:22" s="9" customFormat="1" ht="51" customHeight="1">
      <c r="A18" s="39"/>
      <c r="B18" s="2562" t="s">
        <v>68</v>
      </c>
      <c r="C18" s="2562"/>
      <c r="D18" s="40">
        <v>25</v>
      </c>
      <c r="E18" s="2563" t="s">
        <v>5908</v>
      </c>
      <c r="F18" s="2324" t="s">
        <v>5911</v>
      </c>
      <c r="G18" s="2324" t="s">
        <v>5911</v>
      </c>
      <c r="H18" s="2325" t="s">
        <v>5910</v>
      </c>
      <c r="I18" s="2325" t="s">
        <v>5912</v>
      </c>
      <c r="J18" s="67">
        <v>5000000</v>
      </c>
      <c r="K18" s="68" t="s">
        <v>43</v>
      </c>
      <c r="L18" s="69" t="s">
        <v>43</v>
      </c>
      <c r="M18" s="2324"/>
      <c r="N18" s="1479" t="s">
        <v>49</v>
      </c>
      <c r="O18" s="2324"/>
      <c r="P18" s="2326" t="s">
        <v>68</v>
      </c>
      <c r="Q18" s="3" t="s">
        <v>5923</v>
      </c>
      <c r="R18" s="2"/>
      <c r="S18" s="80"/>
      <c r="U18" s="81"/>
      <c r="V18" s="82"/>
    </row>
    <row r="19" spans="1:22" s="9" customFormat="1" ht="51" customHeight="1">
      <c r="A19" s="39"/>
      <c r="B19" s="1491" t="s">
        <v>19</v>
      </c>
      <c r="C19" s="2562"/>
      <c r="D19" s="40">
        <v>0.27</v>
      </c>
      <c r="E19" s="2563" t="s">
        <v>5903</v>
      </c>
      <c r="F19" s="1478" t="s">
        <v>5747</v>
      </c>
      <c r="G19" s="2324" t="s">
        <v>5907</v>
      </c>
      <c r="H19" s="2325" t="s">
        <v>5905</v>
      </c>
      <c r="I19" s="2325" t="s">
        <v>5906</v>
      </c>
      <c r="J19" s="67">
        <v>54000</v>
      </c>
      <c r="K19" s="68">
        <v>0.03</v>
      </c>
      <c r="L19" s="69">
        <f>D19*K19</f>
        <v>8.0999999999999996E-3</v>
      </c>
      <c r="M19" s="2324" t="s">
        <v>34</v>
      </c>
      <c r="N19" s="1479" t="s">
        <v>49</v>
      </c>
      <c r="O19" s="2324"/>
      <c r="P19" s="2326" t="s">
        <v>68</v>
      </c>
      <c r="Q19" s="2573" t="s">
        <v>5922</v>
      </c>
      <c r="R19" s="2"/>
      <c r="S19" s="80"/>
      <c r="U19" s="81"/>
      <c r="V19" s="82"/>
    </row>
    <row r="20" spans="1:22" s="9" customFormat="1" ht="51" customHeight="1">
      <c r="A20" s="39"/>
      <c r="B20" s="1491" t="s">
        <v>19</v>
      </c>
      <c r="C20" s="2562"/>
      <c r="D20" s="2564">
        <v>1.44</v>
      </c>
      <c r="E20" s="2563" t="s">
        <v>5899</v>
      </c>
      <c r="F20" s="2324" t="s">
        <v>5893</v>
      </c>
      <c r="G20" s="2324" t="s">
        <v>5893</v>
      </c>
      <c r="H20" s="2325" t="s">
        <v>5901</v>
      </c>
      <c r="I20" s="2325" t="s">
        <v>5902</v>
      </c>
      <c r="J20" s="67">
        <v>288000</v>
      </c>
      <c r="K20" s="68">
        <v>0.1</v>
      </c>
      <c r="L20" s="69">
        <v>0.14000000000000001</v>
      </c>
      <c r="M20" s="2324" t="s">
        <v>150</v>
      </c>
      <c r="N20" s="1479" t="s">
        <v>49</v>
      </c>
      <c r="O20" s="2324"/>
      <c r="P20" s="2326" t="s">
        <v>68</v>
      </c>
      <c r="Q20" s="2573" t="s">
        <v>5922</v>
      </c>
      <c r="R20" s="2"/>
      <c r="S20" s="80"/>
      <c r="U20" s="81"/>
      <c r="V20" s="82"/>
    </row>
    <row r="21" spans="1:22" s="9" customFormat="1" ht="51" customHeight="1">
      <c r="A21" s="39"/>
      <c r="B21" s="1491" t="s">
        <v>19</v>
      </c>
      <c r="C21" s="2562"/>
      <c r="D21" s="40">
        <v>0.37</v>
      </c>
      <c r="E21" s="41" t="s">
        <v>5894</v>
      </c>
      <c r="F21" s="1478" t="s">
        <v>5747</v>
      </c>
      <c r="G21" s="2324" t="s">
        <v>5895</v>
      </c>
      <c r="H21" s="2324" t="s">
        <v>5896</v>
      </c>
      <c r="I21" s="2325" t="s">
        <v>5897</v>
      </c>
      <c r="J21" s="67">
        <v>75000</v>
      </c>
      <c r="K21" s="68" t="s">
        <v>43</v>
      </c>
      <c r="L21" s="69" t="s">
        <v>43</v>
      </c>
      <c r="M21" s="2324" t="s">
        <v>34</v>
      </c>
      <c r="N21" s="1479" t="s">
        <v>49</v>
      </c>
      <c r="O21" s="2324"/>
      <c r="P21" s="2326" t="s">
        <v>68</v>
      </c>
      <c r="Q21" s="2573" t="s">
        <v>5922</v>
      </c>
      <c r="R21" s="2"/>
      <c r="S21" s="80"/>
      <c r="U21" s="81"/>
      <c r="V21" s="82"/>
    </row>
    <row r="22" spans="1:22" s="9" customFormat="1" ht="51" customHeight="1">
      <c r="A22" s="39"/>
      <c r="B22" s="2562" t="s">
        <v>68</v>
      </c>
      <c r="C22" s="2562"/>
      <c r="D22" s="40">
        <v>5</v>
      </c>
      <c r="E22" s="41" t="s">
        <v>5892</v>
      </c>
      <c r="F22" s="2324" t="s">
        <v>5893</v>
      </c>
      <c r="G22" s="2324" t="s">
        <v>5893</v>
      </c>
      <c r="H22" s="2325" t="s">
        <v>5890</v>
      </c>
      <c r="I22" s="2325" t="s">
        <v>5891</v>
      </c>
      <c r="J22" s="67">
        <v>1000000</v>
      </c>
      <c r="K22" s="68">
        <v>0.1</v>
      </c>
      <c r="L22" s="69">
        <v>0.5</v>
      </c>
      <c r="M22" s="2324"/>
      <c r="N22" s="1479" t="s">
        <v>49</v>
      </c>
      <c r="O22" s="2324"/>
      <c r="P22" s="2326" t="s">
        <v>68</v>
      </c>
      <c r="Q22" s="2573" t="s">
        <v>5922</v>
      </c>
      <c r="R22" s="2"/>
      <c r="S22" s="80"/>
      <c r="U22" s="81"/>
      <c r="V22" s="82"/>
    </row>
    <row r="23" spans="1:22" s="899" customFormat="1" ht="101.25" customHeight="1">
      <c r="A23" s="828">
        <v>4</v>
      </c>
      <c r="B23" s="1491" t="s">
        <v>19</v>
      </c>
      <c r="C23" s="1491" t="s">
        <v>68</v>
      </c>
      <c r="D23" s="2364">
        <v>4.99</v>
      </c>
      <c r="E23" s="2365" t="s">
        <v>5814</v>
      </c>
      <c r="F23" s="2476" t="s">
        <v>43</v>
      </c>
      <c r="G23" s="2367" t="s">
        <v>43</v>
      </c>
      <c r="H23" s="2368" t="s">
        <v>5832</v>
      </c>
      <c r="I23" s="2368" t="s">
        <v>5833</v>
      </c>
      <c r="J23" s="2360">
        <v>450000</v>
      </c>
      <c r="K23" s="2369">
        <v>0.1</v>
      </c>
      <c r="L23" s="2370">
        <v>0.49</v>
      </c>
      <c r="M23" s="2367" t="s">
        <v>83</v>
      </c>
      <c r="N23" s="2475" t="s">
        <v>5831</v>
      </c>
      <c r="O23" s="2367" t="s">
        <v>5781</v>
      </c>
      <c r="P23" s="2371" t="s">
        <v>5838</v>
      </c>
      <c r="Q23" s="2667" t="s">
        <v>283</v>
      </c>
      <c r="R23" s="2356" t="s">
        <v>5873</v>
      </c>
      <c r="S23" s="2358"/>
      <c r="T23" s="2359"/>
      <c r="U23" s="1185"/>
      <c r="V23" s="1285"/>
    </row>
    <row r="24" spans="1:22" s="899" customFormat="1" ht="55.15" customHeight="1">
      <c r="A24" s="828">
        <v>3</v>
      </c>
      <c r="B24" s="2361" t="s">
        <v>19</v>
      </c>
      <c r="C24" s="1491" t="s">
        <v>20</v>
      </c>
      <c r="D24" s="2355">
        <v>2.5</v>
      </c>
      <c r="E24" s="2474" t="s">
        <v>5816</v>
      </c>
      <c r="F24" s="1818" t="s">
        <v>43</v>
      </c>
      <c r="G24" s="1820" t="s">
        <v>43</v>
      </c>
      <c r="H24" s="1820" t="s">
        <v>5806</v>
      </c>
      <c r="I24" s="1820" t="s">
        <v>5807</v>
      </c>
      <c r="J24" s="861">
        <v>500000</v>
      </c>
      <c r="K24" s="862">
        <v>0.05</v>
      </c>
      <c r="L24" s="829">
        <v>0.12</v>
      </c>
      <c r="M24" s="1820" t="s">
        <v>878</v>
      </c>
      <c r="N24" s="1820" t="s">
        <v>49</v>
      </c>
      <c r="O24" s="2432" t="s">
        <v>5780</v>
      </c>
      <c r="P24" s="1494" t="s">
        <v>5710</v>
      </c>
      <c r="Q24" s="2668" t="s">
        <v>5874</v>
      </c>
      <c r="R24" s="1289"/>
      <c r="S24" s="1288" t="s">
        <v>5830</v>
      </c>
      <c r="T24" s="1292" t="s">
        <v>5844</v>
      </c>
      <c r="U24" s="1185"/>
      <c r="V24" s="1285"/>
    </row>
    <row r="25" spans="1:22" s="899" customFormat="1" ht="46.15" customHeight="1">
      <c r="A25" s="30">
        <v>6</v>
      </c>
      <c r="B25" s="1644" t="s">
        <v>19</v>
      </c>
      <c r="C25" s="385"/>
      <c r="D25" s="2378">
        <v>1.75</v>
      </c>
      <c r="E25" s="2382" t="s">
        <v>5769</v>
      </c>
      <c r="F25" s="1478" t="s">
        <v>43</v>
      </c>
      <c r="G25" s="1479" t="s">
        <v>43</v>
      </c>
      <c r="H25" s="1479" t="s">
        <v>5735</v>
      </c>
      <c r="I25" s="1479" t="s">
        <v>5736</v>
      </c>
      <c r="J25" s="2383">
        <v>431633</v>
      </c>
      <c r="K25" s="2380">
        <v>0.05</v>
      </c>
      <c r="L25" s="645">
        <v>0.08</v>
      </c>
      <c r="M25" s="645" t="s">
        <v>808</v>
      </c>
      <c r="N25" s="1480" t="s">
        <v>5771</v>
      </c>
      <c r="O25" s="1481"/>
      <c r="P25" s="2379" t="s">
        <v>5710</v>
      </c>
      <c r="Q25" s="2669" t="s">
        <v>5773</v>
      </c>
      <c r="S25" s="1185"/>
      <c r="T25" s="1284"/>
      <c r="U25" s="1185"/>
      <c r="V25" s="1285"/>
    </row>
    <row r="26" spans="1:22" s="899" customFormat="1" ht="47.5" customHeight="1">
      <c r="A26" s="30">
        <v>8</v>
      </c>
      <c r="B26" s="1644" t="s">
        <v>45</v>
      </c>
      <c r="C26" s="1449" t="s">
        <v>29</v>
      </c>
      <c r="D26" s="587">
        <v>0.4</v>
      </c>
      <c r="E26" s="903" t="s">
        <v>90</v>
      </c>
      <c r="F26" s="35" t="s">
        <v>43</v>
      </c>
      <c r="G26" s="1482" t="s">
        <v>43</v>
      </c>
      <c r="H26" s="1483" t="s">
        <v>91</v>
      </c>
      <c r="I26" s="1483" t="s">
        <v>92</v>
      </c>
      <c r="J26" s="863">
        <v>200000</v>
      </c>
      <c r="K26" s="919">
        <v>0.03</v>
      </c>
      <c r="L26" s="920">
        <v>0.01</v>
      </c>
      <c r="M26" s="1482" t="s">
        <v>34</v>
      </c>
      <c r="N26" s="1482" t="s">
        <v>49</v>
      </c>
      <c r="O26" s="2385"/>
      <c r="P26" s="1650" t="s">
        <v>28</v>
      </c>
      <c r="Q26" s="2670" t="s">
        <v>5776</v>
      </c>
      <c r="S26" s="1288"/>
      <c r="T26" s="1292"/>
      <c r="U26" s="1185"/>
      <c r="V26" s="1285"/>
    </row>
    <row r="27" spans="1:22" s="899" customFormat="1" ht="92.25" customHeight="1">
      <c r="A27" s="30">
        <v>15</v>
      </c>
      <c r="B27" s="1644" t="s">
        <v>19</v>
      </c>
      <c r="C27" s="1449" t="s">
        <v>20</v>
      </c>
      <c r="D27" s="587">
        <v>9.25</v>
      </c>
      <c r="E27" s="903" t="s">
        <v>99</v>
      </c>
      <c r="F27" s="35" t="s">
        <v>100</v>
      </c>
      <c r="G27" s="1482" t="s">
        <v>101</v>
      </c>
      <c r="H27" s="1483" t="s">
        <v>102</v>
      </c>
      <c r="I27" s="1483" t="s">
        <v>103</v>
      </c>
      <c r="J27" s="863">
        <v>925000</v>
      </c>
      <c r="K27" s="919">
        <v>0.1</v>
      </c>
      <c r="L27" s="920">
        <v>0.92</v>
      </c>
      <c r="M27" s="1482" t="s">
        <v>34</v>
      </c>
      <c r="N27" s="1482" t="s">
        <v>49</v>
      </c>
      <c r="O27" s="2385"/>
      <c r="P27" s="1650" t="s">
        <v>98</v>
      </c>
      <c r="Q27" s="2670" t="s">
        <v>5777</v>
      </c>
      <c r="S27" s="1288"/>
      <c r="T27" s="1292"/>
      <c r="U27" s="1185"/>
      <c r="V27" s="1285"/>
    </row>
    <row r="28" spans="1:22" s="2353" customFormat="1" ht="56.25" customHeight="1">
      <c r="A28" s="30">
        <v>7</v>
      </c>
      <c r="B28" s="1644" t="s">
        <v>68</v>
      </c>
      <c r="C28" s="385"/>
      <c r="D28" s="2378">
        <v>11.07</v>
      </c>
      <c r="E28" s="2382" t="s">
        <v>5745</v>
      </c>
      <c r="F28" s="1478" t="s">
        <v>5747</v>
      </c>
      <c r="G28" s="1479" t="s">
        <v>5746</v>
      </c>
      <c r="H28" s="1479" t="s">
        <v>5749</v>
      </c>
      <c r="I28" s="1479" t="s">
        <v>5750</v>
      </c>
      <c r="J28" s="2383">
        <v>500000</v>
      </c>
      <c r="K28" s="2380">
        <v>0.05</v>
      </c>
      <c r="L28" s="645">
        <v>0.55000000000000004</v>
      </c>
      <c r="M28" s="645" t="s">
        <v>34</v>
      </c>
      <c r="N28" s="1479" t="s">
        <v>49</v>
      </c>
      <c r="O28" s="2429"/>
      <c r="P28" s="2384" t="s">
        <v>5767</v>
      </c>
      <c r="Q28" s="2671" t="s">
        <v>5774</v>
      </c>
      <c r="T28" s="1394"/>
      <c r="V28" s="2354"/>
    </row>
    <row r="29" spans="1:22" s="899" customFormat="1" ht="62.25" customHeight="1">
      <c r="A29" s="30">
        <v>8</v>
      </c>
      <c r="B29" s="1644" t="s">
        <v>68</v>
      </c>
      <c r="C29" s="385"/>
      <c r="D29" s="2378">
        <v>10</v>
      </c>
      <c r="E29" s="2382" t="s">
        <v>5737</v>
      </c>
      <c r="F29" s="1478" t="s">
        <v>5740</v>
      </c>
      <c r="G29" s="1479" t="s">
        <v>5739</v>
      </c>
      <c r="H29" s="1479" t="s">
        <v>5741</v>
      </c>
      <c r="I29" s="1479" t="s">
        <v>5742</v>
      </c>
      <c r="J29" s="2383">
        <v>2000000</v>
      </c>
      <c r="K29" s="2380">
        <v>0.05</v>
      </c>
      <c r="L29" s="645">
        <f>D29*K29</f>
        <v>0.5</v>
      </c>
      <c r="M29" s="645" t="s">
        <v>5743</v>
      </c>
      <c r="N29" s="1479" t="s">
        <v>49</v>
      </c>
      <c r="O29" s="2429"/>
      <c r="P29" s="2379" t="s">
        <v>5766</v>
      </c>
      <c r="Q29" s="2671" t="s">
        <v>5775</v>
      </c>
      <c r="S29" s="1185"/>
      <c r="T29" s="1284"/>
      <c r="U29" s="1185"/>
      <c r="V29" s="1285"/>
    </row>
    <row r="30" spans="1:22" s="1185" customFormat="1" ht="138.75" customHeight="1">
      <c r="A30" s="30">
        <v>18</v>
      </c>
      <c r="B30" s="1644" t="s">
        <v>19</v>
      </c>
      <c r="C30" s="1449" t="s">
        <v>68</v>
      </c>
      <c r="D30" s="29">
        <v>125</v>
      </c>
      <c r="E30" s="2374" t="s">
        <v>5763</v>
      </c>
      <c r="F30" s="1771" t="s">
        <v>69</v>
      </c>
      <c r="G30" s="1771" t="s">
        <v>70</v>
      </c>
      <c r="H30" s="1771" t="s">
        <v>5757</v>
      </c>
      <c r="I30" s="1771" t="s">
        <v>5758</v>
      </c>
      <c r="J30" s="55">
        <v>25000000</v>
      </c>
      <c r="K30" s="56">
        <v>0.1</v>
      </c>
      <c r="L30" s="2375">
        <v>12.5</v>
      </c>
      <c r="M30" s="1772" t="s">
        <v>72</v>
      </c>
      <c r="N30" s="1773" t="s">
        <v>5759</v>
      </c>
      <c r="O30" s="2428"/>
      <c r="P30" s="1778" t="s">
        <v>73</v>
      </c>
      <c r="Q30" s="2672" t="s">
        <v>5826</v>
      </c>
      <c r="R30" s="2376" t="s">
        <v>5716</v>
      </c>
      <c r="S30" s="2377" t="s">
        <v>5715</v>
      </c>
      <c r="T30" s="1294"/>
    </row>
    <row r="31" spans="1:22" s="1185" customFormat="1" ht="98.25" customHeight="1">
      <c r="A31" s="1397"/>
      <c r="B31" s="2320"/>
      <c r="C31" s="1455"/>
      <c r="D31" s="2616"/>
      <c r="E31" s="2617" t="s">
        <v>5990</v>
      </c>
      <c r="F31" s="2618"/>
      <c r="G31" s="2618"/>
      <c r="H31" s="2618" t="s">
        <v>5992</v>
      </c>
      <c r="I31" s="2618" t="s">
        <v>5993</v>
      </c>
      <c r="J31" s="1242">
        <v>182767</v>
      </c>
      <c r="K31" s="2619"/>
      <c r="L31" s="2620"/>
      <c r="M31" s="2621"/>
      <c r="N31" s="2622"/>
      <c r="O31" s="2623"/>
      <c r="P31" s="2624"/>
      <c r="Q31" s="2672"/>
      <c r="R31" s="2625"/>
      <c r="S31" s="2377"/>
      <c r="T31" s="1294"/>
    </row>
    <row r="32" spans="1:22" s="4" customFormat="1" ht="57" customHeight="1">
      <c r="A32" s="907">
        <v>5</v>
      </c>
      <c r="B32" s="1430" t="s">
        <v>19</v>
      </c>
      <c r="C32" s="1430" t="s">
        <v>29</v>
      </c>
      <c r="D32" s="2513">
        <v>1.24</v>
      </c>
      <c r="E32" s="2514" t="s">
        <v>687</v>
      </c>
      <c r="F32" s="2515" t="s">
        <v>75</v>
      </c>
      <c r="G32" s="2516" t="s">
        <v>688</v>
      </c>
      <c r="H32" s="2517" t="s">
        <v>284</v>
      </c>
      <c r="I32" s="2517" t="s">
        <v>71</v>
      </c>
      <c r="J32" s="2518">
        <v>62180</v>
      </c>
      <c r="K32" s="2519">
        <v>0.02</v>
      </c>
      <c r="L32" s="2520">
        <v>0.02</v>
      </c>
      <c r="M32" s="2516" t="s">
        <v>34</v>
      </c>
      <c r="N32" s="2521" t="s">
        <v>689</v>
      </c>
      <c r="O32" s="2522"/>
      <c r="P32" s="2523" t="s">
        <v>28</v>
      </c>
      <c r="Q32" s="2673" t="s">
        <v>690</v>
      </c>
      <c r="S32" s="1269" t="s">
        <v>691</v>
      </c>
      <c r="T32" s="1270"/>
      <c r="U32" s="1184"/>
      <c r="V32" s="1271"/>
    </row>
    <row r="33" spans="1:22" s="1184" customFormat="1" ht="49.15" customHeight="1">
      <c r="A33" s="845">
        <v>1</v>
      </c>
      <c r="B33" s="1439" t="s">
        <v>51</v>
      </c>
      <c r="C33" s="1439" t="s">
        <v>20</v>
      </c>
      <c r="D33" s="2524">
        <v>5.92</v>
      </c>
      <c r="E33" s="2525" t="s">
        <v>698</v>
      </c>
      <c r="F33" s="2526" t="s">
        <v>699</v>
      </c>
      <c r="G33" s="2527" t="s">
        <v>700</v>
      </c>
      <c r="H33" s="2528" t="s">
        <v>296</v>
      </c>
      <c r="I33" s="2528" t="s">
        <v>701</v>
      </c>
      <c r="J33" s="2529">
        <v>1185000</v>
      </c>
      <c r="K33" s="2530">
        <v>0.05</v>
      </c>
      <c r="L33" s="2524">
        <v>0.28999999999999998</v>
      </c>
      <c r="M33" s="2531" t="s">
        <v>34</v>
      </c>
      <c r="N33" s="2532" t="s">
        <v>702</v>
      </c>
      <c r="O33" s="2533"/>
      <c r="P33" s="2534" t="s">
        <v>703</v>
      </c>
      <c r="Q33" s="2673" t="s">
        <v>690</v>
      </c>
      <c r="S33" s="1274" t="s">
        <v>704</v>
      </c>
      <c r="T33" s="586" t="s">
        <v>705</v>
      </c>
      <c r="U33" s="1272" t="s">
        <v>706</v>
      </c>
    </row>
    <row r="34" spans="1:22" s="4" customFormat="1" ht="55.15" customHeight="1">
      <c r="A34" s="15">
        <v>8</v>
      </c>
      <c r="B34" s="1416" t="s">
        <v>45</v>
      </c>
      <c r="C34" s="1416" t="s">
        <v>20</v>
      </c>
      <c r="D34" s="19">
        <v>7.5</v>
      </c>
      <c r="E34" s="18" t="s">
        <v>285</v>
      </c>
      <c r="F34" s="20" t="s">
        <v>75</v>
      </c>
      <c r="G34" s="1418" t="s">
        <v>707</v>
      </c>
      <c r="H34" s="1418" t="s">
        <v>123</v>
      </c>
      <c r="I34" s="1418" t="s">
        <v>708</v>
      </c>
      <c r="J34" s="50">
        <v>1500000</v>
      </c>
      <c r="K34" s="51">
        <v>0.1</v>
      </c>
      <c r="L34" s="17">
        <v>0.75</v>
      </c>
      <c r="M34" s="1418" t="s">
        <v>109</v>
      </c>
      <c r="N34" s="1420" t="s">
        <v>709</v>
      </c>
      <c r="O34" s="1504"/>
      <c r="P34" s="1423" t="s">
        <v>710</v>
      </c>
      <c r="Q34" s="2673" t="s">
        <v>283</v>
      </c>
      <c r="S34" s="1269" t="s">
        <v>711</v>
      </c>
      <c r="T34" s="1270"/>
      <c r="U34" s="1184"/>
      <c r="V34" s="1271"/>
    </row>
    <row r="35" spans="1:22" s="1185" customFormat="1" ht="150" customHeight="1">
      <c r="A35" s="30">
        <v>1</v>
      </c>
      <c r="B35" s="1644" t="s">
        <v>45</v>
      </c>
      <c r="C35" s="1449" t="s">
        <v>692</v>
      </c>
      <c r="D35" s="29">
        <v>100</v>
      </c>
      <c r="E35" s="2374" t="s">
        <v>5782</v>
      </c>
      <c r="F35" s="1771" t="s">
        <v>693</v>
      </c>
      <c r="G35" s="1771" t="s">
        <v>694</v>
      </c>
      <c r="H35" s="1771" t="s">
        <v>5790</v>
      </c>
      <c r="I35" s="1771" t="s">
        <v>5788</v>
      </c>
      <c r="J35" s="55">
        <v>20000000</v>
      </c>
      <c r="K35" s="56">
        <v>0.05</v>
      </c>
      <c r="L35" s="2375">
        <v>5</v>
      </c>
      <c r="M35" s="1772" t="s">
        <v>695</v>
      </c>
      <c r="N35" s="1773" t="s">
        <v>5789</v>
      </c>
      <c r="O35" s="2428"/>
      <c r="P35" s="1778" t="s">
        <v>696</v>
      </c>
      <c r="Q35" s="2674" t="s">
        <v>690</v>
      </c>
      <c r="R35" s="2377" t="s">
        <v>697</v>
      </c>
      <c r="S35" s="1294"/>
    </row>
    <row r="36" spans="1:22" s="899" customFormat="1" ht="57" customHeight="1">
      <c r="A36" s="30">
        <v>5</v>
      </c>
      <c r="B36" s="1449" t="s">
        <v>19</v>
      </c>
      <c r="C36" s="1449" t="s">
        <v>29</v>
      </c>
      <c r="D36" s="587">
        <v>1.24</v>
      </c>
      <c r="E36" s="903" t="s">
        <v>5687</v>
      </c>
      <c r="F36" s="1905" t="s">
        <v>43</v>
      </c>
      <c r="G36" s="1482" t="s">
        <v>43</v>
      </c>
      <c r="H36" s="1483" t="s">
        <v>88</v>
      </c>
      <c r="I36" s="1483" t="s">
        <v>5688</v>
      </c>
      <c r="J36" s="863">
        <v>249258</v>
      </c>
      <c r="K36" s="919">
        <v>0.05</v>
      </c>
      <c r="L36" s="920">
        <v>0.06</v>
      </c>
      <c r="M36" s="1482" t="s">
        <v>34</v>
      </c>
      <c r="N36" s="1482" t="s">
        <v>49</v>
      </c>
      <c r="O36" s="2385"/>
      <c r="P36" s="1650" t="s">
        <v>28</v>
      </c>
      <c r="Q36" s="755" t="s">
        <v>5794</v>
      </c>
      <c r="R36" s="1289"/>
      <c r="S36" s="1288"/>
      <c r="T36" s="1292"/>
      <c r="U36" s="1185"/>
      <c r="V36" s="1285"/>
    </row>
    <row r="37" spans="1:22" s="899" customFormat="1" ht="59.25" customHeight="1">
      <c r="A37" s="30">
        <v>13</v>
      </c>
      <c r="B37" s="1449" t="s">
        <v>19</v>
      </c>
      <c r="C37" s="385" t="s">
        <v>20</v>
      </c>
      <c r="D37" s="1482">
        <v>10</v>
      </c>
      <c r="E37" s="903" t="s">
        <v>5799</v>
      </c>
      <c r="F37" s="1905" t="s">
        <v>22</v>
      </c>
      <c r="G37" s="1482" t="s">
        <v>5797</v>
      </c>
      <c r="H37" s="1482" t="s">
        <v>5783</v>
      </c>
      <c r="I37" s="1482" t="s">
        <v>5784</v>
      </c>
      <c r="J37" s="2388">
        <v>2000000</v>
      </c>
      <c r="K37" s="2389">
        <v>0.05</v>
      </c>
      <c r="L37" s="1482">
        <f>D37*K37</f>
        <v>0.5</v>
      </c>
      <c r="M37" s="1482" t="s">
        <v>5785</v>
      </c>
      <c r="N37" s="1484" t="s">
        <v>5798</v>
      </c>
      <c r="O37" s="1485"/>
      <c r="P37" s="1650" t="s">
        <v>98</v>
      </c>
      <c r="Q37" s="2667" t="s">
        <v>5825</v>
      </c>
      <c r="R37" s="2398" t="s">
        <v>5803</v>
      </c>
      <c r="S37" s="2397" t="s">
        <v>5804</v>
      </c>
    </row>
    <row r="38" spans="1:22" s="1184" customFormat="1" ht="49.15" customHeight="1">
      <c r="A38" s="15">
        <v>5</v>
      </c>
      <c r="B38" s="1416" t="s">
        <v>19</v>
      </c>
      <c r="C38" s="1416" t="s">
        <v>20</v>
      </c>
      <c r="D38" s="1199">
        <v>15</v>
      </c>
      <c r="E38" s="1200" t="s">
        <v>712</v>
      </c>
      <c r="F38" s="1425" t="s">
        <v>713</v>
      </c>
      <c r="G38" s="1427" t="s">
        <v>714</v>
      </c>
      <c r="H38" s="1434" t="s">
        <v>715</v>
      </c>
      <c r="I38" s="1434" t="s">
        <v>122</v>
      </c>
      <c r="J38" s="921">
        <v>3000000</v>
      </c>
      <c r="K38" s="1230">
        <v>0.05</v>
      </c>
      <c r="L38" s="1199">
        <v>0.75</v>
      </c>
      <c r="M38" s="1426" t="s">
        <v>61</v>
      </c>
      <c r="N38" s="1435" t="s">
        <v>716</v>
      </c>
      <c r="O38" s="1503"/>
      <c r="P38" s="1428" t="s">
        <v>717</v>
      </c>
      <c r="Q38" s="1424" t="s">
        <v>283</v>
      </c>
      <c r="S38" s="586"/>
      <c r="T38" s="1272"/>
    </row>
    <row r="39" spans="1:22" s="1184" customFormat="1" ht="49.15" customHeight="1">
      <c r="A39" s="15">
        <v>2</v>
      </c>
      <c r="B39" s="1416" t="s">
        <v>19</v>
      </c>
      <c r="C39" s="1416" t="s">
        <v>29</v>
      </c>
      <c r="D39" s="17">
        <v>3.75</v>
      </c>
      <c r="E39" s="1460" t="s">
        <v>297</v>
      </c>
      <c r="F39" s="1417" t="s">
        <v>22</v>
      </c>
      <c r="G39" s="1419" t="s">
        <v>718</v>
      </c>
      <c r="H39" s="1417" t="s">
        <v>719</v>
      </c>
      <c r="I39" s="1417" t="s">
        <v>720</v>
      </c>
      <c r="J39" s="50">
        <v>750000</v>
      </c>
      <c r="K39" s="51">
        <v>0.03</v>
      </c>
      <c r="L39" s="17">
        <v>0.11</v>
      </c>
      <c r="M39" s="1418" t="s">
        <v>34</v>
      </c>
      <c r="N39" s="1418" t="s">
        <v>49</v>
      </c>
      <c r="O39" s="2413"/>
      <c r="P39" s="1421" t="s">
        <v>28</v>
      </c>
      <c r="Q39" s="2675" t="s">
        <v>283</v>
      </c>
      <c r="S39" s="1274" t="s">
        <v>721</v>
      </c>
      <c r="T39" s="1272"/>
    </row>
    <row r="40" spans="1:22" s="4" customFormat="1" ht="45">
      <c r="A40" s="15">
        <v>4</v>
      </c>
      <c r="B40" s="1416" t="s">
        <v>837</v>
      </c>
      <c r="C40" s="1416"/>
      <c r="D40" s="17">
        <v>53</v>
      </c>
      <c r="E40" s="18" t="s">
        <v>5632</v>
      </c>
      <c r="F40" s="20" t="s">
        <v>5633</v>
      </c>
      <c r="G40" s="1418" t="s">
        <v>5634</v>
      </c>
      <c r="H40" s="1417" t="s">
        <v>5635</v>
      </c>
      <c r="I40" s="1417" t="s">
        <v>5635</v>
      </c>
      <c r="J40" s="50">
        <v>10600000</v>
      </c>
      <c r="K40" s="51">
        <v>0.03</v>
      </c>
      <c r="L40" s="17">
        <v>1.59</v>
      </c>
      <c r="M40" s="1418" t="s">
        <v>34</v>
      </c>
      <c r="N40" s="1420" t="s">
        <v>5636</v>
      </c>
      <c r="O40" s="1504"/>
      <c r="P40" s="1421" t="s">
        <v>886</v>
      </c>
      <c r="Q40" s="73"/>
    </row>
    <row r="41" spans="1:22" s="4" customFormat="1" ht="45">
      <c r="A41" s="15">
        <v>22</v>
      </c>
      <c r="B41" s="1416" t="s">
        <v>837</v>
      </c>
      <c r="C41" s="1416"/>
      <c r="D41" s="21">
        <v>1.39</v>
      </c>
      <c r="E41" s="18" t="s">
        <v>540</v>
      </c>
      <c r="F41" s="20" t="s">
        <v>804</v>
      </c>
      <c r="G41" s="1418" t="s">
        <v>4334</v>
      </c>
      <c r="H41" s="1417" t="s">
        <v>5637</v>
      </c>
      <c r="I41" s="1417" t="s">
        <v>5637</v>
      </c>
      <c r="J41" s="50">
        <v>450000</v>
      </c>
      <c r="K41" s="51">
        <v>0.05</v>
      </c>
      <c r="L41" s="17">
        <v>0.06</v>
      </c>
      <c r="M41" s="1418" t="s">
        <v>68</v>
      </c>
      <c r="N41" s="1418" t="s">
        <v>49</v>
      </c>
      <c r="O41" s="2413"/>
      <c r="P41" s="1421" t="s">
        <v>5638</v>
      </c>
      <c r="Q41" s="74"/>
      <c r="R41" s="76"/>
    </row>
    <row r="42" spans="1:22" s="5" customFormat="1" ht="40.5" thickBot="1">
      <c r="A42" s="22">
        <v>1</v>
      </c>
      <c r="B42" s="2319" t="s">
        <v>5639</v>
      </c>
      <c r="C42" s="2319"/>
      <c r="D42" s="24">
        <v>0.25</v>
      </c>
      <c r="E42" s="1521" t="s">
        <v>5640</v>
      </c>
      <c r="F42" s="1529" t="s">
        <v>804</v>
      </c>
      <c r="G42" s="1529" t="s">
        <v>5641</v>
      </c>
      <c r="H42" s="1540" t="s">
        <v>5642</v>
      </c>
      <c r="I42" s="1540" t="s">
        <v>5643</v>
      </c>
      <c r="J42" s="52">
        <v>30000</v>
      </c>
      <c r="K42" s="53">
        <v>0.03</v>
      </c>
      <c r="L42" s="54">
        <v>7.4999999999999997E-3</v>
      </c>
      <c r="M42" s="1519" t="s">
        <v>34</v>
      </c>
      <c r="N42" s="1530" t="s">
        <v>49</v>
      </c>
      <c r="O42" s="2419"/>
      <c r="P42" s="1547" t="s">
        <v>5644</v>
      </c>
      <c r="Q42" s="2676" t="s">
        <v>43</v>
      </c>
      <c r="R42" s="2"/>
      <c r="S42" s="76"/>
      <c r="T42" s="76"/>
    </row>
    <row r="43" spans="1:22" s="6" customFormat="1" ht="75">
      <c r="A43" s="27">
        <v>3</v>
      </c>
      <c r="B43" s="1644" t="s">
        <v>19</v>
      </c>
      <c r="C43" s="1644"/>
      <c r="D43" s="29">
        <v>0.25</v>
      </c>
      <c r="E43" s="1770" t="s">
        <v>1814</v>
      </c>
      <c r="F43" s="1771" t="s">
        <v>804</v>
      </c>
      <c r="G43" s="1771" t="s">
        <v>5645</v>
      </c>
      <c r="H43" s="1771" t="s">
        <v>5646</v>
      </c>
      <c r="I43" s="1771" t="s">
        <v>5647</v>
      </c>
      <c r="J43" s="55">
        <v>50000</v>
      </c>
      <c r="K43" s="56">
        <v>0.05</v>
      </c>
      <c r="L43" s="57">
        <v>0.01</v>
      </c>
      <c r="M43" s="1772" t="s">
        <v>915</v>
      </c>
      <c r="N43" s="58"/>
      <c r="O43" s="2420"/>
      <c r="P43" s="59"/>
      <c r="Q43" s="2677"/>
      <c r="R43" s="2"/>
      <c r="S43" s="2"/>
      <c r="T43" s="2"/>
    </row>
    <row r="44" spans="1:22" s="7" customFormat="1" ht="75.5" thickBot="1">
      <c r="A44" s="30">
        <v>3</v>
      </c>
      <c r="B44" s="1644" t="s">
        <v>19</v>
      </c>
      <c r="C44" s="1644"/>
      <c r="D44" s="31">
        <v>2.2999999999999998</v>
      </c>
      <c r="E44" s="1484" t="s">
        <v>635</v>
      </c>
      <c r="F44" s="1645" t="s">
        <v>43</v>
      </c>
      <c r="G44" s="1645" t="s">
        <v>43</v>
      </c>
      <c r="H44" s="1483" t="s">
        <v>5648</v>
      </c>
      <c r="I44" s="1483" t="s">
        <v>5649</v>
      </c>
      <c r="J44" s="61">
        <v>460000</v>
      </c>
      <c r="K44" s="62">
        <v>0.05</v>
      </c>
      <c r="L44" s="63">
        <v>0.11</v>
      </c>
      <c r="M44" s="1482" t="s">
        <v>61</v>
      </c>
      <c r="N44" s="1648" t="s">
        <v>49</v>
      </c>
      <c r="O44" s="2421"/>
      <c r="P44" s="1647" t="s">
        <v>4505</v>
      </c>
      <c r="Q44" s="2678"/>
      <c r="R44" s="2"/>
      <c r="S44" s="2"/>
      <c r="T44" s="2"/>
    </row>
    <row r="45" spans="1:22" s="6" customFormat="1" ht="50">
      <c r="A45" s="27">
        <v>4</v>
      </c>
      <c r="B45" s="1644" t="s">
        <v>19</v>
      </c>
      <c r="C45" s="1644"/>
      <c r="D45" s="29">
        <v>0.25</v>
      </c>
      <c r="E45" s="1770" t="s">
        <v>631</v>
      </c>
      <c r="F45" s="1771" t="s">
        <v>43</v>
      </c>
      <c r="G45" s="1771" t="s">
        <v>43</v>
      </c>
      <c r="H45" s="1771" t="s">
        <v>5650</v>
      </c>
      <c r="I45" s="1771" t="s">
        <v>5651</v>
      </c>
      <c r="J45" s="55">
        <v>5000</v>
      </c>
      <c r="K45" s="56">
        <v>0.05</v>
      </c>
      <c r="L45" s="57">
        <v>0.01</v>
      </c>
      <c r="M45" s="1772" t="s">
        <v>68</v>
      </c>
      <c r="N45" s="1772" t="s">
        <v>49</v>
      </c>
      <c r="O45" s="2386"/>
      <c r="P45" s="1778" t="s">
        <v>5652</v>
      </c>
      <c r="Q45" s="2677"/>
      <c r="R45" s="2"/>
      <c r="S45" s="2"/>
      <c r="T45" s="2"/>
    </row>
    <row r="46" spans="1:22" s="8" customFormat="1" ht="75">
      <c r="A46" s="30">
        <v>8</v>
      </c>
      <c r="B46" s="2320" t="s">
        <v>19</v>
      </c>
      <c r="C46" s="2320"/>
      <c r="D46" s="34">
        <v>1</v>
      </c>
      <c r="E46" s="1672" t="s">
        <v>5653</v>
      </c>
      <c r="F46" s="1665" t="s">
        <v>804</v>
      </c>
      <c r="G46" s="1665" t="s">
        <v>5654</v>
      </c>
      <c r="H46" s="1665" t="s">
        <v>5655</v>
      </c>
      <c r="I46" s="1665" t="s">
        <v>5656</v>
      </c>
      <c r="J46" s="64">
        <v>200000</v>
      </c>
      <c r="K46" s="65">
        <v>0.03</v>
      </c>
      <c r="L46" s="34">
        <v>0.03</v>
      </c>
      <c r="M46" s="2321" t="s">
        <v>68</v>
      </c>
      <c r="N46" s="1646" t="s">
        <v>5657</v>
      </c>
      <c r="O46" s="2422"/>
      <c r="P46" s="1650" t="s">
        <v>5658</v>
      </c>
      <c r="Q46" s="2679"/>
      <c r="R46" s="2"/>
      <c r="S46" s="2"/>
      <c r="T46" s="2"/>
    </row>
    <row r="47" spans="1:22" s="8" customFormat="1" ht="75">
      <c r="A47" s="30">
        <v>2</v>
      </c>
      <c r="B47" s="2320" t="s">
        <v>19</v>
      </c>
      <c r="C47" s="2320"/>
      <c r="D47" s="34">
        <v>0.37</v>
      </c>
      <c r="E47" s="1672" t="s">
        <v>5659</v>
      </c>
      <c r="F47" s="1665" t="s">
        <v>43</v>
      </c>
      <c r="G47" s="1665" t="s">
        <v>43</v>
      </c>
      <c r="H47" s="1665" t="s">
        <v>5660</v>
      </c>
      <c r="I47" s="1665" t="s">
        <v>5661</v>
      </c>
      <c r="J47" s="64">
        <v>75000</v>
      </c>
      <c r="K47" s="65">
        <v>0.03</v>
      </c>
      <c r="L47" s="34">
        <v>0.01</v>
      </c>
      <c r="M47" s="2321" t="s">
        <v>915</v>
      </c>
      <c r="N47" s="1646" t="s">
        <v>5662</v>
      </c>
      <c r="O47" s="2422"/>
      <c r="P47" s="1650" t="s">
        <v>926</v>
      </c>
      <c r="Q47" s="2679"/>
      <c r="R47" s="2"/>
      <c r="S47" s="2"/>
      <c r="T47" s="2"/>
    </row>
    <row r="48" spans="1:22" s="6" customFormat="1" ht="50">
      <c r="A48" s="36">
        <v>5</v>
      </c>
      <c r="B48" s="1644" t="s">
        <v>45</v>
      </c>
      <c r="C48" s="1644"/>
      <c r="D48" s="37">
        <v>7</v>
      </c>
      <c r="E48" s="1770" t="s">
        <v>659</v>
      </c>
      <c r="F48" s="1771" t="s">
        <v>804</v>
      </c>
      <c r="G48" s="1771" t="s">
        <v>5663</v>
      </c>
      <c r="H48" s="1771" t="s">
        <v>5664</v>
      </c>
      <c r="I48" s="1771" t="s">
        <v>5665</v>
      </c>
      <c r="J48" s="55">
        <v>2000000</v>
      </c>
      <c r="K48" s="56">
        <v>0.05</v>
      </c>
      <c r="L48" s="57">
        <v>0.35</v>
      </c>
      <c r="M48" s="1772" t="s">
        <v>34</v>
      </c>
      <c r="N48" s="1774" t="s">
        <v>5666</v>
      </c>
      <c r="O48" s="2404"/>
      <c r="P48" s="1778" t="s">
        <v>5667</v>
      </c>
      <c r="Q48" s="2678"/>
      <c r="R48" s="2"/>
      <c r="S48" s="2"/>
      <c r="T48" s="2"/>
    </row>
    <row r="49" spans="1:22" s="6" customFormat="1" ht="50">
      <c r="A49" s="36">
        <v>1</v>
      </c>
      <c r="B49" s="1644" t="s">
        <v>45</v>
      </c>
      <c r="C49" s="1644"/>
      <c r="D49" s="29">
        <v>25</v>
      </c>
      <c r="E49" s="1770" t="s">
        <v>4376</v>
      </c>
      <c r="F49" s="1771" t="s">
        <v>955</v>
      </c>
      <c r="G49" s="1771" t="s">
        <v>4377</v>
      </c>
      <c r="H49" s="1771" t="s">
        <v>5668</v>
      </c>
      <c r="I49" s="1771" t="s">
        <v>5669</v>
      </c>
      <c r="J49" s="55">
        <v>5000000</v>
      </c>
      <c r="K49" s="56" t="s">
        <v>68</v>
      </c>
      <c r="L49" s="2322" t="s">
        <v>68</v>
      </c>
      <c r="M49" s="1772" t="s">
        <v>959</v>
      </c>
      <c r="N49" s="1772" t="s">
        <v>49</v>
      </c>
      <c r="O49" s="2386"/>
      <c r="P49" s="1778" t="s">
        <v>961</v>
      </c>
      <c r="Q49" s="2678"/>
      <c r="R49" s="2"/>
      <c r="S49" s="2"/>
      <c r="T49" s="2"/>
    </row>
    <row r="50" spans="1:22" s="7" customFormat="1" ht="100">
      <c r="A50" s="30">
        <v>2</v>
      </c>
      <c r="B50" s="1644" t="s">
        <v>19</v>
      </c>
      <c r="C50" s="1644"/>
      <c r="D50" s="38">
        <v>4.5</v>
      </c>
      <c r="E50" s="1484" t="s">
        <v>661</v>
      </c>
      <c r="F50" s="1645" t="s">
        <v>5670</v>
      </c>
      <c r="G50" s="1645" t="s">
        <v>43</v>
      </c>
      <c r="H50" s="1483" t="s">
        <v>5671</v>
      </c>
      <c r="I50" s="1483" t="s">
        <v>5672</v>
      </c>
      <c r="J50" s="61">
        <v>900000</v>
      </c>
      <c r="K50" s="62">
        <v>0.03</v>
      </c>
      <c r="L50" s="66">
        <v>0.13</v>
      </c>
      <c r="M50" s="1482" t="s">
        <v>34</v>
      </c>
      <c r="N50" s="1649" t="s">
        <v>5673</v>
      </c>
      <c r="O50" s="2423"/>
      <c r="P50" s="1647" t="s">
        <v>926</v>
      </c>
      <c r="Q50" s="2678"/>
      <c r="R50" s="2326" t="s">
        <v>3439</v>
      </c>
      <c r="S50" s="2"/>
      <c r="T50" s="2"/>
    </row>
    <row r="51" spans="1:22" s="9" customFormat="1" ht="40">
      <c r="A51" s="39">
        <v>7</v>
      </c>
      <c r="B51" s="2323" t="s">
        <v>5674</v>
      </c>
      <c r="C51" s="2323"/>
      <c r="D51" s="40">
        <v>0.08</v>
      </c>
      <c r="E51" s="41" t="s">
        <v>4401</v>
      </c>
      <c r="F51" s="2324" t="s">
        <v>804</v>
      </c>
      <c r="G51" s="2324" t="s">
        <v>4402</v>
      </c>
      <c r="H51" s="2325" t="s">
        <v>5675</v>
      </c>
      <c r="I51" s="2325" t="s">
        <v>5676</v>
      </c>
      <c r="J51" s="67">
        <v>16472</v>
      </c>
      <c r="K51" s="68">
        <v>0.1</v>
      </c>
      <c r="L51" s="69">
        <v>8.1999999999999998E-4</v>
      </c>
      <c r="M51" s="2324" t="s">
        <v>34</v>
      </c>
      <c r="N51" s="2324" t="s">
        <v>49</v>
      </c>
      <c r="O51" s="2324"/>
      <c r="P51" s="2326" t="s">
        <v>43</v>
      </c>
      <c r="Q51" s="2680" t="s">
        <v>43</v>
      </c>
      <c r="R51" s="2"/>
      <c r="S51" s="80" t="s">
        <v>601</v>
      </c>
      <c r="U51" s="81">
        <f>(823600*10)/100</f>
        <v>82360</v>
      </c>
      <c r="V51" s="82"/>
    </row>
    <row r="52" spans="1:22" s="6" customFormat="1" ht="50">
      <c r="A52" s="30">
        <v>19</v>
      </c>
      <c r="B52" s="1644" t="s">
        <v>19</v>
      </c>
      <c r="C52" s="2320"/>
      <c r="D52" s="34">
        <v>1.48</v>
      </c>
      <c r="E52" s="1672" t="s">
        <v>4406</v>
      </c>
      <c r="F52" s="1665" t="s">
        <v>852</v>
      </c>
      <c r="G52" s="1665" t="s">
        <v>853</v>
      </c>
      <c r="H52" s="1665" t="s">
        <v>5677</v>
      </c>
      <c r="I52" s="1665" t="s">
        <v>5678</v>
      </c>
      <c r="J52" s="64">
        <v>297000</v>
      </c>
      <c r="K52" s="65">
        <v>0.03</v>
      </c>
      <c r="L52" s="70">
        <v>0.04</v>
      </c>
      <c r="M52" s="2321" t="s">
        <v>34</v>
      </c>
      <c r="N52" s="1648" t="s">
        <v>49</v>
      </c>
      <c r="O52" s="2424"/>
      <c r="P52" s="2327" t="s">
        <v>5679</v>
      </c>
      <c r="Q52" s="2679"/>
      <c r="R52" s="10"/>
      <c r="S52" s="2"/>
      <c r="T52" s="2"/>
    </row>
    <row r="53" spans="1:22" s="10" customFormat="1" ht="74.5" customHeight="1">
      <c r="A53" s="22">
        <v>5</v>
      </c>
      <c r="B53" s="1513" t="s">
        <v>19</v>
      </c>
      <c r="C53" s="1513"/>
      <c r="D53" s="26">
        <v>0.52</v>
      </c>
      <c r="E53" s="1521" t="s">
        <v>3943</v>
      </c>
      <c r="F53" s="1529" t="s">
        <v>804</v>
      </c>
      <c r="G53" s="1529" t="s">
        <v>3944</v>
      </c>
      <c r="H53" s="1529" t="s">
        <v>5680</v>
      </c>
      <c r="I53" s="1529" t="s">
        <v>5680</v>
      </c>
      <c r="J53" s="71">
        <v>105000</v>
      </c>
      <c r="K53" s="53">
        <v>0.03</v>
      </c>
      <c r="L53" s="54">
        <v>0.01</v>
      </c>
      <c r="M53" s="1530" t="s">
        <v>34</v>
      </c>
      <c r="N53" s="1537" t="s">
        <v>5681</v>
      </c>
      <c r="O53" s="2425"/>
      <c r="P53" s="1522" t="s">
        <v>5682</v>
      </c>
      <c r="Q53" s="2681"/>
      <c r="R53" s="11"/>
    </row>
    <row r="54" spans="1:22" s="11" customFormat="1" ht="53.5" customHeight="1">
      <c r="A54" s="15">
        <v>17</v>
      </c>
      <c r="B54" s="1416" t="s">
        <v>19</v>
      </c>
      <c r="C54" s="1416"/>
      <c r="D54" s="42">
        <v>33.020000000000003</v>
      </c>
      <c r="E54" s="18" t="s">
        <v>5683</v>
      </c>
      <c r="F54" s="20" t="s">
        <v>43</v>
      </c>
      <c r="G54" s="43" t="s">
        <v>43</v>
      </c>
      <c r="H54" s="1417" t="s">
        <v>5684</v>
      </c>
      <c r="I54" s="1417" t="s">
        <v>5685</v>
      </c>
      <c r="J54" s="50">
        <v>5000000</v>
      </c>
      <c r="K54" s="51">
        <v>0.05</v>
      </c>
      <c r="L54" s="17">
        <v>1.65</v>
      </c>
      <c r="M54" s="1418" t="s">
        <v>791</v>
      </c>
      <c r="N54" s="1418" t="s">
        <v>49</v>
      </c>
      <c r="O54" s="2413"/>
      <c r="P54" s="1504" t="s">
        <v>5686</v>
      </c>
      <c r="Q54" s="83"/>
      <c r="R54" s="12"/>
    </row>
  </sheetData>
  <mergeCells count="7">
    <mergeCell ref="A1:P1"/>
    <mergeCell ref="A2:P2"/>
    <mergeCell ref="N14:O14"/>
    <mergeCell ref="N15:O15"/>
    <mergeCell ref="N12:O12"/>
    <mergeCell ref="N6:O6"/>
    <mergeCell ref="N5:O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sqref="A1:XFD1"/>
    </sheetView>
  </sheetViews>
  <sheetFormatPr defaultColWidth="9"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55"/>
  <sheetViews>
    <sheetView zoomScale="55" zoomScaleNormal="55" workbookViewId="0">
      <selection activeCell="G7" sqref="G7"/>
    </sheetView>
  </sheetViews>
  <sheetFormatPr defaultColWidth="9.1796875" defaultRowHeight="22.5"/>
  <cols>
    <col min="1" max="1" width="12.54296875" style="628" customWidth="1"/>
    <col min="2" max="2" width="15.453125" style="628" customWidth="1"/>
    <col min="3" max="3" width="18.1796875" style="554" customWidth="1"/>
    <col min="4" max="4" width="75.453125" style="628" customWidth="1"/>
    <col min="5" max="5" width="12.54296875" style="631" customWidth="1"/>
    <col min="6" max="6" width="10.81640625" style="634" customWidth="1"/>
    <col min="7" max="7" width="23.1796875" style="631" customWidth="1"/>
    <col min="8" max="8" width="23.1796875" style="628" customWidth="1"/>
    <col min="9" max="9" width="24.54296875" style="632" customWidth="1"/>
    <col min="10" max="10" width="24.54296875" style="628" customWidth="1"/>
    <col min="11" max="11" width="31.1796875" style="628" customWidth="1"/>
    <col min="12" max="12" width="13.26953125" style="632" customWidth="1"/>
    <col min="13" max="13" width="17.26953125" style="633" customWidth="1"/>
    <col min="14" max="14" width="28.7265625" style="634" customWidth="1"/>
    <col min="15" max="15" width="63.81640625" style="635" customWidth="1"/>
    <col min="16" max="16" width="58.1796875" style="636" customWidth="1"/>
    <col min="17" max="17" width="54.81640625" style="637" customWidth="1"/>
    <col min="18" max="18" width="43.453125" style="634" customWidth="1"/>
    <col min="19" max="19" width="94.7265625" style="634" customWidth="1"/>
    <col min="20" max="20" width="58" style="638" customWidth="1"/>
    <col min="21" max="21" width="52.54296875" style="639" customWidth="1"/>
    <col min="22" max="16384" width="9.1796875" style="631"/>
  </cols>
  <sheetData>
    <row r="1" spans="1:20 16384:16384" s="629" customFormat="1" ht="36.75" customHeight="1">
      <c r="A1" s="3022" t="s">
        <v>0</v>
      </c>
      <c r="B1" s="3023"/>
      <c r="C1" s="3023"/>
      <c r="D1" s="3023"/>
      <c r="E1" s="3023"/>
      <c r="F1" s="3023"/>
      <c r="G1" s="3023"/>
      <c r="H1" s="3023"/>
      <c r="I1" s="3023"/>
      <c r="J1" s="3023"/>
      <c r="K1" s="3023"/>
      <c r="L1" s="3023"/>
      <c r="M1" s="3023"/>
      <c r="N1" s="3023"/>
      <c r="O1" s="3023"/>
      <c r="P1" s="3024"/>
      <c r="Q1" s="888"/>
      <c r="R1" s="824"/>
      <c r="S1" s="824"/>
      <c r="T1" s="824"/>
    </row>
    <row r="2" spans="1:20 16384:16384" s="554" customFormat="1" ht="80.25" customHeight="1">
      <c r="A2" s="825" t="s">
        <v>1</v>
      </c>
      <c r="B2" s="826" t="s">
        <v>2</v>
      </c>
      <c r="C2" s="827" t="s">
        <v>679</v>
      </c>
      <c r="D2" s="827" t="s">
        <v>5</v>
      </c>
      <c r="E2" s="827" t="s">
        <v>680</v>
      </c>
      <c r="F2" s="827" t="s">
        <v>681</v>
      </c>
      <c r="G2" s="827" t="s">
        <v>6</v>
      </c>
      <c r="H2" s="827" t="s">
        <v>7</v>
      </c>
      <c r="I2" s="856" t="s">
        <v>682</v>
      </c>
      <c r="J2" s="857" t="s">
        <v>1509</v>
      </c>
      <c r="K2" s="827" t="s">
        <v>684</v>
      </c>
      <c r="L2" s="858" t="s">
        <v>685</v>
      </c>
      <c r="M2" s="859" t="s">
        <v>12</v>
      </c>
      <c r="N2" s="1817" t="s">
        <v>13</v>
      </c>
      <c r="O2" s="827" t="s">
        <v>14</v>
      </c>
      <c r="P2" s="860" t="s">
        <v>15</v>
      </c>
      <c r="Q2" s="889" t="s">
        <v>16</v>
      </c>
      <c r="R2" s="824"/>
      <c r="S2" s="824"/>
      <c r="T2" s="824"/>
    </row>
    <row r="3" spans="1:20 16384:16384" s="689" customFormat="1" ht="82.5">
      <c r="A3" s="828">
        <v>2</v>
      </c>
      <c r="B3" s="1644" t="s">
        <v>45</v>
      </c>
      <c r="C3" s="829">
        <v>1.01</v>
      </c>
      <c r="D3" s="3025" t="s">
        <v>3925</v>
      </c>
      <c r="E3" s="3026"/>
      <c r="F3" s="3027"/>
      <c r="G3" s="1818" t="s">
        <v>869</v>
      </c>
      <c r="H3" s="1819" t="s">
        <v>3926</v>
      </c>
      <c r="I3" s="1492" t="s">
        <v>3927</v>
      </c>
      <c r="J3" s="1492" t="s">
        <v>3928</v>
      </c>
      <c r="K3" s="861">
        <v>202500</v>
      </c>
      <c r="L3" s="862">
        <v>0.03</v>
      </c>
      <c r="M3" s="829">
        <v>0.03</v>
      </c>
      <c r="N3" s="1820" t="s">
        <v>34</v>
      </c>
      <c r="O3" s="1821" t="s">
        <v>3929</v>
      </c>
      <c r="P3" s="1822" t="s">
        <v>814</v>
      </c>
      <c r="Q3" s="890" t="s">
        <v>3930</v>
      </c>
      <c r="R3" s="891" t="s">
        <v>3931</v>
      </c>
    </row>
    <row r="4" spans="1:20 16384:16384" s="6" customFormat="1" ht="66.650000000000006" customHeight="1">
      <c r="A4" s="30">
        <v>1</v>
      </c>
      <c r="B4" s="1644" t="s">
        <v>837</v>
      </c>
      <c r="C4" s="31">
        <v>3.2</v>
      </c>
      <c r="D4" s="1484" t="s">
        <v>538</v>
      </c>
      <c r="E4" s="31" t="s">
        <v>356</v>
      </c>
      <c r="F4" s="1482" t="s">
        <v>486</v>
      </c>
      <c r="G4" s="1645" t="s">
        <v>804</v>
      </c>
      <c r="H4" s="1645" t="s">
        <v>3932</v>
      </c>
      <c r="I4" s="1645" t="s">
        <v>3933</v>
      </c>
      <c r="J4" s="1645" t="s">
        <v>3934</v>
      </c>
      <c r="K4" s="863">
        <v>960000</v>
      </c>
      <c r="L4" s="62">
        <v>0.03</v>
      </c>
      <c r="M4" s="66">
        <v>0.09</v>
      </c>
      <c r="N4" s="1648" t="s">
        <v>68</v>
      </c>
      <c r="O4" s="1646" t="s">
        <v>3935</v>
      </c>
      <c r="P4" s="1650" t="s">
        <v>886</v>
      </c>
      <c r="Q4" s="892"/>
      <c r="T4" s="6" t="s">
        <v>324</v>
      </c>
    </row>
    <row r="5" spans="1:20 16384:16384" s="819" customFormat="1" ht="111.65" customHeight="1">
      <c r="A5" s="30">
        <v>1</v>
      </c>
      <c r="B5" s="1644" t="s">
        <v>45</v>
      </c>
      <c r="C5" s="832">
        <v>175</v>
      </c>
      <c r="D5" s="833" t="s">
        <v>362</v>
      </c>
      <c r="E5" s="678" t="s">
        <v>817</v>
      </c>
      <c r="F5" s="1768" t="s">
        <v>486</v>
      </c>
      <c r="G5" s="1474" t="s">
        <v>3936</v>
      </c>
      <c r="H5" s="1474" t="s">
        <v>3937</v>
      </c>
      <c r="I5" s="1474" t="s">
        <v>3938</v>
      </c>
      <c r="J5" s="1474" t="s">
        <v>3939</v>
      </c>
      <c r="K5" s="864">
        <v>20000000</v>
      </c>
      <c r="L5" s="865">
        <v>0.05</v>
      </c>
      <c r="M5" s="678">
        <v>8.75</v>
      </c>
      <c r="N5" s="1475" t="s">
        <v>3940</v>
      </c>
      <c r="O5" s="1776" t="s">
        <v>3941</v>
      </c>
      <c r="P5" s="1769" t="s">
        <v>3942</v>
      </c>
      <c r="Q5" s="79"/>
    </row>
    <row r="6" spans="1:20 16384:16384" s="6" customFormat="1" ht="66.650000000000006" customHeight="1">
      <c r="A6" s="30">
        <v>2</v>
      </c>
      <c r="B6" s="1644" t="s">
        <v>19</v>
      </c>
      <c r="C6" s="31">
        <v>0.52</v>
      </c>
      <c r="D6" s="1484" t="s">
        <v>3943</v>
      </c>
      <c r="E6" s="31" t="s">
        <v>149</v>
      </c>
      <c r="F6" s="1482" t="s">
        <v>486</v>
      </c>
      <c r="G6" s="1645" t="s">
        <v>804</v>
      </c>
      <c r="H6" s="1645" t="s">
        <v>3944</v>
      </c>
      <c r="I6" s="1645" t="s">
        <v>3945</v>
      </c>
      <c r="J6" s="1645" t="s">
        <v>3946</v>
      </c>
      <c r="K6" s="863">
        <v>105000</v>
      </c>
      <c r="L6" s="62">
        <v>0.03</v>
      </c>
      <c r="M6" s="66">
        <v>0.01</v>
      </c>
      <c r="N6" s="1648" t="s">
        <v>34</v>
      </c>
      <c r="O6" s="1646" t="s">
        <v>3947</v>
      </c>
      <c r="P6" s="1650" t="s">
        <v>98</v>
      </c>
      <c r="Q6" s="892"/>
    </row>
    <row r="7" spans="1:20 16384:16384" s="6" customFormat="1" ht="55.9" customHeight="1">
      <c r="A7" s="30">
        <v>1</v>
      </c>
      <c r="B7" s="1644" t="s">
        <v>19</v>
      </c>
      <c r="C7" s="832">
        <v>0.53</v>
      </c>
      <c r="D7" s="1473" t="s">
        <v>585</v>
      </c>
      <c r="E7" s="678" t="s">
        <v>817</v>
      </c>
      <c r="F7" s="1768" t="s">
        <v>486</v>
      </c>
      <c r="G7" s="1474" t="s">
        <v>43</v>
      </c>
      <c r="H7" s="1474" t="s">
        <v>43</v>
      </c>
      <c r="I7" s="1474" t="s">
        <v>3948</v>
      </c>
      <c r="J7" s="1474" t="s">
        <v>3948</v>
      </c>
      <c r="K7" s="864">
        <v>159956</v>
      </c>
      <c r="L7" s="865">
        <v>0.05</v>
      </c>
      <c r="M7" s="866">
        <v>0.02</v>
      </c>
      <c r="N7" s="1475" t="s">
        <v>34</v>
      </c>
      <c r="O7" s="1475" t="s">
        <v>49</v>
      </c>
      <c r="P7" s="1823" t="s">
        <v>975</v>
      </c>
      <c r="Q7" s="892"/>
    </row>
    <row r="8" spans="1:20 16384:16384" s="6" customFormat="1" ht="99" customHeight="1">
      <c r="A8" s="30">
        <v>9</v>
      </c>
      <c r="B8" s="1644" t="s">
        <v>933</v>
      </c>
      <c r="C8" s="678">
        <v>9.42</v>
      </c>
      <c r="D8" s="1473" t="s">
        <v>569</v>
      </c>
      <c r="E8" s="678" t="s">
        <v>149</v>
      </c>
      <c r="F8" s="1768" t="s">
        <v>486</v>
      </c>
      <c r="G8" s="1474" t="s">
        <v>43</v>
      </c>
      <c r="H8" s="1474" t="s">
        <v>43</v>
      </c>
      <c r="I8" s="1474" t="s">
        <v>3949</v>
      </c>
      <c r="J8" s="1474" t="s">
        <v>3950</v>
      </c>
      <c r="K8" s="864">
        <v>1885000</v>
      </c>
      <c r="L8" s="865">
        <v>0.05</v>
      </c>
      <c r="M8" s="866">
        <v>0.47</v>
      </c>
      <c r="N8" s="1475" t="s">
        <v>34</v>
      </c>
      <c r="O8" s="1776" t="s">
        <v>3951</v>
      </c>
      <c r="P8" s="1824" t="s">
        <v>3952</v>
      </c>
      <c r="Q8" s="77"/>
      <c r="R8" s="2"/>
    </row>
    <row r="9" spans="1:20 16384:16384" s="6" customFormat="1" ht="73.900000000000006" customHeight="1">
      <c r="A9" s="30">
        <v>7</v>
      </c>
      <c r="B9" s="1644" t="s">
        <v>933</v>
      </c>
      <c r="C9" s="31">
        <v>1</v>
      </c>
      <c r="D9" s="1484" t="s">
        <v>3953</v>
      </c>
      <c r="E9" s="35" t="s">
        <v>149</v>
      </c>
      <c r="F9" s="1482" t="s">
        <v>486</v>
      </c>
      <c r="G9" s="1645" t="s">
        <v>3954</v>
      </c>
      <c r="H9" s="1645" t="s">
        <v>3954</v>
      </c>
      <c r="I9" s="1645" t="s">
        <v>3955</v>
      </c>
      <c r="J9" s="1645" t="s">
        <v>3956</v>
      </c>
      <c r="K9" s="863">
        <v>201000</v>
      </c>
      <c r="L9" s="62">
        <v>0.03</v>
      </c>
      <c r="M9" s="66">
        <v>0.03</v>
      </c>
      <c r="N9" s="1648" t="s">
        <v>3881</v>
      </c>
      <c r="O9" s="1646" t="s">
        <v>3957</v>
      </c>
      <c r="P9" s="1650" t="s">
        <v>3958</v>
      </c>
      <c r="Q9" s="79"/>
      <c r="R9" s="2"/>
    </row>
    <row r="10" spans="1:20 16384:16384" s="6" customFormat="1" ht="94.9" customHeight="1">
      <c r="A10" s="30">
        <v>1</v>
      </c>
      <c r="B10" s="1644" t="s">
        <v>933</v>
      </c>
      <c r="C10" s="587">
        <v>300</v>
      </c>
      <c r="D10" s="1484" t="s">
        <v>3959</v>
      </c>
      <c r="E10" s="35" t="s">
        <v>149</v>
      </c>
      <c r="F10" s="1482" t="s">
        <v>486</v>
      </c>
      <c r="G10" s="1645" t="s">
        <v>804</v>
      </c>
      <c r="H10" s="1645" t="s">
        <v>3960</v>
      </c>
      <c r="I10" s="1645" t="s">
        <v>3961</v>
      </c>
      <c r="J10" s="1645" t="s">
        <v>3962</v>
      </c>
      <c r="K10" s="863">
        <v>15000000</v>
      </c>
      <c r="L10" s="62">
        <v>0.1</v>
      </c>
      <c r="M10" s="63">
        <v>30</v>
      </c>
      <c r="N10" s="1648" t="s">
        <v>34</v>
      </c>
      <c r="O10" s="1646" t="s">
        <v>3963</v>
      </c>
      <c r="P10" s="1825" t="s">
        <v>3964</v>
      </c>
      <c r="Q10" s="78"/>
      <c r="R10" s="2"/>
    </row>
    <row r="11" spans="1:20 16384:16384" s="6" customFormat="1" ht="73.900000000000006" customHeight="1">
      <c r="A11" s="30">
        <v>4</v>
      </c>
      <c r="B11" s="1644" t="s">
        <v>19</v>
      </c>
      <c r="C11" s="31">
        <v>0.09</v>
      </c>
      <c r="D11" s="1484" t="s">
        <v>3965</v>
      </c>
      <c r="E11" s="35" t="s">
        <v>149</v>
      </c>
      <c r="F11" s="1482" t="s">
        <v>486</v>
      </c>
      <c r="G11" s="1645" t="s">
        <v>43</v>
      </c>
      <c r="H11" s="1645" t="s">
        <v>43</v>
      </c>
      <c r="I11" s="1645" t="s">
        <v>963</v>
      </c>
      <c r="J11" s="1645" t="s">
        <v>964</v>
      </c>
      <c r="K11" s="863">
        <v>19960</v>
      </c>
      <c r="L11" s="62">
        <v>0.03</v>
      </c>
      <c r="M11" s="63">
        <v>2E-3</v>
      </c>
      <c r="N11" s="1648" t="s">
        <v>34</v>
      </c>
      <c r="O11" s="1648" t="s">
        <v>49</v>
      </c>
      <c r="P11" s="1650" t="s">
        <v>3966</v>
      </c>
      <c r="Q11" s="79"/>
      <c r="R11" s="2"/>
      <c r="S11" s="2"/>
      <c r="T11" s="2"/>
    </row>
    <row r="12" spans="1:20 16384:16384" s="7" customFormat="1" ht="78.650000000000006" customHeight="1">
      <c r="A12" s="30">
        <v>1</v>
      </c>
      <c r="B12" s="1644" t="s">
        <v>933</v>
      </c>
      <c r="C12" s="587">
        <v>0.64</v>
      </c>
      <c r="D12" s="1484" t="s">
        <v>3967</v>
      </c>
      <c r="E12" s="31" t="s">
        <v>149</v>
      </c>
      <c r="F12" s="1482" t="s">
        <v>486</v>
      </c>
      <c r="G12" s="1645" t="s">
        <v>804</v>
      </c>
      <c r="H12" s="1645" t="s">
        <v>3968</v>
      </c>
      <c r="I12" s="1483" t="s">
        <v>3969</v>
      </c>
      <c r="J12" s="1483" t="s">
        <v>3970</v>
      </c>
      <c r="K12" s="61">
        <v>64100</v>
      </c>
      <c r="L12" s="62">
        <v>0.05</v>
      </c>
      <c r="M12" s="63">
        <v>0.03</v>
      </c>
      <c r="N12" s="1482" t="s">
        <v>3971</v>
      </c>
      <c r="O12" s="1646" t="s">
        <v>3972</v>
      </c>
      <c r="P12" s="1647" t="s">
        <v>972</v>
      </c>
      <c r="Q12" s="78"/>
      <c r="R12" s="2"/>
      <c r="S12" s="2"/>
      <c r="T12" s="2"/>
      <c r="XFD12" s="7">
        <f>SUM(A12:XFC12)</f>
        <v>64101.72</v>
      </c>
    </row>
    <row r="13" spans="1:20 16384:16384" s="8" customFormat="1" ht="84.65" customHeight="1">
      <c r="A13" s="30">
        <v>3</v>
      </c>
      <c r="B13" s="1644" t="s">
        <v>967</v>
      </c>
      <c r="C13" s="31">
        <v>5</v>
      </c>
      <c r="D13" s="1484" t="s">
        <v>3973</v>
      </c>
      <c r="E13" s="35" t="s">
        <v>149</v>
      </c>
      <c r="F13" s="1482" t="s">
        <v>486</v>
      </c>
      <c r="G13" s="1645" t="s">
        <v>68</v>
      </c>
      <c r="H13" s="1645" t="s">
        <v>68</v>
      </c>
      <c r="I13" s="1645" t="s">
        <v>3974</v>
      </c>
      <c r="J13" s="1645" t="s">
        <v>68</v>
      </c>
      <c r="K13" s="863">
        <v>1000000</v>
      </c>
      <c r="L13" s="62">
        <v>0.05</v>
      </c>
      <c r="M13" s="31">
        <v>0.25</v>
      </c>
      <c r="N13" s="1648" t="s">
        <v>884</v>
      </c>
      <c r="O13" s="1648" t="s">
        <v>68</v>
      </c>
      <c r="P13" s="1650" t="s">
        <v>3975</v>
      </c>
      <c r="Q13" s="79"/>
      <c r="R13" s="2"/>
      <c r="S13" s="2"/>
      <c r="T13" s="2"/>
    </row>
    <row r="14" spans="1:20 16384:16384" s="8" customFormat="1" ht="129.65" customHeight="1">
      <c r="A14" s="30">
        <v>2</v>
      </c>
      <c r="B14" s="1644" t="s">
        <v>967</v>
      </c>
      <c r="C14" s="587">
        <v>45</v>
      </c>
      <c r="D14" s="1484" t="s">
        <v>589</v>
      </c>
      <c r="E14" s="35" t="s">
        <v>149</v>
      </c>
      <c r="F14" s="1482" t="s">
        <v>486</v>
      </c>
      <c r="G14" s="1645" t="s">
        <v>3976</v>
      </c>
      <c r="H14" s="1645" t="s">
        <v>3977</v>
      </c>
      <c r="I14" s="1645" t="s">
        <v>3978</v>
      </c>
      <c r="J14" s="1645" t="s">
        <v>3979</v>
      </c>
      <c r="K14" s="863">
        <v>9000000</v>
      </c>
      <c r="L14" s="62">
        <v>0.1</v>
      </c>
      <c r="M14" s="31">
        <v>4.5</v>
      </c>
      <c r="N14" s="1648" t="s">
        <v>83</v>
      </c>
      <c r="O14" s="1649" t="s">
        <v>3980</v>
      </c>
      <c r="P14" s="1650" t="s">
        <v>3981</v>
      </c>
      <c r="Q14" s="79"/>
      <c r="R14" s="2"/>
      <c r="S14" s="2"/>
      <c r="T14" s="2"/>
    </row>
    <row r="15" spans="1:20 16384:16384" s="8" customFormat="1" ht="102" customHeight="1">
      <c r="A15" s="30">
        <v>5</v>
      </c>
      <c r="B15" s="1644" t="s">
        <v>45</v>
      </c>
      <c r="C15" s="31">
        <v>7.5</v>
      </c>
      <c r="D15" s="1484" t="s">
        <v>645</v>
      </c>
      <c r="E15" s="35" t="s">
        <v>149</v>
      </c>
      <c r="F15" s="1482" t="s">
        <v>486</v>
      </c>
      <c r="G15" s="1645" t="s">
        <v>3982</v>
      </c>
      <c r="H15" s="1645" t="s">
        <v>3983</v>
      </c>
      <c r="I15" s="1645" t="s">
        <v>3984</v>
      </c>
      <c r="J15" s="1645" t="s">
        <v>3985</v>
      </c>
      <c r="K15" s="863">
        <v>1500000</v>
      </c>
      <c r="L15" s="62">
        <v>0.1</v>
      </c>
      <c r="M15" s="31">
        <v>0.75</v>
      </c>
      <c r="N15" s="1648" t="s">
        <v>878</v>
      </c>
      <c r="O15" s="1649" t="s">
        <v>3986</v>
      </c>
      <c r="P15" s="1650" t="s">
        <v>3987</v>
      </c>
      <c r="Q15" s="79"/>
      <c r="R15" s="2"/>
      <c r="S15" s="2"/>
      <c r="T15" s="2"/>
    </row>
    <row r="16" spans="1:20 16384:16384" s="7" customFormat="1" ht="55.15" customHeight="1">
      <c r="A16" s="30">
        <v>1</v>
      </c>
      <c r="B16" s="1644" t="s">
        <v>19</v>
      </c>
      <c r="C16" s="31">
        <v>0.22</v>
      </c>
      <c r="D16" s="1484" t="s">
        <v>3988</v>
      </c>
      <c r="E16" s="31" t="s">
        <v>149</v>
      </c>
      <c r="F16" s="1482" t="s">
        <v>486</v>
      </c>
      <c r="G16" s="1645" t="s">
        <v>43</v>
      </c>
      <c r="H16" s="1645" t="s">
        <v>43</v>
      </c>
      <c r="I16" s="1483" t="s">
        <v>3989</v>
      </c>
      <c r="J16" s="1483" t="s">
        <v>3990</v>
      </c>
      <c r="K16" s="61">
        <v>44000</v>
      </c>
      <c r="L16" s="62">
        <v>0.05</v>
      </c>
      <c r="M16" s="66">
        <v>0.05</v>
      </c>
      <c r="N16" s="1482" t="s">
        <v>68</v>
      </c>
      <c r="O16" s="1648" t="s">
        <v>49</v>
      </c>
      <c r="P16" s="1647" t="s">
        <v>1530</v>
      </c>
      <c r="Q16" s="78"/>
      <c r="R16" s="2"/>
      <c r="S16" s="2"/>
      <c r="T16" s="2"/>
    </row>
    <row r="17" spans="1:20" s="6" customFormat="1" ht="66" customHeight="1">
      <c r="A17" s="30">
        <v>1</v>
      </c>
      <c r="B17" s="1644" t="s">
        <v>45</v>
      </c>
      <c r="C17" s="834">
        <v>88.96</v>
      </c>
      <c r="D17" s="1662" t="s">
        <v>1856</v>
      </c>
      <c r="E17" s="835" t="s">
        <v>149</v>
      </c>
      <c r="F17" s="1654" t="s">
        <v>486</v>
      </c>
      <c r="G17" s="1655" t="s">
        <v>804</v>
      </c>
      <c r="H17" s="1655" t="s">
        <v>3991</v>
      </c>
      <c r="I17" s="1826" t="s">
        <v>3992</v>
      </c>
      <c r="J17" s="1826" t="s">
        <v>68</v>
      </c>
      <c r="K17" s="867">
        <v>4598500</v>
      </c>
      <c r="L17" s="868">
        <v>0.05</v>
      </c>
      <c r="M17" s="869">
        <v>4.4400000000000004</v>
      </c>
      <c r="N17" s="1664" t="s">
        <v>68</v>
      </c>
      <c r="O17" s="1661" t="s">
        <v>3993</v>
      </c>
      <c r="P17" s="1658" t="s">
        <v>907</v>
      </c>
      <c r="Q17" s="78"/>
      <c r="R17" s="2"/>
      <c r="S17" s="2"/>
      <c r="T17" s="2"/>
    </row>
    <row r="18" spans="1:20" s="552" customFormat="1" ht="66" customHeight="1">
      <c r="A18" s="837">
        <v>1</v>
      </c>
      <c r="B18" s="1424" t="s">
        <v>45</v>
      </c>
      <c r="C18" s="838">
        <v>56.61</v>
      </c>
      <c r="D18" s="1653" t="s">
        <v>1828</v>
      </c>
      <c r="E18" s="839" t="s">
        <v>149</v>
      </c>
      <c r="F18" s="1666" t="s">
        <v>486</v>
      </c>
      <c r="G18" s="1667" t="s">
        <v>43</v>
      </c>
      <c r="H18" s="1667" t="s">
        <v>43</v>
      </c>
      <c r="I18" s="1667" t="s">
        <v>3994</v>
      </c>
      <c r="J18" s="1667" t="s">
        <v>68</v>
      </c>
      <c r="K18" s="870">
        <v>2980900</v>
      </c>
      <c r="L18" s="871">
        <v>0.05</v>
      </c>
      <c r="M18" s="840">
        <v>2.83</v>
      </c>
      <c r="N18" s="1668" t="s">
        <v>68</v>
      </c>
      <c r="O18" s="1668" t="s">
        <v>49</v>
      </c>
      <c r="P18" s="1827" t="s">
        <v>1077</v>
      </c>
      <c r="Q18" s="623"/>
      <c r="R18" s="893"/>
      <c r="S18" s="893"/>
      <c r="T18" s="893"/>
    </row>
    <row r="19" spans="1:20" s="552" customFormat="1" ht="66" customHeight="1">
      <c r="A19" s="15">
        <v>1</v>
      </c>
      <c r="B19" s="1424" t="s">
        <v>19</v>
      </c>
      <c r="C19" s="31">
        <v>0.54</v>
      </c>
      <c r="D19" s="1484" t="s">
        <v>629</v>
      </c>
      <c r="E19" s="20" t="s">
        <v>149</v>
      </c>
      <c r="F19" s="1418" t="s">
        <v>486</v>
      </c>
      <c r="G19" s="1461" t="s">
        <v>804</v>
      </c>
      <c r="H19" s="1671" t="s">
        <v>3995</v>
      </c>
      <c r="I19" s="1461" t="s">
        <v>3996</v>
      </c>
      <c r="J19" s="1461" t="s">
        <v>3997</v>
      </c>
      <c r="K19" s="50">
        <v>108200</v>
      </c>
      <c r="L19" s="872">
        <v>0.05</v>
      </c>
      <c r="M19" s="19">
        <v>0.02</v>
      </c>
      <c r="N19" s="1462" t="s">
        <v>68</v>
      </c>
      <c r="O19" s="1462" t="s">
        <v>3998</v>
      </c>
      <c r="P19" s="1421" t="s">
        <v>1205</v>
      </c>
      <c r="Q19" s="623"/>
      <c r="R19" s="893"/>
      <c r="S19" s="893"/>
      <c r="T19" s="893"/>
    </row>
    <row r="20" spans="1:20" s="820" customFormat="1" ht="75" customHeight="1">
      <c r="A20" s="841">
        <v>1</v>
      </c>
      <c r="B20" s="1497" t="s">
        <v>45</v>
      </c>
      <c r="C20" s="843">
        <v>63.45</v>
      </c>
      <c r="D20" s="1828" t="s">
        <v>3999</v>
      </c>
      <c r="E20" s="844" t="s">
        <v>149</v>
      </c>
      <c r="F20" s="1829" t="s">
        <v>486</v>
      </c>
      <c r="G20" s="1830" t="s">
        <v>804</v>
      </c>
      <c r="H20" s="1830" t="s">
        <v>4000</v>
      </c>
      <c r="I20" s="1831" t="s">
        <v>1581</v>
      </c>
      <c r="J20" s="873" t="s">
        <v>68</v>
      </c>
      <c r="K20" s="873">
        <v>3322800</v>
      </c>
      <c r="L20" s="874">
        <v>0.05</v>
      </c>
      <c r="M20" s="875">
        <v>3.17</v>
      </c>
      <c r="N20" s="1829" t="s">
        <v>68</v>
      </c>
      <c r="O20" s="1832" t="s">
        <v>4001</v>
      </c>
      <c r="P20" s="1833" t="s">
        <v>1077</v>
      </c>
      <c r="Q20" s="894"/>
      <c r="R20" s="893"/>
      <c r="S20" s="893"/>
      <c r="T20" s="893"/>
    </row>
    <row r="21" spans="1:20" s="820" customFormat="1" ht="66" customHeight="1">
      <c r="A21" s="841">
        <v>2</v>
      </c>
      <c r="B21" s="1424" t="s">
        <v>45</v>
      </c>
      <c r="C21" s="838">
        <v>235.62</v>
      </c>
      <c r="D21" s="1653" t="s">
        <v>4002</v>
      </c>
      <c r="E21" s="839" t="s">
        <v>149</v>
      </c>
      <c r="F21" s="1666" t="s">
        <v>486</v>
      </c>
      <c r="G21" s="1667" t="s">
        <v>804</v>
      </c>
      <c r="H21" s="1667" t="s">
        <v>4003</v>
      </c>
      <c r="I21" s="1834" t="s">
        <v>1582</v>
      </c>
      <c r="J21" s="876" t="s">
        <v>68</v>
      </c>
      <c r="K21" s="876">
        <v>10000000</v>
      </c>
      <c r="L21" s="871">
        <v>0.05</v>
      </c>
      <c r="M21" s="877">
        <v>11.78</v>
      </c>
      <c r="N21" s="1666" t="s">
        <v>68</v>
      </c>
      <c r="O21" s="1669" t="s">
        <v>4004</v>
      </c>
      <c r="P21" s="1674" t="s">
        <v>1077</v>
      </c>
      <c r="Q21" s="894"/>
      <c r="R21" s="893"/>
      <c r="S21" s="893"/>
      <c r="T21" s="893"/>
    </row>
    <row r="22" spans="1:20" s="820" customFormat="1" ht="72" customHeight="1">
      <c r="A22" s="845">
        <v>1</v>
      </c>
      <c r="B22" s="1424" t="s">
        <v>45</v>
      </c>
      <c r="C22" s="838">
        <v>92.27</v>
      </c>
      <c r="D22" s="1653" t="s">
        <v>1859</v>
      </c>
      <c r="E22" s="839" t="s">
        <v>149</v>
      </c>
      <c r="F22" s="1666" t="s">
        <v>486</v>
      </c>
      <c r="G22" s="1667" t="s">
        <v>804</v>
      </c>
      <c r="H22" s="1667" t="s">
        <v>4005</v>
      </c>
      <c r="I22" s="1834" t="s">
        <v>4006</v>
      </c>
      <c r="J22" s="876" t="s">
        <v>68</v>
      </c>
      <c r="K22" s="876">
        <v>4763500</v>
      </c>
      <c r="L22" s="871">
        <v>0.05</v>
      </c>
      <c r="M22" s="877">
        <v>4.6100000000000003</v>
      </c>
      <c r="N22" s="1666" t="s">
        <v>68</v>
      </c>
      <c r="O22" s="1835" t="s">
        <v>4007</v>
      </c>
      <c r="P22" s="1827" t="s">
        <v>1077</v>
      </c>
      <c r="Q22" s="894"/>
      <c r="R22" s="893"/>
      <c r="S22" s="893"/>
      <c r="T22" s="893"/>
    </row>
    <row r="23" spans="1:20" s="552" customFormat="1" ht="66" customHeight="1">
      <c r="A23" s="15">
        <v>1</v>
      </c>
      <c r="B23" s="1424" t="s">
        <v>19</v>
      </c>
      <c r="C23" s="34">
        <v>0.7</v>
      </c>
      <c r="D23" s="1672" t="s">
        <v>627</v>
      </c>
      <c r="E23" s="19" t="s">
        <v>149</v>
      </c>
      <c r="F23" s="1418" t="s">
        <v>486</v>
      </c>
      <c r="G23" s="1461" t="s">
        <v>804</v>
      </c>
      <c r="H23" s="1671" t="s">
        <v>4008</v>
      </c>
      <c r="I23" s="1671" t="s">
        <v>4006</v>
      </c>
      <c r="J23" s="1671" t="s">
        <v>1582</v>
      </c>
      <c r="K23" s="878">
        <v>140000</v>
      </c>
      <c r="L23" s="872">
        <v>0.05</v>
      </c>
      <c r="M23" s="879">
        <v>0.03</v>
      </c>
      <c r="N23" s="1673" t="s">
        <v>150</v>
      </c>
      <c r="O23" s="1788" t="s">
        <v>4009</v>
      </c>
      <c r="P23" s="1421" t="s">
        <v>949</v>
      </c>
      <c r="Q23" s="623"/>
      <c r="R23" s="893"/>
      <c r="S23" s="893"/>
      <c r="T23" s="893"/>
    </row>
    <row r="24" spans="1:20" s="552" customFormat="1" ht="66" customHeight="1">
      <c r="A24" s="15">
        <v>1</v>
      </c>
      <c r="B24" s="1424" t="s">
        <v>19</v>
      </c>
      <c r="C24" s="678">
        <v>0.49</v>
      </c>
      <c r="D24" s="1473" t="s">
        <v>4010</v>
      </c>
      <c r="E24" s="846" t="s">
        <v>195</v>
      </c>
      <c r="F24" s="1506" t="s">
        <v>486</v>
      </c>
      <c r="G24" s="1507" t="s">
        <v>43</v>
      </c>
      <c r="H24" s="1507" t="s">
        <v>43</v>
      </c>
      <c r="I24" s="1507" t="s">
        <v>4011</v>
      </c>
      <c r="J24" s="1507" t="s">
        <v>4012</v>
      </c>
      <c r="K24" s="880">
        <v>98762</v>
      </c>
      <c r="L24" s="881">
        <v>0.03</v>
      </c>
      <c r="M24" s="846">
        <v>0.01</v>
      </c>
      <c r="N24" s="1508" t="s">
        <v>68</v>
      </c>
      <c r="O24" s="1804" t="s">
        <v>49</v>
      </c>
      <c r="P24" s="1836" t="s">
        <v>4013</v>
      </c>
      <c r="Q24" s="623"/>
      <c r="R24" s="893"/>
      <c r="S24" s="893"/>
      <c r="T24" s="893"/>
    </row>
    <row r="25" spans="1:20" s="820" customFormat="1" ht="72" customHeight="1">
      <c r="A25" s="15">
        <v>1</v>
      </c>
      <c r="B25" s="1424" t="s">
        <v>45</v>
      </c>
      <c r="C25" s="832">
        <v>4.7699999999999996</v>
      </c>
      <c r="D25" s="1473" t="s">
        <v>1872</v>
      </c>
      <c r="E25" s="846" t="s">
        <v>817</v>
      </c>
      <c r="F25" s="1506" t="s">
        <v>486</v>
      </c>
      <c r="G25" s="1507" t="s">
        <v>43</v>
      </c>
      <c r="H25" s="1507" t="s">
        <v>43</v>
      </c>
      <c r="I25" s="1837" t="s">
        <v>4014</v>
      </c>
      <c r="J25" s="1837" t="s">
        <v>4015</v>
      </c>
      <c r="K25" s="880">
        <v>1213735</v>
      </c>
      <c r="L25" s="881" t="s">
        <v>1155</v>
      </c>
      <c r="M25" s="1838" t="s">
        <v>1155</v>
      </c>
      <c r="N25" s="1506" t="s">
        <v>4016</v>
      </c>
      <c r="O25" s="1509" t="s">
        <v>4017</v>
      </c>
      <c r="P25" s="1796" t="s">
        <v>1094</v>
      </c>
      <c r="Q25" s="894"/>
      <c r="R25" s="893"/>
      <c r="S25" s="893"/>
      <c r="T25" s="893"/>
    </row>
    <row r="26" spans="1:20" s="552" customFormat="1" ht="66" customHeight="1">
      <c r="A26" s="15">
        <v>2</v>
      </c>
      <c r="B26" s="1424" t="s">
        <v>19</v>
      </c>
      <c r="C26" s="31">
        <v>5</v>
      </c>
      <c r="D26" s="1484" t="s">
        <v>1880</v>
      </c>
      <c r="E26" s="20" t="s">
        <v>149</v>
      </c>
      <c r="F26" s="1418" t="s">
        <v>486</v>
      </c>
      <c r="G26" s="1461" t="s">
        <v>804</v>
      </c>
      <c r="H26" s="1461" t="s">
        <v>4018</v>
      </c>
      <c r="I26" s="1461" t="s">
        <v>1610</v>
      </c>
      <c r="J26" s="1461" t="s">
        <v>68</v>
      </c>
      <c r="K26" s="50">
        <v>1000000</v>
      </c>
      <c r="L26" s="606">
        <v>0.1</v>
      </c>
      <c r="M26" s="19">
        <v>0.5</v>
      </c>
      <c r="N26" s="1462" t="s">
        <v>1106</v>
      </c>
      <c r="O26" s="1512" t="s">
        <v>4019</v>
      </c>
      <c r="P26" s="1421" t="s">
        <v>1077</v>
      </c>
      <c r="Q26" s="623"/>
      <c r="R26" s="893"/>
      <c r="S26" s="893"/>
      <c r="T26" s="893"/>
    </row>
    <row r="27" spans="1:20" s="820" customFormat="1" ht="66" customHeight="1">
      <c r="A27" s="15">
        <v>1</v>
      </c>
      <c r="B27" s="1424" t="s">
        <v>45</v>
      </c>
      <c r="C27" s="678">
        <v>5</v>
      </c>
      <c r="D27" s="1473" t="s">
        <v>1881</v>
      </c>
      <c r="E27" s="846" t="s">
        <v>195</v>
      </c>
      <c r="F27" s="1506" t="s">
        <v>486</v>
      </c>
      <c r="G27" s="1507" t="s">
        <v>4020</v>
      </c>
      <c r="H27" s="1507" t="s">
        <v>4021</v>
      </c>
      <c r="I27" s="1837" t="s">
        <v>4022</v>
      </c>
      <c r="J27" s="852" t="s">
        <v>4023</v>
      </c>
      <c r="K27" s="852">
        <v>1000000</v>
      </c>
      <c r="L27" s="881">
        <v>0.05</v>
      </c>
      <c r="M27" s="882">
        <v>0.25</v>
      </c>
      <c r="N27" s="1506" t="s">
        <v>34</v>
      </c>
      <c r="O27" s="1508" t="s">
        <v>49</v>
      </c>
      <c r="P27" s="1823" t="s">
        <v>1094</v>
      </c>
      <c r="Q27" s="894"/>
      <c r="R27" s="893"/>
      <c r="S27" s="893"/>
      <c r="T27" s="893"/>
    </row>
    <row r="28" spans="1:20" s="552" customFormat="1" ht="66" customHeight="1">
      <c r="A28" s="15">
        <v>1</v>
      </c>
      <c r="B28" s="1424" t="s">
        <v>19</v>
      </c>
      <c r="C28" s="832">
        <v>1.05</v>
      </c>
      <c r="D28" s="1473" t="s">
        <v>4024</v>
      </c>
      <c r="E28" s="848" t="s">
        <v>195</v>
      </c>
      <c r="F28" s="1506" t="s">
        <v>486</v>
      </c>
      <c r="G28" s="1507" t="s">
        <v>4025</v>
      </c>
      <c r="H28" s="1507" t="s">
        <v>4026</v>
      </c>
      <c r="I28" s="1507" t="s">
        <v>4027</v>
      </c>
      <c r="J28" s="1507" t="s">
        <v>1122</v>
      </c>
      <c r="K28" s="880">
        <v>316000</v>
      </c>
      <c r="L28" s="881">
        <v>0.05</v>
      </c>
      <c r="M28" s="846">
        <f>C28*3%</f>
        <v>3.15E-2</v>
      </c>
      <c r="N28" s="1508" t="s">
        <v>34</v>
      </c>
      <c r="O28" s="1805" t="s">
        <v>4028</v>
      </c>
      <c r="P28" s="1836" t="s">
        <v>4029</v>
      </c>
      <c r="Q28" s="623"/>
      <c r="R28" s="893"/>
      <c r="S28" s="893"/>
      <c r="T28" s="893"/>
    </row>
    <row r="29" spans="1:20" s="821" customFormat="1" ht="66" customHeight="1">
      <c r="A29" s="15">
        <v>1</v>
      </c>
      <c r="B29" s="1424" t="s">
        <v>45</v>
      </c>
      <c r="C29" s="832">
        <v>0.79</v>
      </c>
      <c r="D29" s="1473" t="s">
        <v>4030</v>
      </c>
      <c r="E29" s="846" t="s">
        <v>195</v>
      </c>
      <c r="F29" s="1506" t="s">
        <v>486</v>
      </c>
      <c r="G29" s="1507" t="s">
        <v>4031</v>
      </c>
      <c r="H29" s="1507" t="s">
        <v>4032</v>
      </c>
      <c r="I29" s="1507" t="s">
        <v>3817</v>
      </c>
      <c r="J29" s="1507" t="s">
        <v>4033</v>
      </c>
      <c r="K29" s="880">
        <v>59712</v>
      </c>
      <c r="L29" s="881">
        <v>0.03</v>
      </c>
      <c r="M29" s="882">
        <v>0.02</v>
      </c>
      <c r="N29" s="1508" t="s">
        <v>34</v>
      </c>
      <c r="O29" s="1508" t="s">
        <v>49</v>
      </c>
      <c r="P29" s="1796" t="s">
        <v>1094</v>
      </c>
      <c r="Q29" s="894"/>
      <c r="R29" s="893"/>
      <c r="S29" s="893"/>
      <c r="T29" s="893"/>
    </row>
    <row r="30" spans="1:20" s="822" customFormat="1" ht="70.900000000000006" customHeight="1">
      <c r="A30" s="15">
        <v>1</v>
      </c>
      <c r="B30" s="1424" t="s">
        <v>19</v>
      </c>
      <c r="C30" s="31" t="s">
        <v>68</v>
      </c>
      <c r="D30" s="1484" t="s">
        <v>4034</v>
      </c>
      <c r="E30" s="20" t="s">
        <v>149</v>
      </c>
      <c r="F30" s="1418" t="s">
        <v>486</v>
      </c>
      <c r="G30" s="1461" t="s">
        <v>43</v>
      </c>
      <c r="H30" s="1461" t="s">
        <v>43</v>
      </c>
      <c r="I30" s="1461" t="s">
        <v>4035</v>
      </c>
      <c r="J30" s="1461" t="s">
        <v>4036</v>
      </c>
      <c r="K30" s="50" t="s">
        <v>1155</v>
      </c>
      <c r="L30" s="50" t="s">
        <v>1155</v>
      </c>
      <c r="M30" s="50" t="s">
        <v>1155</v>
      </c>
      <c r="N30" s="50" t="s">
        <v>1155</v>
      </c>
      <c r="O30" s="1462" t="s">
        <v>4037</v>
      </c>
      <c r="P30" s="1792" t="s">
        <v>1314</v>
      </c>
      <c r="Q30" s="623"/>
    </row>
    <row r="31" spans="1:20" s="822" customFormat="1" ht="88.5" customHeight="1">
      <c r="A31" s="849">
        <v>1</v>
      </c>
      <c r="B31" s="1424" t="s">
        <v>45</v>
      </c>
      <c r="C31" s="678">
        <v>17.5</v>
      </c>
      <c r="D31" s="1473" t="s">
        <v>1956</v>
      </c>
      <c r="E31" s="848" t="s">
        <v>149</v>
      </c>
      <c r="F31" s="846" t="s">
        <v>486</v>
      </c>
      <c r="G31" s="1507" t="s">
        <v>869</v>
      </c>
      <c r="H31" s="1507" t="s">
        <v>1654</v>
      </c>
      <c r="I31" s="1507" t="s">
        <v>4038</v>
      </c>
      <c r="J31" s="1507" t="s">
        <v>4039</v>
      </c>
      <c r="K31" s="880">
        <v>3500000</v>
      </c>
      <c r="L31" s="881">
        <v>0.03</v>
      </c>
      <c r="M31" s="883">
        <v>0.52</v>
      </c>
      <c r="N31" s="1508" t="s">
        <v>34</v>
      </c>
      <c r="O31" s="1795" t="s">
        <v>4040</v>
      </c>
      <c r="P31" s="1796" t="s">
        <v>4041</v>
      </c>
      <c r="Q31" s="623"/>
    </row>
    <row r="32" spans="1:20" s="822" customFormat="1" ht="87" customHeight="1">
      <c r="A32" s="849">
        <v>1</v>
      </c>
      <c r="B32" s="1424" t="s">
        <v>19</v>
      </c>
      <c r="C32" s="31" t="s">
        <v>68</v>
      </c>
      <c r="D32" s="1484" t="s">
        <v>1954</v>
      </c>
      <c r="E32" s="20" t="s">
        <v>149</v>
      </c>
      <c r="F32" s="1418" t="s">
        <v>486</v>
      </c>
      <c r="G32" s="1461" t="s">
        <v>43</v>
      </c>
      <c r="H32" s="1461" t="s">
        <v>43</v>
      </c>
      <c r="I32" s="1461" t="s">
        <v>4042</v>
      </c>
      <c r="J32" s="1461" t="s">
        <v>68</v>
      </c>
      <c r="K32" s="606" t="s">
        <v>68</v>
      </c>
      <c r="L32" s="606" t="s">
        <v>68</v>
      </c>
      <c r="M32" s="1801" t="s">
        <v>68</v>
      </c>
      <c r="N32" s="1801" t="s">
        <v>68</v>
      </c>
      <c r="O32" s="1422" t="s">
        <v>49</v>
      </c>
      <c r="P32" s="1792" t="s">
        <v>1632</v>
      </c>
      <c r="Q32" s="623"/>
    </row>
    <row r="33" spans="1:20" s="822" customFormat="1" ht="66" customHeight="1">
      <c r="A33" s="849">
        <v>3</v>
      </c>
      <c r="B33" s="1424" t="s">
        <v>19</v>
      </c>
      <c r="C33" s="587">
        <v>0.28999999999999998</v>
      </c>
      <c r="D33" s="1484" t="s">
        <v>1970</v>
      </c>
      <c r="E33" s="20" t="s">
        <v>149</v>
      </c>
      <c r="F33" s="1418" t="s">
        <v>486</v>
      </c>
      <c r="G33" s="1461" t="s">
        <v>43</v>
      </c>
      <c r="H33" s="1461" t="s">
        <v>43</v>
      </c>
      <c r="I33" s="1461" t="s">
        <v>4043</v>
      </c>
      <c r="J33" s="1461" t="s">
        <v>1651</v>
      </c>
      <c r="K33" s="50">
        <v>22100</v>
      </c>
      <c r="L33" s="606" t="s">
        <v>68</v>
      </c>
      <c r="M33" s="1801" t="s">
        <v>68</v>
      </c>
      <c r="N33" s="1462" t="s">
        <v>34</v>
      </c>
      <c r="O33" s="1418" t="s">
        <v>49</v>
      </c>
      <c r="P33" s="1681" t="s">
        <v>1632</v>
      </c>
      <c r="Q33" s="623"/>
    </row>
    <row r="34" spans="1:20" s="823" customFormat="1" ht="67.5" customHeight="1">
      <c r="A34" s="849">
        <v>1</v>
      </c>
      <c r="B34" s="1424" t="s">
        <v>19</v>
      </c>
      <c r="C34" s="587">
        <v>0.2</v>
      </c>
      <c r="D34" s="1484" t="s">
        <v>1982</v>
      </c>
      <c r="E34" s="20" t="s">
        <v>149</v>
      </c>
      <c r="F34" s="1418" t="s">
        <v>486</v>
      </c>
      <c r="G34" s="1461" t="s">
        <v>869</v>
      </c>
      <c r="H34" s="1461" t="s">
        <v>1715</v>
      </c>
      <c r="I34" s="1419" t="s">
        <v>1716</v>
      </c>
      <c r="J34" s="1419" t="s">
        <v>1178</v>
      </c>
      <c r="K34" s="50">
        <v>40000</v>
      </c>
      <c r="L34" s="606" t="s">
        <v>68</v>
      </c>
      <c r="M34" s="606" t="s">
        <v>68</v>
      </c>
      <c r="N34" s="606" t="s">
        <v>68</v>
      </c>
      <c r="O34" s="1420" t="s">
        <v>4044</v>
      </c>
      <c r="P34" s="1681" t="s">
        <v>907</v>
      </c>
      <c r="Q34" s="623"/>
      <c r="R34" s="630"/>
      <c r="S34" s="895"/>
      <c r="T34" s="895"/>
    </row>
    <row r="35" spans="1:20" s="823" customFormat="1" ht="66" customHeight="1">
      <c r="A35" s="849">
        <v>1</v>
      </c>
      <c r="B35" s="1424" t="s">
        <v>45</v>
      </c>
      <c r="C35" s="678" t="s">
        <v>68</v>
      </c>
      <c r="D35" s="1473" t="s">
        <v>4045</v>
      </c>
      <c r="E35" s="848" t="s">
        <v>817</v>
      </c>
      <c r="F35" s="1506" t="s">
        <v>486</v>
      </c>
      <c r="G35" s="1507" t="s">
        <v>4046</v>
      </c>
      <c r="H35" s="1837" t="s">
        <v>4047</v>
      </c>
      <c r="I35" s="1837" t="s">
        <v>1695</v>
      </c>
      <c r="J35" s="1837" t="s">
        <v>4048</v>
      </c>
      <c r="K35" s="880" t="s">
        <v>68</v>
      </c>
      <c r="L35" s="880" t="s">
        <v>68</v>
      </c>
      <c r="M35" s="880" t="s">
        <v>68</v>
      </c>
      <c r="N35" s="1506" t="s">
        <v>68</v>
      </c>
      <c r="O35" s="1505" t="s">
        <v>4049</v>
      </c>
      <c r="P35" s="1796" t="s">
        <v>4050</v>
      </c>
      <c r="Q35" s="896"/>
      <c r="R35" s="630"/>
      <c r="S35" s="895"/>
      <c r="T35" s="895"/>
    </row>
    <row r="36" spans="1:20" s="822" customFormat="1" ht="96" customHeight="1">
      <c r="A36" s="15">
        <v>5</v>
      </c>
      <c r="B36" s="1424" t="s">
        <v>45</v>
      </c>
      <c r="C36" s="832">
        <v>1.5</v>
      </c>
      <c r="D36" s="1473" t="s">
        <v>1990</v>
      </c>
      <c r="E36" s="848" t="s">
        <v>817</v>
      </c>
      <c r="F36" s="1506" t="s">
        <v>486</v>
      </c>
      <c r="G36" s="1507" t="s">
        <v>869</v>
      </c>
      <c r="H36" s="1507" t="s">
        <v>1281</v>
      </c>
      <c r="I36" s="1507" t="s">
        <v>1730</v>
      </c>
      <c r="J36" s="1507" t="s">
        <v>4051</v>
      </c>
      <c r="K36" s="880">
        <v>75000</v>
      </c>
      <c r="L36" s="881">
        <v>0.05</v>
      </c>
      <c r="M36" s="883">
        <v>0.01</v>
      </c>
      <c r="N36" s="1508" t="s">
        <v>34</v>
      </c>
      <c r="O36" s="1839" t="s">
        <v>4052</v>
      </c>
      <c r="P36" s="1796" t="s">
        <v>907</v>
      </c>
      <c r="Q36" s="623"/>
    </row>
    <row r="37" spans="1:20" s="823" customFormat="1" ht="69" customHeight="1">
      <c r="A37" s="15">
        <v>2</v>
      </c>
      <c r="B37" s="1424" t="s">
        <v>45</v>
      </c>
      <c r="C37" s="678">
        <v>1.05</v>
      </c>
      <c r="D37" s="1473" t="s">
        <v>1998</v>
      </c>
      <c r="E37" s="848" t="s">
        <v>817</v>
      </c>
      <c r="F37" s="1506" t="s">
        <v>486</v>
      </c>
      <c r="G37" s="1507" t="s">
        <v>43</v>
      </c>
      <c r="H37" s="1507" t="s">
        <v>43</v>
      </c>
      <c r="I37" s="1837" t="s">
        <v>1682</v>
      </c>
      <c r="J37" s="1837" t="s">
        <v>4053</v>
      </c>
      <c r="K37" s="880">
        <v>210000</v>
      </c>
      <c r="L37" s="881">
        <v>0.03</v>
      </c>
      <c r="M37" s="883">
        <v>0.03</v>
      </c>
      <c r="N37" s="1506" t="s">
        <v>34</v>
      </c>
      <c r="O37" s="1506" t="s">
        <v>49</v>
      </c>
      <c r="P37" s="1823" t="s">
        <v>1094</v>
      </c>
      <c r="Q37" s="623"/>
      <c r="R37" s="630"/>
      <c r="S37" s="895"/>
      <c r="T37" s="895"/>
    </row>
    <row r="38" spans="1:20" s="554" customFormat="1" ht="69" customHeight="1">
      <c r="A38" s="15">
        <v>1</v>
      </c>
      <c r="B38" s="1424" t="s">
        <v>19</v>
      </c>
      <c r="C38" s="31">
        <v>0.57999999999999996</v>
      </c>
      <c r="D38" s="1484" t="s">
        <v>2000</v>
      </c>
      <c r="E38" s="20" t="s">
        <v>149</v>
      </c>
      <c r="F38" s="19" t="s">
        <v>486</v>
      </c>
      <c r="G38" s="1461" t="s">
        <v>1231</v>
      </c>
      <c r="H38" s="1461" t="s">
        <v>1232</v>
      </c>
      <c r="I38" s="1419" t="s">
        <v>4054</v>
      </c>
      <c r="J38" s="1419" t="s">
        <v>4053</v>
      </c>
      <c r="K38" s="50">
        <v>116250</v>
      </c>
      <c r="L38" s="606">
        <v>0.03</v>
      </c>
      <c r="M38" s="884">
        <v>0.01</v>
      </c>
      <c r="N38" s="1418" t="s">
        <v>34</v>
      </c>
      <c r="O38" s="1420" t="s">
        <v>4055</v>
      </c>
      <c r="P38" s="1681" t="s">
        <v>1314</v>
      </c>
      <c r="Q38" s="1702" t="s">
        <v>1169</v>
      </c>
      <c r="R38" s="630"/>
      <c r="S38" s="630"/>
      <c r="T38" s="630"/>
    </row>
    <row r="39" spans="1:20" s="823" customFormat="1" ht="69" customHeight="1">
      <c r="A39" s="15">
        <v>1</v>
      </c>
      <c r="B39" s="1424" t="s">
        <v>19</v>
      </c>
      <c r="C39" s="678" t="s">
        <v>68</v>
      </c>
      <c r="D39" s="1473" t="s">
        <v>2004</v>
      </c>
      <c r="E39" s="848" t="s">
        <v>817</v>
      </c>
      <c r="F39" s="1506" t="s">
        <v>486</v>
      </c>
      <c r="G39" s="1507" t="s">
        <v>43</v>
      </c>
      <c r="H39" s="1507" t="s">
        <v>43</v>
      </c>
      <c r="I39" s="1837" t="s">
        <v>4056</v>
      </c>
      <c r="J39" s="1837" t="s">
        <v>4057</v>
      </c>
      <c r="K39" s="880" t="s">
        <v>68</v>
      </c>
      <c r="L39" s="881" t="s">
        <v>68</v>
      </c>
      <c r="M39" s="1803" t="s">
        <v>68</v>
      </c>
      <c r="N39" s="1506" t="s">
        <v>68</v>
      </c>
      <c r="O39" s="1505" t="s">
        <v>4058</v>
      </c>
      <c r="P39" s="1823" t="s">
        <v>1077</v>
      </c>
      <c r="Q39" s="623"/>
      <c r="R39" s="630"/>
      <c r="S39" s="895"/>
      <c r="T39" s="895"/>
    </row>
    <row r="40" spans="1:20" s="823" customFormat="1" ht="61.5" customHeight="1">
      <c r="A40" s="15">
        <v>1</v>
      </c>
      <c r="B40" s="1424" t="s">
        <v>19</v>
      </c>
      <c r="C40" s="850">
        <v>0.48</v>
      </c>
      <c r="D40" s="1473" t="s">
        <v>2036</v>
      </c>
      <c r="E40" s="851" t="s">
        <v>817</v>
      </c>
      <c r="F40" s="1506" t="s">
        <v>486</v>
      </c>
      <c r="G40" s="852" t="s">
        <v>43</v>
      </c>
      <c r="H40" s="852" t="s">
        <v>43</v>
      </c>
      <c r="I40" s="1837" t="s">
        <v>4059</v>
      </c>
      <c r="J40" s="1837" t="s">
        <v>4060</v>
      </c>
      <c r="K40" s="852">
        <v>36278</v>
      </c>
      <c r="L40" s="881">
        <v>0.03</v>
      </c>
      <c r="M40" s="883">
        <v>0.01</v>
      </c>
      <c r="N40" s="1840" t="s">
        <v>34</v>
      </c>
      <c r="O40" s="1841" t="s">
        <v>4061</v>
      </c>
      <c r="P40" s="1823" t="s">
        <v>1314</v>
      </c>
      <c r="Q40" s="896"/>
      <c r="R40" s="630"/>
      <c r="S40" s="895"/>
      <c r="T40" s="895"/>
    </row>
    <row r="41" spans="1:20" s="822" customFormat="1" ht="59.25" customHeight="1">
      <c r="A41" s="15">
        <v>1</v>
      </c>
      <c r="B41" s="1424" t="s">
        <v>19</v>
      </c>
      <c r="C41" s="31">
        <v>5.25</v>
      </c>
      <c r="D41" s="1484" t="s">
        <v>2055</v>
      </c>
      <c r="E41" s="20" t="s">
        <v>149</v>
      </c>
      <c r="F41" s="19" t="s">
        <v>486</v>
      </c>
      <c r="G41" s="1461" t="s">
        <v>4062</v>
      </c>
      <c r="H41" s="1461" t="s">
        <v>4063</v>
      </c>
      <c r="I41" s="1461" t="s">
        <v>4064</v>
      </c>
      <c r="J41" s="1461" t="s">
        <v>4065</v>
      </c>
      <c r="K41" s="50">
        <v>1050000</v>
      </c>
      <c r="L41" s="606">
        <v>0.03</v>
      </c>
      <c r="M41" s="884">
        <v>0.15</v>
      </c>
      <c r="N41" s="1462" t="s">
        <v>34</v>
      </c>
      <c r="O41" s="1791" t="s">
        <v>4066</v>
      </c>
      <c r="P41" s="1792" t="s">
        <v>1329</v>
      </c>
      <c r="Q41" s="623" t="s">
        <v>1383</v>
      </c>
    </row>
    <row r="42" spans="1:20" s="822" customFormat="1" ht="90.75" customHeight="1">
      <c r="A42" s="15">
        <v>1</v>
      </c>
      <c r="B42" s="1424" t="s">
        <v>45</v>
      </c>
      <c r="C42" s="832">
        <v>85.64</v>
      </c>
      <c r="D42" s="1473" t="s">
        <v>2059</v>
      </c>
      <c r="E42" s="848" t="s">
        <v>817</v>
      </c>
      <c r="F42" s="846" t="s">
        <v>68</v>
      </c>
      <c r="G42" s="1507" t="s">
        <v>43</v>
      </c>
      <c r="H42" s="1507" t="s">
        <v>43</v>
      </c>
      <c r="I42" s="1507" t="s">
        <v>4067</v>
      </c>
      <c r="J42" s="1507" t="s">
        <v>4068</v>
      </c>
      <c r="K42" s="880">
        <v>5000000</v>
      </c>
      <c r="L42" s="881">
        <v>0.05</v>
      </c>
      <c r="M42" s="883">
        <v>4.28</v>
      </c>
      <c r="N42" s="1508" t="s">
        <v>68</v>
      </c>
      <c r="O42" s="1795" t="s">
        <v>4069</v>
      </c>
      <c r="P42" s="1796" t="s">
        <v>907</v>
      </c>
      <c r="Q42" s="623"/>
    </row>
    <row r="43" spans="1:20" s="822" customFormat="1" ht="93.75" customHeight="1">
      <c r="A43" s="15">
        <v>2</v>
      </c>
      <c r="B43" s="1424" t="s">
        <v>45</v>
      </c>
      <c r="C43" s="678">
        <v>342.5</v>
      </c>
      <c r="D43" s="1473" t="s">
        <v>2066</v>
      </c>
      <c r="E43" s="848" t="s">
        <v>817</v>
      </c>
      <c r="F43" s="1506" t="s">
        <v>68</v>
      </c>
      <c r="G43" s="1507" t="s">
        <v>4070</v>
      </c>
      <c r="H43" s="1507" t="s">
        <v>4071</v>
      </c>
      <c r="I43" s="1842" t="s">
        <v>4072</v>
      </c>
      <c r="J43" s="1507" t="s">
        <v>4073</v>
      </c>
      <c r="K43" s="880">
        <v>68500000</v>
      </c>
      <c r="L43" s="881">
        <v>0.03</v>
      </c>
      <c r="M43" s="883">
        <v>10.27</v>
      </c>
      <c r="N43" s="1508" t="s">
        <v>34</v>
      </c>
      <c r="O43" s="1795" t="s">
        <v>4074</v>
      </c>
      <c r="P43" s="1796" t="s">
        <v>710</v>
      </c>
      <c r="Q43" s="897"/>
    </row>
    <row r="44" spans="1:20" s="822" customFormat="1" ht="87.75" customHeight="1">
      <c r="A44" s="15">
        <v>1</v>
      </c>
      <c r="B44" s="1424" t="s">
        <v>45</v>
      </c>
      <c r="C44" s="678">
        <v>9.5</v>
      </c>
      <c r="D44" s="1473" t="s">
        <v>2072</v>
      </c>
      <c r="E44" s="848" t="s">
        <v>195</v>
      </c>
      <c r="F44" s="846" t="s">
        <v>1447</v>
      </c>
      <c r="G44" s="1507" t="s">
        <v>4075</v>
      </c>
      <c r="H44" s="1507" t="s">
        <v>4076</v>
      </c>
      <c r="I44" s="1507" t="s">
        <v>4077</v>
      </c>
      <c r="J44" s="1507" t="s">
        <v>4078</v>
      </c>
      <c r="K44" s="880">
        <v>1900000</v>
      </c>
      <c r="L44" s="881" t="s">
        <v>68</v>
      </c>
      <c r="M44" s="1803" t="s">
        <v>68</v>
      </c>
      <c r="N44" s="1508" t="s">
        <v>4079</v>
      </c>
      <c r="O44" s="1795" t="s">
        <v>4080</v>
      </c>
      <c r="P44" s="1796" t="s">
        <v>1351</v>
      </c>
      <c r="Q44" s="623"/>
    </row>
    <row r="45" spans="1:20" s="822" customFormat="1" ht="71.25" customHeight="1">
      <c r="A45" s="15">
        <v>1</v>
      </c>
      <c r="B45" s="1424" t="s">
        <v>45</v>
      </c>
      <c r="C45" s="31">
        <v>12</v>
      </c>
      <c r="D45" s="1484" t="s">
        <v>4081</v>
      </c>
      <c r="E45" s="20" t="s">
        <v>149</v>
      </c>
      <c r="F45" s="19" t="s">
        <v>486</v>
      </c>
      <c r="G45" s="1461" t="s">
        <v>4082</v>
      </c>
      <c r="H45" s="1461" t="s">
        <v>4083</v>
      </c>
      <c r="I45" s="1461" t="s">
        <v>4084</v>
      </c>
      <c r="J45" s="1461" t="s">
        <v>4085</v>
      </c>
      <c r="K45" s="50">
        <v>2400000</v>
      </c>
      <c r="L45" s="606">
        <v>0.03</v>
      </c>
      <c r="M45" s="884">
        <v>0.36</v>
      </c>
      <c r="N45" s="1462" t="s">
        <v>4086</v>
      </c>
      <c r="O45" s="1843" t="s">
        <v>4087</v>
      </c>
      <c r="P45" s="1792" t="s">
        <v>1375</v>
      </c>
      <c r="Q45" s="623" t="s">
        <v>1383</v>
      </c>
    </row>
    <row r="46" spans="1:20" s="822" customFormat="1" ht="75.75" customHeight="1">
      <c r="A46" s="15">
        <v>1</v>
      </c>
      <c r="B46" s="1424" t="s">
        <v>19</v>
      </c>
      <c r="C46" s="31" t="s">
        <v>68</v>
      </c>
      <c r="D46" s="1484" t="s">
        <v>4088</v>
      </c>
      <c r="E46" s="20" t="s">
        <v>149</v>
      </c>
      <c r="F46" s="19" t="s">
        <v>486</v>
      </c>
      <c r="G46" s="1461" t="s">
        <v>43</v>
      </c>
      <c r="H46" s="1461" t="s">
        <v>43</v>
      </c>
      <c r="I46" s="1461" t="s">
        <v>4089</v>
      </c>
      <c r="J46" s="1461" t="s">
        <v>4090</v>
      </c>
      <c r="K46" s="50" t="s">
        <v>68</v>
      </c>
      <c r="L46" s="606">
        <v>0.05</v>
      </c>
      <c r="M46" s="1801" t="s">
        <v>68</v>
      </c>
      <c r="N46" s="1462" t="s">
        <v>68</v>
      </c>
      <c r="O46" s="1422" t="s">
        <v>49</v>
      </c>
      <c r="P46" s="1792" t="s">
        <v>1351</v>
      </c>
      <c r="Q46" s="623"/>
    </row>
    <row r="47" spans="1:20" s="822" customFormat="1" ht="66.75" customHeight="1">
      <c r="A47" s="15">
        <v>4</v>
      </c>
      <c r="B47" s="1424" t="s">
        <v>45</v>
      </c>
      <c r="C47" s="31">
        <v>0.3</v>
      </c>
      <c r="D47" s="1484" t="s">
        <v>2070</v>
      </c>
      <c r="E47" s="20" t="s">
        <v>149</v>
      </c>
      <c r="F47" s="19" t="s">
        <v>486</v>
      </c>
      <c r="G47" s="1461" t="s">
        <v>43</v>
      </c>
      <c r="H47" s="1461" t="s">
        <v>43</v>
      </c>
      <c r="I47" s="1461" t="s">
        <v>4070</v>
      </c>
      <c r="J47" s="1461" t="s">
        <v>4091</v>
      </c>
      <c r="K47" s="50">
        <v>60000</v>
      </c>
      <c r="L47" s="606">
        <v>0.03</v>
      </c>
      <c r="M47" s="884">
        <v>8.9999999999999993E-3</v>
      </c>
      <c r="N47" s="1462" t="s">
        <v>34</v>
      </c>
      <c r="O47" s="1422" t="s">
        <v>49</v>
      </c>
      <c r="P47" s="1792" t="s">
        <v>4092</v>
      </c>
      <c r="Q47" s="623"/>
    </row>
    <row r="48" spans="1:20" s="822" customFormat="1" ht="65.25" customHeight="1">
      <c r="A48" s="15">
        <v>1</v>
      </c>
      <c r="B48" s="1424" t="s">
        <v>45</v>
      </c>
      <c r="C48" s="31">
        <v>4.5</v>
      </c>
      <c r="D48" s="1484" t="s">
        <v>2097</v>
      </c>
      <c r="E48" s="20" t="s">
        <v>149</v>
      </c>
      <c r="F48" s="19" t="s">
        <v>486</v>
      </c>
      <c r="G48" s="1461" t="s">
        <v>43</v>
      </c>
      <c r="H48" s="1461" t="s">
        <v>43</v>
      </c>
      <c r="I48" s="1844" t="s">
        <v>1393</v>
      </c>
      <c r="J48" s="1844" t="s">
        <v>4093</v>
      </c>
      <c r="K48" s="885">
        <v>900000</v>
      </c>
      <c r="L48" s="886">
        <v>0.03</v>
      </c>
      <c r="M48" s="884">
        <v>0.13</v>
      </c>
      <c r="N48" s="1462" t="s">
        <v>34</v>
      </c>
      <c r="O48" s="1791" t="s">
        <v>4094</v>
      </c>
      <c r="P48" s="1792" t="s">
        <v>1375</v>
      </c>
      <c r="Q48" s="623"/>
      <c r="R48" s="631"/>
      <c r="S48" s="631"/>
      <c r="T48" s="631"/>
    </row>
    <row r="49" spans="1:17" s="822" customFormat="1" ht="83.25" customHeight="1">
      <c r="A49" s="15">
        <v>1</v>
      </c>
      <c r="B49" s="1424" t="s">
        <v>19</v>
      </c>
      <c r="C49" s="678">
        <v>2.25</v>
      </c>
      <c r="D49" s="1473" t="s">
        <v>2102</v>
      </c>
      <c r="E49" s="848" t="s">
        <v>195</v>
      </c>
      <c r="F49" s="846" t="s">
        <v>1447</v>
      </c>
      <c r="G49" s="1507" t="s">
        <v>804</v>
      </c>
      <c r="H49" s="1507" t="s">
        <v>4095</v>
      </c>
      <c r="I49" s="1507" t="s">
        <v>4096</v>
      </c>
      <c r="J49" s="1507" t="s">
        <v>4097</v>
      </c>
      <c r="K49" s="887">
        <v>450000</v>
      </c>
      <c r="L49" s="881">
        <v>0.03</v>
      </c>
      <c r="M49" s="883">
        <v>0.06</v>
      </c>
      <c r="N49" s="1508" t="s">
        <v>34</v>
      </c>
      <c r="O49" s="1795" t="s">
        <v>4098</v>
      </c>
      <c r="P49" s="1796" t="s">
        <v>1351</v>
      </c>
      <c r="Q49" s="623"/>
    </row>
    <row r="50" spans="1:17" s="822" customFormat="1" ht="71.25" customHeight="1">
      <c r="A50" s="15">
        <v>1</v>
      </c>
      <c r="B50" s="1424" t="s">
        <v>19</v>
      </c>
      <c r="C50" s="678">
        <v>0.22</v>
      </c>
      <c r="D50" s="1473" t="s">
        <v>4099</v>
      </c>
      <c r="E50" s="848" t="s">
        <v>149</v>
      </c>
      <c r="F50" s="846" t="s">
        <v>486</v>
      </c>
      <c r="G50" s="1507" t="s">
        <v>804</v>
      </c>
      <c r="H50" s="1507" t="s">
        <v>4100</v>
      </c>
      <c r="I50" s="1507" t="s">
        <v>4101</v>
      </c>
      <c r="J50" s="1507" t="s">
        <v>4102</v>
      </c>
      <c r="K50" s="887">
        <v>45000</v>
      </c>
      <c r="L50" s="881">
        <v>0.03</v>
      </c>
      <c r="M50" s="883">
        <v>6.0000000000000001E-3</v>
      </c>
      <c r="N50" s="1508" t="s">
        <v>34</v>
      </c>
      <c r="O50" s="1795" t="s">
        <v>4103</v>
      </c>
      <c r="P50" s="1796" t="s">
        <v>1351</v>
      </c>
      <c r="Q50" s="898"/>
    </row>
    <row r="51" spans="1:17" s="822" customFormat="1" ht="68.25" customHeight="1">
      <c r="A51" s="15">
        <v>1</v>
      </c>
      <c r="B51" s="1424" t="s">
        <v>45</v>
      </c>
      <c r="C51" s="678">
        <v>5</v>
      </c>
      <c r="D51" s="1473" t="s">
        <v>2115</v>
      </c>
      <c r="E51" s="848" t="s">
        <v>195</v>
      </c>
      <c r="F51" s="846" t="s">
        <v>1447</v>
      </c>
      <c r="G51" s="1507" t="s">
        <v>4104</v>
      </c>
      <c r="H51" s="1507" t="s">
        <v>4105</v>
      </c>
      <c r="I51" s="1507" t="s">
        <v>4106</v>
      </c>
      <c r="J51" s="1507" t="s">
        <v>4107</v>
      </c>
      <c r="K51" s="887">
        <v>1000000</v>
      </c>
      <c r="L51" s="881">
        <v>0.05</v>
      </c>
      <c r="M51" s="883">
        <v>0.25</v>
      </c>
      <c r="N51" s="1508" t="s">
        <v>34</v>
      </c>
      <c r="O51" s="1795" t="s">
        <v>3896</v>
      </c>
      <c r="P51" s="1796" t="s">
        <v>1351</v>
      </c>
      <c r="Q51" s="898" t="s">
        <v>4108</v>
      </c>
    </row>
    <row r="52" spans="1:17" s="822" customFormat="1" ht="68.25" customHeight="1">
      <c r="A52" s="15">
        <v>1</v>
      </c>
      <c r="B52" s="1424" t="s">
        <v>45</v>
      </c>
      <c r="C52" s="587">
        <v>28.99</v>
      </c>
      <c r="D52" s="1484" t="s">
        <v>2109</v>
      </c>
      <c r="E52" s="20" t="s">
        <v>149</v>
      </c>
      <c r="F52" s="19" t="s">
        <v>486</v>
      </c>
      <c r="G52" s="1461" t="s">
        <v>43</v>
      </c>
      <c r="H52" s="1461" t="s">
        <v>43</v>
      </c>
      <c r="I52" s="1461" t="s">
        <v>4109</v>
      </c>
      <c r="J52" s="1461" t="s">
        <v>68</v>
      </c>
      <c r="K52" s="885">
        <v>1600000</v>
      </c>
      <c r="L52" s="606">
        <v>0.05</v>
      </c>
      <c r="M52" s="884">
        <v>1.44</v>
      </c>
      <c r="N52" s="1462" t="s">
        <v>68</v>
      </c>
      <c r="O52" s="1791" t="s">
        <v>4110</v>
      </c>
      <c r="P52" s="1792" t="s">
        <v>1351</v>
      </c>
      <c r="Q52" s="898"/>
    </row>
    <row r="53" spans="1:17" s="824" customFormat="1" ht="71.25" customHeight="1">
      <c r="A53" s="853">
        <v>1</v>
      </c>
      <c r="B53" s="1424" t="s">
        <v>45</v>
      </c>
      <c r="C53" s="854">
        <v>20</v>
      </c>
      <c r="D53" s="1505" t="s">
        <v>4111</v>
      </c>
      <c r="E53" s="848" t="s">
        <v>195</v>
      </c>
      <c r="F53" s="846" t="s">
        <v>1447</v>
      </c>
      <c r="G53" s="1507" t="s">
        <v>4112</v>
      </c>
      <c r="H53" s="1507" t="s">
        <v>4113</v>
      </c>
      <c r="I53" s="1507" t="s">
        <v>4114</v>
      </c>
      <c r="J53" s="1507" t="s">
        <v>4115</v>
      </c>
      <c r="K53" s="887">
        <v>4000000</v>
      </c>
      <c r="L53" s="881">
        <v>0.03</v>
      </c>
      <c r="M53" s="883">
        <v>0.6</v>
      </c>
      <c r="N53" s="1508" t="s">
        <v>34</v>
      </c>
      <c r="O53" s="1839" t="s">
        <v>4116</v>
      </c>
      <c r="P53" s="1796" t="s">
        <v>907</v>
      </c>
      <c r="Q53" s="623" t="s">
        <v>4117</v>
      </c>
    </row>
    <row r="54" spans="1:17" s="824" customFormat="1" ht="71.25" customHeight="1">
      <c r="A54" s="853">
        <v>1</v>
      </c>
      <c r="B54" s="1424" t="s">
        <v>45</v>
      </c>
      <c r="C54" s="855">
        <v>0.3</v>
      </c>
      <c r="D54" s="1420" t="s">
        <v>2132</v>
      </c>
      <c r="E54" s="20" t="s">
        <v>149</v>
      </c>
      <c r="F54" s="19" t="s">
        <v>486</v>
      </c>
      <c r="G54" s="1461" t="s">
        <v>43</v>
      </c>
      <c r="H54" s="1461" t="s">
        <v>43</v>
      </c>
      <c r="I54" s="1461" t="s">
        <v>4118</v>
      </c>
      <c r="J54" s="1461" t="s">
        <v>4119</v>
      </c>
      <c r="K54" s="885">
        <v>60000</v>
      </c>
      <c r="L54" s="606">
        <v>0.03</v>
      </c>
      <c r="M54" s="884">
        <v>0.03</v>
      </c>
      <c r="N54" s="1462" t="s">
        <v>34</v>
      </c>
      <c r="O54" s="1422" t="s">
        <v>49</v>
      </c>
      <c r="P54" s="1792" t="s">
        <v>907</v>
      </c>
      <c r="Q54" s="623"/>
    </row>
    <row r="55" spans="1:17" s="824" customFormat="1" ht="79.5" customHeight="1">
      <c r="A55" s="853">
        <v>1</v>
      </c>
      <c r="B55" s="1424" t="s">
        <v>45</v>
      </c>
      <c r="C55" s="855">
        <v>2.89</v>
      </c>
      <c r="D55" s="1420" t="s">
        <v>2142</v>
      </c>
      <c r="E55" s="20" t="s">
        <v>149</v>
      </c>
      <c r="F55" s="19" t="s">
        <v>486</v>
      </c>
      <c r="G55" s="1461" t="s">
        <v>4120</v>
      </c>
      <c r="H55" s="1461" t="s">
        <v>3920</v>
      </c>
      <c r="I55" s="1461" t="s">
        <v>4121</v>
      </c>
      <c r="J55" s="1461" t="s">
        <v>4122</v>
      </c>
      <c r="K55" s="885">
        <v>579000</v>
      </c>
      <c r="L55" s="606">
        <v>0.03</v>
      </c>
      <c r="M55" s="884">
        <v>0.08</v>
      </c>
      <c r="N55" s="1462" t="s">
        <v>34</v>
      </c>
      <c r="O55" s="1791" t="s">
        <v>4123</v>
      </c>
      <c r="P55" s="1792" t="s">
        <v>1141</v>
      </c>
      <c r="Q55" s="623"/>
    </row>
  </sheetData>
  <mergeCells count="2">
    <mergeCell ref="A1:P1"/>
    <mergeCell ref="D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5"/>
  <sheetViews>
    <sheetView zoomScale="55" zoomScaleNormal="55" zoomScaleSheetLayoutView="25" workbookViewId="0">
      <selection activeCell="A2" sqref="A2:XFD4"/>
    </sheetView>
  </sheetViews>
  <sheetFormatPr defaultColWidth="8.81640625" defaultRowHeight="25"/>
  <cols>
    <col min="1" max="1" width="8" style="1185" customWidth="1"/>
    <col min="2" max="2" width="16.7265625" style="1185" customWidth="1"/>
    <col min="3" max="3" width="10" style="1185" customWidth="1"/>
    <col min="4" max="4" width="17.81640625" style="1185" customWidth="1"/>
    <col min="5" max="5" width="110.7265625" style="1185" customWidth="1"/>
    <col min="6" max="6" width="38.7265625" style="1185" customWidth="1"/>
    <col min="7" max="7" width="37.1796875" style="1185" customWidth="1"/>
    <col min="8" max="8" width="38.1796875" style="1185" customWidth="1"/>
    <col min="9" max="9" width="40.1796875" style="1185" customWidth="1"/>
    <col min="10" max="10" width="29.54296875" style="1185" customWidth="1"/>
    <col min="11" max="11" width="19.1796875" style="1185" customWidth="1"/>
    <col min="12" max="12" width="15.26953125" style="1185" customWidth="1"/>
    <col min="13" max="13" width="30" style="1392" customWidth="1"/>
    <col min="14" max="14" width="65.81640625" style="1185" customWidth="1"/>
    <col min="15" max="15" width="54.81640625" style="1393" customWidth="1"/>
    <col min="16" max="16" width="59.26953125" style="1185" customWidth="1"/>
    <col min="17" max="17" width="88" style="1392" customWidth="1"/>
    <col min="18" max="18" width="42" style="1185" customWidth="1"/>
    <col min="19" max="19" width="122.7265625" style="1394" customWidth="1"/>
    <col min="20" max="16384" width="8.81640625" style="1185"/>
  </cols>
  <sheetData>
    <row r="1" spans="1:21" s="2348" customFormat="1" ht="45" customHeight="1" thickBot="1">
      <c r="A1" s="3030" t="s">
        <v>105</v>
      </c>
      <c r="B1" s="3031"/>
      <c r="C1" s="3031"/>
      <c r="D1" s="3031"/>
      <c r="E1" s="3031"/>
      <c r="F1" s="3031"/>
      <c r="G1" s="3031"/>
      <c r="H1" s="3031"/>
      <c r="I1" s="3031"/>
      <c r="J1" s="3031"/>
      <c r="K1" s="3031"/>
      <c r="L1" s="3031"/>
      <c r="M1" s="3031"/>
      <c r="N1" s="3031"/>
      <c r="O1" s="3032"/>
      <c r="Q1" s="2349"/>
      <c r="S1" s="2350"/>
      <c r="U1" s="2351"/>
    </row>
    <row r="5" spans="1:21" s="899" customFormat="1" ht="52.9" customHeight="1">
      <c r="A5" s="36">
        <v>1</v>
      </c>
      <c r="B5" s="1445" t="s">
        <v>45</v>
      </c>
      <c r="C5" s="1202"/>
      <c r="D5" s="1446" t="s">
        <v>68</v>
      </c>
      <c r="E5" s="1395" t="s">
        <v>193</v>
      </c>
      <c r="F5" s="1447" t="s">
        <v>673</v>
      </c>
      <c r="G5" s="1446" t="s">
        <v>674</v>
      </c>
      <c r="H5" s="1446" t="s">
        <v>33</v>
      </c>
      <c r="I5" s="1446" t="s">
        <v>675</v>
      </c>
      <c r="J5" s="1404">
        <v>2000000</v>
      </c>
      <c r="K5" s="1405">
        <v>0.1</v>
      </c>
      <c r="L5" s="1446" t="s">
        <v>68</v>
      </c>
      <c r="M5" s="1446" t="s">
        <v>34</v>
      </c>
      <c r="N5" s="1446" t="s">
        <v>49</v>
      </c>
      <c r="O5" s="1448" t="s">
        <v>676</v>
      </c>
      <c r="P5" s="1185"/>
      <c r="Q5" s="1392"/>
      <c r="R5" s="1185"/>
      <c r="S5" s="1284"/>
      <c r="T5" s="1185"/>
      <c r="U5" s="1285"/>
    </row>
    <row r="6" spans="1:21" s="899" customFormat="1" ht="52.9" customHeight="1">
      <c r="A6" s="30">
        <v>2</v>
      </c>
      <c r="B6" s="1449" t="s">
        <v>45</v>
      </c>
      <c r="C6" s="385"/>
      <c r="D6" s="1450" t="s">
        <v>68</v>
      </c>
      <c r="E6" s="1396" t="s">
        <v>197</v>
      </c>
      <c r="F6" s="1451" t="s">
        <v>673</v>
      </c>
      <c r="G6" s="1446" t="s">
        <v>674</v>
      </c>
      <c r="H6" s="1446" t="s">
        <v>33</v>
      </c>
      <c r="I6" s="1452" t="s">
        <v>675</v>
      </c>
      <c r="J6" s="1406">
        <v>1000000</v>
      </c>
      <c r="K6" s="1407">
        <v>0.1</v>
      </c>
      <c r="L6" s="1446" t="s">
        <v>68</v>
      </c>
      <c r="M6" s="1450" t="s">
        <v>34</v>
      </c>
      <c r="N6" s="1453" t="s">
        <v>677</v>
      </c>
      <c r="O6" s="1454" t="s">
        <v>676</v>
      </c>
      <c r="P6" s="1185"/>
      <c r="Q6" s="1392"/>
      <c r="R6" s="1185"/>
      <c r="S6" s="1284"/>
      <c r="T6" s="1185"/>
      <c r="U6" s="1285"/>
    </row>
    <row r="7" spans="1:21" s="899" customFormat="1" ht="52.9" customHeight="1">
      <c r="A7" s="28">
        <v>3</v>
      </c>
      <c r="B7" s="1449" t="s">
        <v>45</v>
      </c>
      <c r="C7" s="385"/>
      <c r="D7" s="1450" t="s">
        <v>68</v>
      </c>
      <c r="E7" s="1396" t="s">
        <v>200</v>
      </c>
      <c r="F7" s="1451" t="s">
        <v>673</v>
      </c>
      <c r="G7" s="1450" t="s">
        <v>674</v>
      </c>
      <c r="H7" s="1450" t="s">
        <v>33</v>
      </c>
      <c r="I7" s="1450" t="s">
        <v>675</v>
      </c>
      <c r="J7" s="1406">
        <v>1500000</v>
      </c>
      <c r="K7" s="1407">
        <v>0.1</v>
      </c>
      <c r="L7" s="1450" t="s">
        <v>68</v>
      </c>
      <c r="M7" s="1450" t="s">
        <v>34</v>
      </c>
      <c r="N7" s="1453" t="s">
        <v>677</v>
      </c>
      <c r="O7" s="1454" t="s">
        <v>676</v>
      </c>
      <c r="P7" s="1185"/>
      <c r="Q7" s="1392"/>
      <c r="R7" s="1185"/>
      <c r="S7" s="1284"/>
      <c r="T7" s="1185"/>
      <c r="U7" s="1285"/>
    </row>
    <row r="8" spans="1:21" s="899" customFormat="1" ht="52.9" customHeight="1">
      <c r="A8" s="28">
        <v>4</v>
      </c>
      <c r="B8" s="1449" t="s">
        <v>45</v>
      </c>
      <c r="C8" s="385"/>
      <c r="D8" s="1450" t="s">
        <v>68</v>
      </c>
      <c r="E8" s="1396" t="s">
        <v>203</v>
      </c>
      <c r="F8" s="1451" t="s">
        <v>673</v>
      </c>
      <c r="G8" s="1450" t="s">
        <v>674</v>
      </c>
      <c r="H8" s="1450" t="s">
        <v>33</v>
      </c>
      <c r="I8" s="1452" t="s">
        <v>675</v>
      </c>
      <c r="J8" s="1406">
        <v>442000</v>
      </c>
      <c r="K8" s="1407">
        <v>0.1</v>
      </c>
      <c r="L8" s="1450" t="s">
        <v>68</v>
      </c>
      <c r="M8" s="1450" t="s">
        <v>34</v>
      </c>
      <c r="N8" s="1450" t="s">
        <v>49</v>
      </c>
      <c r="O8" s="1454" t="s">
        <v>676</v>
      </c>
      <c r="P8" s="1185"/>
      <c r="Q8" s="1392"/>
      <c r="R8" s="1185"/>
      <c r="S8" s="1284"/>
      <c r="T8" s="1185"/>
      <c r="U8" s="1285"/>
    </row>
    <row r="9" spans="1:21" s="899" customFormat="1" ht="52.9" customHeight="1">
      <c r="A9" s="30">
        <v>5</v>
      </c>
      <c r="B9" s="1449" t="s">
        <v>45</v>
      </c>
      <c r="C9" s="385"/>
      <c r="D9" s="1450" t="s">
        <v>68</v>
      </c>
      <c r="E9" s="1396" t="s">
        <v>206</v>
      </c>
      <c r="F9" s="1447" t="s">
        <v>673</v>
      </c>
      <c r="G9" s="1446" t="s">
        <v>674</v>
      </c>
      <c r="H9" s="1446" t="s">
        <v>33</v>
      </c>
      <c r="I9" s="1446" t="s">
        <v>675</v>
      </c>
      <c r="J9" s="1406">
        <v>396600</v>
      </c>
      <c r="K9" s="1407">
        <v>0.1</v>
      </c>
      <c r="L9" s="1446" t="s">
        <v>68</v>
      </c>
      <c r="M9" s="1450" t="s">
        <v>34</v>
      </c>
      <c r="N9" s="1450" t="s">
        <v>49</v>
      </c>
      <c r="O9" s="1454" t="s">
        <v>676</v>
      </c>
      <c r="P9" s="1185"/>
      <c r="Q9" s="1392"/>
      <c r="R9" s="1185"/>
      <c r="S9" s="1284"/>
      <c r="T9" s="1185"/>
      <c r="U9" s="1285"/>
    </row>
    <row r="10" spans="1:21" s="899" customFormat="1" ht="52.9" customHeight="1">
      <c r="A10" s="30">
        <v>6</v>
      </c>
      <c r="B10" s="1449" t="s">
        <v>45</v>
      </c>
      <c r="C10" s="385"/>
      <c r="D10" s="1450" t="s">
        <v>68</v>
      </c>
      <c r="E10" s="1396" t="s">
        <v>209</v>
      </c>
      <c r="F10" s="1451" t="s">
        <v>673</v>
      </c>
      <c r="G10" s="1446" t="s">
        <v>674</v>
      </c>
      <c r="H10" s="1446" t="s">
        <v>33</v>
      </c>
      <c r="I10" s="1452" t="s">
        <v>675</v>
      </c>
      <c r="J10" s="1406">
        <v>238950</v>
      </c>
      <c r="K10" s="1407">
        <v>0.1</v>
      </c>
      <c r="L10" s="1446" t="s">
        <v>68</v>
      </c>
      <c r="M10" s="1450" t="s">
        <v>34</v>
      </c>
      <c r="N10" s="1450" t="s">
        <v>49</v>
      </c>
      <c r="O10" s="1454" t="s">
        <v>676</v>
      </c>
      <c r="P10" s="1185"/>
      <c r="Q10" s="1392"/>
      <c r="R10" s="1185"/>
      <c r="S10" s="1284"/>
      <c r="T10" s="1185"/>
      <c r="U10" s="1285"/>
    </row>
    <row r="11" spans="1:21" s="899" customFormat="1" ht="52.9" customHeight="1">
      <c r="A11" s="30">
        <v>7</v>
      </c>
      <c r="B11" s="1449" t="s">
        <v>45</v>
      </c>
      <c r="C11" s="385"/>
      <c r="D11" s="1450" t="s">
        <v>68</v>
      </c>
      <c r="E11" s="1396" t="s">
        <v>212</v>
      </c>
      <c r="F11" s="1447" t="s">
        <v>673</v>
      </c>
      <c r="G11" s="1446" t="s">
        <v>674</v>
      </c>
      <c r="H11" s="1446" t="s">
        <v>33</v>
      </c>
      <c r="I11" s="1446" t="s">
        <v>675</v>
      </c>
      <c r="J11" s="1406">
        <v>202350</v>
      </c>
      <c r="K11" s="1407">
        <v>0.1</v>
      </c>
      <c r="L11" s="1446" t="s">
        <v>68</v>
      </c>
      <c r="M11" s="1450" t="s">
        <v>34</v>
      </c>
      <c r="N11" s="1450" t="s">
        <v>49</v>
      </c>
      <c r="O11" s="1454" t="s">
        <v>676</v>
      </c>
      <c r="P11" s="1185"/>
      <c r="Q11" s="1392"/>
      <c r="R11" s="1185"/>
      <c r="S11" s="1284"/>
      <c r="T11" s="1185"/>
      <c r="U11" s="1285"/>
    </row>
    <row r="12" spans="1:21" s="899" customFormat="1" ht="52.9" customHeight="1">
      <c r="A12" s="30">
        <v>8</v>
      </c>
      <c r="B12" s="1449" t="s">
        <v>45</v>
      </c>
      <c r="C12" s="385"/>
      <c r="D12" s="1450" t="s">
        <v>68</v>
      </c>
      <c r="E12" s="1396" t="s">
        <v>215</v>
      </c>
      <c r="F12" s="1451" t="s">
        <v>673</v>
      </c>
      <c r="G12" s="1446" t="s">
        <v>674</v>
      </c>
      <c r="H12" s="1446" t="s">
        <v>33</v>
      </c>
      <c r="I12" s="1452" t="s">
        <v>675</v>
      </c>
      <c r="J12" s="1406">
        <v>200000</v>
      </c>
      <c r="K12" s="1407">
        <v>0.1</v>
      </c>
      <c r="L12" s="1446" t="s">
        <v>68</v>
      </c>
      <c r="M12" s="1450" t="s">
        <v>34</v>
      </c>
      <c r="N12" s="1450" t="s">
        <v>49</v>
      </c>
      <c r="O12" s="1454" t="s">
        <v>676</v>
      </c>
      <c r="P12" s="1185"/>
      <c r="Q12" s="1392"/>
      <c r="R12" s="1185"/>
      <c r="S12" s="1284"/>
      <c r="T12" s="1185"/>
      <c r="U12" s="1285"/>
    </row>
    <row r="13" spans="1:21" s="899" customFormat="1" ht="52.9" customHeight="1">
      <c r="A13" s="30">
        <v>9</v>
      </c>
      <c r="B13" s="1449" t="s">
        <v>45</v>
      </c>
      <c r="C13" s="385"/>
      <c r="D13" s="1450" t="s">
        <v>68</v>
      </c>
      <c r="E13" s="1396" t="s">
        <v>218</v>
      </c>
      <c r="F13" s="1447" t="s">
        <v>673</v>
      </c>
      <c r="G13" s="1446" t="s">
        <v>674</v>
      </c>
      <c r="H13" s="1446" t="s">
        <v>33</v>
      </c>
      <c r="I13" s="1446" t="s">
        <v>675</v>
      </c>
      <c r="J13" s="1406">
        <v>200000</v>
      </c>
      <c r="K13" s="1407">
        <v>0.1</v>
      </c>
      <c r="L13" s="1446" t="s">
        <v>68</v>
      </c>
      <c r="M13" s="1450" t="s">
        <v>34</v>
      </c>
      <c r="N13" s="1450" t="s">
        <v>49</v>
      </c>
      <c r="O13" s="1454" t="s">
        <v>676</v>
      </c>
      <c r="P13" s="1185"/>
      <c r="Q13" s="1392"/>
      <c r="R13" s="1185"/>
      <c r="S13" s="1284"/>
      <c r="T13" s="1185"/>
      <c r="U13" s="1285"/>
    </row>
    <row r="14" spans="1:21" s="899" customFormat="1" ht="52.9" customHeight="1">
      <c r="A14" s="30">
        <v>10</v>
      </c>
      <c r="B14" s="1449" t="s">
        <v>45</v>
      </c>
      <c r="C14" s="385"/>
      <c r="D14" s="1450" t="s">
        <v>68</v>
      </c>
      <c r="E14" s="1396" t="s">
        <v>221</v>
      </c>
      <c r="F14" s="1451" t="s">
        <v>673</v>
      </c>
      <c r="G14" s="1446" t="s">
        <v>674</v>
      </c>
      <c r="H14" s="1446" t="s">
        <v>33</v>
      </c>
      <c r="I14" s="1452" t="s">
        <v>675</v>
      </c>
      <c r="J14" s="1406">
        <v>200000</v>
      </c>
      <c r="K14" s="1407">
        <v>0.1</v>
      </c>
      <c r="L14" s="1446" t="s">
        <v>68</v>
      </c>
      <c r="M14" s="1450" t="s">
        <v>34</v>
      </c>
      <c r="N14" s="1450" t="s">
        <v>49</v>
      </c>
      <c r="O14" s="1454" t="s">
        <v>676</v>
      </c>
      <c r="P14" s="1185"/>
      <c r="Q14" s="1392"/>
      <c r="R14" s="1185"/>
      <c r="S14" s="1284"/>
      <c r="T14" s="1185"/>
      <c r="U14" s="1285"/>
    </row>
    <row r="15" spans="1:21" s="899" customFormat="1" ht="52.9" customHeight="1">
      <c r="A15" s="30">
        <v>11</v>
      </c>
      <c r="B15" s="1449" t="s">
        <v>45</v>
      </c>
      <c r="C15" s="385"/>
      <c r="D15" s="1450" t="s">
        <v>68</v>
      </c>
      <c r="E15" s="1396" t="s">
        <v>224</v>
      </c>
      <c r="F15" s="1447" t="s">
        <v>673</v>
      </c>
      <c r="G15" s="1446" t="s">
        <v>674</v>
      </c>
      <c r="H15" s="1446" t="s">
        <v>33</v>
      </c>
      <c r="I15" s="1446" t="s">
        <v>675</v>
      </c>
      <c r="J15" s="1406">
        <v>200000</v>
      </c>
      <c r="K15" s="1407">
        <v>0.1</v>
      </c>
      <c r="L15" s="1446" t="s">
        <v>68</v>
      </c>
      <c r="M15" s="1450" t="s">
        <v>34</v>
      </c>
      <c r="N15" s="1450" t="s">
        <v>49</v>
      </c>
      <c r="O15" s="1454" t="s">
        <v>676</v>
      </c>
      <c r="P15" s="1185"/>
      <c r="Q15" s="1392"/>
      <c r="R15" s="1185"/>
      <c r="S15" s="1284"/>
      <c r="T15" s="1185"/>
      <c r="U15" s="1285"/>
    </row>
    <row r="16" spans="1:21" s="899" customFormat="1" ht="52.9" customHeight="1">
      <c r="A16" s="30">
        <v>12</v>
      </c>
      <c r="B16" s="1449" t="s">
        <v>45</v>
      </c>
      <c r="C16" s="385"/>
      <c r="D16" s="1450" t="s">
        <v>68</v>
      </c>
      <c r="E16" s="1396" t="s">
        <v>227</v>
      </c>
      <c r="F16" s="1451" t="s">
        <v>673</v>
      </c>
      <c r="G16" s="1446" t="s">
        <v>674</v>
      </c>
      <c r="H16" s="1446" t="s">
        <v>33</v>
      </c>
      <c r="I16" s="1452" t="s">
        <v>675</v>
      </c>
      <c r="J16" s="1406">
        <v>200000</v>
      </c>
      <c r="K16" s="1407">
        <v>0.1</v>
      </c>
      <c r="L16" s="1446" t="s">
        <v>68</v>
      </c>
      <c r="M16" s="1450" t="s">
        <v>34</v>
      </c>
      <c r="N16" s="1450" t="s">
        <v>49</v>
      </c>
      <c r="O16" s="1454" t="s">
        <v>676</v>
      </c>
      <c r="P16" s="1185"/>
      <c r="Q16" s="1392"/>
      <c r="R16" s="1185"/>
      <c r="S16" s="1284"/>
      <c r="T16" s="1185"/>
      <c r="U16" s="1285"/>
    </row>
    <row r="17" spans="1:21" s="899" customFormat="1" ht="52.9" customHeight="1">
      <c r="A17" s="30">
        <v>13</v>
      </c>
      <c r="B17" s="1449" t="s">
        <v>45</v>
      </c>
      <c r="C17" s="385"/>
      <c r="D17" s="1450" t="s">
        <v>68</v>
      </c>
      <c r="E17" s="1396" t="s">
        <v>245</v>
      </c>
      <c r="F17" s="1447" t="s">
        <v>673</v>
      </c>
      <c r="G17" s="1446" t="s">
        <v>674</v>
      </c>
      <c r="H17" s="1446" t="s">
        <v>33</v>
      </c>
      <c r="I17" s="1446" t="s">
        <v>675</v>
      </c>
      <c r="J17" s="1406">
        <v>75000</v>
      </c>
      <c r="K17" s="1407">
        <v>0.1</v>
      </c>
      <c r="L17" s="1446" t="s">
        <v>68</v>
      </c>
      <c r="M17" s="1450" t="s">
        <v>34</v>
      </c>
      <c r="N17" s="1450" t="s">
        <v>49</v>
      </c>
      <c r="O17" s="1454" t="s">
        <v>676</v>
      </c>
      <c r="P17" s="1185"/>
      <c r="Q17" s="1392"/>
      <c r="R17" s="1185"/>
      <c r="S17" s="1284"/>
      <c r="T17" s="1185"/>
      <c r="U17" s="1285"/>
    </row>
    <row r="18" spans="1:21" s="899" customFormat="1" ht="52.9" customHeight="1">
      <c r="A18" s="30">
        <v>14</v>
      </c>
      <c r="B18" s="1449" t="s">
        <v>45</v>
      </c>
      <c r="C18" s="385"/>
      <c r="D18" s="1450" t="s">
        <v>68</v>
      </c>
      <c r="E18" s="1396" t="s">
        <v>230</v>
      </c>
      <c r="F18" s="1451" t="s">
        <v>673</v>
      </c>
      <c r="G18" s="1446" t="s">
        <v>674</v>
      </c>
      <c r="H18" s="1446" t="s">
        <v>33</v>
      </c>
      <c r="I18" s="1452" t="s">
        <v>675</v>
      </c>
      <c r="J18" s="1406">
        <v>200000</v>
      </c>
      <c r="K18" s="1407">
        <v>0.1</v>
      </c>
      <c r="L18" s="1446" t="s">
        <v>68</v>
      </c>
      <c r="M18" s="1450" t="s">
        <v>34</v>
      </c>
      <c r="N18" s="1450" t="s">
        <v>49</v>
      </c>
      <c r="O18" s="1454" t="s">
        <v>676</v>
      </c>
      <c r="P18" s="1185"/>
      <c r="Q18" s="1392"/>
      <c r="R18" s="1185"/>
      <c r="S18" s="1284"/>
      <c r="T18" s="1185"/>
      <c r="U18" s="1285"/>
    </row>
    <row r="19" spans="1:21" s="899" customFormat="1" ht="52.9" customHeight="1">
      <c r="A19" s="30">
        <v>15</v>
      </c>
      <c r="B19" s="1449" t="s">
        <v>45</v>
      </c>
      <c r="C19" s="385"/>
      <c r="D19" s="1450" t="s">
        <v>68</v>
      </c>
      <c r="E19" s="1396" t="s">
        <v>233</v>
      </c>
      <c r="F19" s="1447" t="s">
        <v>673</v>
      </c>
      <c r="G19" s="1446" t="s">
        <v>674</v>
      </c>
      <c r="H19" s="1446" t="s">
        <v>33</v>
      </c>
      <c r="I19" s="1446" t="s">
        <v>675</v>
      </c>
      <c r="J19" s="1406">
        <v>100000</v>
      </c>
      <c r="K19" s="1407">
        <v>0.1</v>
      </c>
      <c r="L19" s="1446" t="s">
        <v>68</v>
      </c>
      <c r="M19" s="1450" t="s">
        <v>34</v>
      </c>
      <c r="N19" s="1450" t="s">
        <v>49</v>
      </c>
      <c r="O19" s="1454" t="s">
        <v>676</v>
      </c>
      <c r="P19" s="1185"/>
      <c r="Q19" s="1392"/>
      <c r="R19" s="1185"/>
      <c r="S19" s="1284"/>
      <c r="T19" s="1185"/>
      <c r="U19" s="1285"/>
    </row>
    <row r="20" spans="1:21" s="899" customFormat="1" ht="52.9" customHeight="1">
      <c r="A20" s="30">
        <v>16</v>
      </c>
      <c r="B20" s="1449" t="s">
        <v>45</v>
      </c>
      <c r="C20" s="385"/>
      <c r="D20" s="1450" t="s">
        <v>68</v>
      </c>
      <c r="E20" s="1396" t="s">
        <v>236</v>
      </c>
      <c r="F20" s="1451" t="s">
        <v>673</v>
      </c>
      <c r="G20" s="1446" t="s">
        <v>674</v>
      </c>
      <c r="H20" s="1446" t="s">
        <v>33</v>
      </c>
      <c r="I20" s="1452" t="s">
        <v>675</v>
      </c>
      <c r="J20" s="1406">
        <v>100000</v>
      </c>
      <c r="K20" s="1407">
        <v>0.1</v>
      </c>
      <c r="L20" s="1446" t="s">
        <v>68</v>
      </c>
      <c r="M20" s="1450" t="s">
        <v>34</v>
      </c>
      <c r="N20" s="1450" t="s">
        <v>49</v>
      </c>
      <c r="O20" s="1454" t="s">
        <v>676</v>
      </c>
      <c r="P20" s="1185"/>
      <c r="Q20" s="1392"/>
      <c r="R20" s="1185"/>
      <c r="S20" s="1284"/>
      <c r="T20" s="1185"/>
      <c r="U20" s="1285"/>
    </row>
    <row r="21" spans="1:21" s="899" customFormat="1" ht="52.9" customHeight="1">
      <c r="A21" s="30">
        <v>17</v>
      </c>
      <c r="B21" s="1449" t="s">
        <v>45</v>
      </c>
      <c r="C21" s="385"/>
      <c r="D21" s="1450" t="s">
        <v>68</v>
      </c>
      <c r="E21" s="1396" t="s">
        <v>239</v>
      </c>
      <c r="F21" s="1447" t="s">
        <v>673</v>
      </c>
      <c r="G21" s="1446" t="s">
        <v>674</v>
      </c>
      <c r="H21" s="1446" t="s">
        <v>33</v>
      </c>
      <c r="I21" s="1446" t="s">
        <v>675</v>
      </c>
      <c r="J21" s="1406">
        <v>76000</v>
      </c>
      <c r="K21" s="1407">
        <v>0.1</v>
      </c>
      <c r="L21" s="1446" t="s">
        <v>68</v>
      </c>
      <c r="M21" s="1450" t="s">
        <v>34</v>
      </c>
      <c r="N21" s="1450" t="s">
        <v>49</v>
      </c>
      <c r="O21" s="1454" t="s">
        <v>676</v>
      </c>
      <c r="P21" s="1185"/>
      <c r="Q21" s="1392"/>
      <c r="R21" s="1185"/>
      <c r="S21" s="1284"/>
      <c r="T21" s="1185"/>
      <c r="U21" s="1285"/>
    </row>
    <row r="22" spans="1:21" s="899" customFormat="1" ht="52.9" customHeight="1">
      <c r="A22" s="30">
        <v>18</v>
      </c>
      <c r="B22" s="1449" t="s">
        <v>45</v>
      </c>
      <c r="C22" s="385"/>
      <c r="D22" s="1450" t="s">
        <v>68</v>
      </c>
      <c r="E22" s="1396" t="s">
        <v>242</v>
      </c>
      <c r="F22" s="1451" t="s">
        <v>673</v>
      </c>
      <c r="G22" s="1446" t="s">
        <v>674</v>
      </c>
      <c r="H22" s="1446" t="s">
        <v>33</v>
      </c>
      <c r="I22" s="1452" t="s">
        <v>675</v>
      </c>
      <c r="J22" s="1406">
        <v>26700</v>
      </c>
      <c r="K22" s="1407">
        <v>0.1</v>
      </c>
      <c r="L22" s="1446" t="s">
        <v>68</v>
      </c>
      <c r="M22" s="1450" t="s">
        <v>34</v>
      </c>
      <c r="N22" s="1450" t="s">
        <v>49</v>
      </c>
      <c r="O22" s="1454" t="s">
        <v>676</v>
      </c>
      <c r="P22" s="1185"/>
      <c r="Q22" s="1392"/>
      <c r="R22" s="1185"/>
      <c r="S22" s="1284"/>
      <c r="T22" s="1185"/>
      <c r="U22" s="1285"/>
    </row>
    <row r="23" spans="1:21" s="899" customFormat="1" ht="52.9" customHeight="1">
      <c r="A23" s="30">
        <v>19</v>
      </c>
      <c r="B23" s="1449" t="s">
        <v>45</v>
      </c>
      <c r="C23" s="385"/>
      <c r="D23" s="1450" t="s">
        <v>68</v>
      </c>
      <c r="E23" s="1396" t="s">
        <v>248</v>
      </c>
      <c r="F23" s="1447" t="s">
        <v>673</v>
      </c>
      <c r="G23" s="1446" t="s">
        <v>674</v>
      </c>
      <c r="H23" s="1446" t="s">
        <v>33</v>
      </c>
      <c r="I23" s="1446" t="s">
        <v>675</v>
      </c>
      <c r="J23" s="1406">
        <v>45500</v>
      </c>
      <c r="K23" s="1407">
        <v>0.1</v>
      </c>
      <c r="L23" s="1446" t="s">
        <v>68</v>
      </c>
      <c r="M23" s="1450" t="s">
        <v>34</v>
      </c>
      <c r="N23" s="1450" t="s">
        <v>49</v>
      </c>
      <c r="O23" s="1454" t="s">
        <v>676</v>
      </c>
      <c r="P23" s="1185"/>
      <c r="Q23" s="1392"/>
      <c r="R23" s="1185"/>
      <c r="S23" s="1284"/>
      <c r="T23" s="1185"/>
      <c r="U23" s="1285"/>
    </row>
    <row r="24" spans="1:21" s="899" customFormat="1" ht="52.9" customHeight="1">
      <c r="A24" s="30">
        <v>20</v>
      </c>
      <c r="B24" s="1449" t="s">
        <v>45</v>
      </c>
      <c r="C24" s="385"/>
      <c r="D24" s="1450" t="s">
        <v>68</v>
      </c>
      <c r="E24" s="1396" t="s">
        <v>251</v>
      </c>
      <c r="F24" s="1451" t="s">
        <v>673</v>
      </c>
      <c r="G24" s="1446" t="s">
        <v>674</v>
      </c>
      <c r="H24" s="1446" t="s">
        <v>33</v>
      </c>
      <c r="I24" s="1452" t="s">
        <v>675</v>
      </c>
      <c r="J24" s="1406">
        <v>250000</v>
      </c>
      <c r="K24" s="1407">
        <v>0.1</v>
      </c>
      <c r="L24" s="1446" t="s">
        <v>68</v>
      </c>
      <c r="M24" s="1450" t="s">
        <v>34</v>
      </c>
      <c r="N24" s="1450" t="s">
        <v>49</v>
      </c>
      <c r="O24" s="1454" t="s">
        <v>676</v>
      </c>
      <c r="P24" s="1185"/>
      <c r="Q24" s="1392"/>
      <c r="R24" s="1185"/>
      <c r="S24" s="1284"/>
      <c r="T24" s="1185"/>
      <c r="U24" s="1285"/>
    </row>
    <row r="25" spans="1:21" s="899" customFormat="1" ht="52.9" customHeight="1">
      <c r="A25" s="30">
        <v>21</v>
      </c>
      <c r="B25" s="1449" t="s">
        <v>45</v>
      </c>
      <c r="C25" s="385"/>
      <c r="D25" s="1450" t="s">
        <v>68</v>
      </c>
      <c r="E25" s="1396" t="s">
        <v>254</v>
      </c>
      <c r="F25" s="1447" t="s">
        <v>673</v>
      </c>
      <c r="G25" s="1446" t="s">
        <v>674</v>
      </c>
      <c r="H25" s="1446" t="s">
        <v>33</v>
      </c>
      <c r="I25" s="1446" t="s">
        <v>675</v>
      </c>
      <c r="J25" s="1406">
        <v>500000</v>
      </c>
      <c r="K25" s="1407">
        <v>0.1</v>
      </c>
      <c r="L25" s="1446" t="s">
        <v>68</v>
      </c>
      <c r="M25" s="1450" t="s">
        <v>34</v>
      </c>
      <c r="N25" s="1453" t="s">
        <v>677</v>
      </c>
      <c r="O25" s="1454" t="s">
        <v>676</v>
      </c>
      <c r="P25" s="1185"/>
      <c r="Q25" s="1392"/>
      <c r="R25" s="1185"/>
      <c r="S25" s="1284"/>
      <c r="T25" s="1185"/>
      <c r="U25" s="1285"/>
    </row>
    <row r="26" spans="1:21" s="899" customFormat="1" ht="52.9" customHeight="1">
      <c r="A26" s="30">
        <v>22</v>
      </c>
      <c r="B26" s="1449" t="s">
        <v>45</v>
      </c>
      <c r="C26" s="385"/>
      <c r="D26" s="1450" t="s">
        <v>68</v>
      </c>
      <c r="E26" s="1396" t="s">
        <v>257</v>
      </c>
      <c r="F26" s="1451" t="s">
        <v>673</v>
      </c>
      <c r="G26" s="1446" t="s">
        <v>674</v>
      </c>
      <c r="H26" s="1446" t="s">
        <v>33</v>
      </c>
      <c r="I26" s="1452" t="s">
        <v>675</v>
      </c>
      <c r="J26" s="1406">
        <v>275000</v>
      </c>
      <c r="K26" s="1407">
        <v>0.1</v>
      </c>
      <c r="L26" s="1446" t="s">
        <v>68</v>
      </c>
      <c r="M26" s="1450" t="s">
        <v>34</v>
      </c>
      <c r="N26" s="1450" t="s">
        <v>49</v>
      </c>
      <c r="O26" s="1454" t="s">
        <v>676</v>
      </c>
      <c r="P26" s="1185"/>
      <c r="Q26" s="1392"/>
      <c r="R26" s="1185"/>
      <c r="S26" s="1284"/>
      <c r="T26" s="1185"/>
      <c r="U26" s="1285"/>
    </row>
    <row r="27" spans="1:21" s="899" customFormat="1" ht="52.9" customHeight="1">
      <c r="A27" s="30">
        <v>23</v>
      </c>
      <c r="B27" s="1449" t="s">
        <v>45</v>
      </c>
      <c r="C27" s="385"/>
      <c r="D27" s="1450" t="s">
        <v>68</v>
      </c>
      <c r="E27" s="1396" t="s">
        <v>260</v>
      </c>
      <c r="F27" s="1447" t="s">
        <v>673</v>
      </c>
      <c r="G27" s="1446" t="s">
        <v>674</v>
      </c>
      <c r="H27" s="1446" t="s">
        <v>33</v>
      </c>
      <c r="I27" s="1446" t="s">
        <v>675</v>
      </c>
      <c r="J27" s="1406">
        <v>288500</v>
      </c>
      <c r="K27" s="1407">
        <v>0.1</v>
      </c>
      <c r="L27" s="1446" t="s">
        <v>68</v>
      </c>
      <c r="M27" s="1450" t="s">
        <v>34</v>
      </c>
      <c r="N27" s="1450" t="s">
        <v>49</v>
      </c>
      <c r="O27" s="1454" t="s">
        <v>676</v>
      </c>
      <c r="P27" s="1185"/>
      <c r="Q27" s="1392"/>
      <c r="R27" s="1185"/>
      <c r="S27" s="1284"/>
      <c r="T27" s="1185"/>
      <c r="U27" s="1285"/>
    </row>
    <row r="28" spans="1:21" s="899" customFormat="1" ht="52.9" customHeight="1">
      <c r="A28" s="30">
        <v>24</v>
      </c>
      <c r="B28" s="1449" t="s">
        <v>45</v>
      </c>
      <c r="C28" s="385"/>
      <c r="D28" s="1450" t="s">
        <v>68</v>
      </c>
      <c r="E28" s="1396" t="s">
        <v>263</v>
      </c>
      <c r="F28" s="1451" t="s">
        <v>673</v>
      </c>
      <c r="G28" s="1446" t="s">
        <v>674</v>
      </c>
      <c r="H28" s="1446" t="s">
        <v>33</v>
      </c>
      <c r="I28" s="1452" t="s">
        <v>675</v>
      </c>
      <c r="J28" s="1406">
        <v>278500</v>
      </c>
      <c r="K28" s="1407">
        <v>0.1</v>
      </c>
      <c r="L28" s="1446" t="s">
        <v>68</v>
      </c>
      <c r="M28" s="1450" t="s">
        <v>34</v>
      </c>
      <c r="N28" s="1450" t="s">
        <v>49</v>
      </c>
      <c r="O28" s="1454" t="s">
        <v>676</v>
      </c>
      <c r="P28" s="1185"/>
      <c r="Q28" s="1392"/>
      <c r="R28" s="1185"/>
      <c r="S28" s="1284"/>
      <c r="T28" s="1185"/>
      <c r="U28" s="1285"/>
    </row>
    <row r="29" spans="1:21" s="899" customFormat="1" ht="52.9" customHeight="1">
      <c r="A29" s="30">
        <v>25</v>
      </c>
      <c r="B29" s="1449" t="s">
        <v>45</v>
      </c>
      <c r="C29" s="385"/>
      <c r="D29" s="1450" t="s">
        <v>68</v>
      </c>
      <c r="E29" s="1396" t="s">
        <v>266</v>
      </c>
      <c r="F29" s="1447" t="s">
        <v>673</v>
      </c>
      <c r="G29" s="1446" t="s">
        <v>674</v>
      </c>
      <c r="H29" s="1446" t="s">
        <v>33</v>
      </c>
      <c r="I29" s="1446" t="s">
        <v>675</v>
      </c>
      <c r="J29" s="1406">
        <v>287500</v>
      </c>
      <c r="K29" s="1407">
        <v>0.1</v>
      </c>
      <c r="L29" s="1446" t="s">
        <v>68</v>
      </c>
      <c r="M29" s="1450" t="s">
        <v>34</v>
      </c>
      <c r="N29" s="1450" t="s">
        <v>49</v>
      </c>
      <c r="O29" s="1454" t="s">
        <v>676</v>
      </c>
      <c r="P29" s="1185"/>
      <c r="Q29" s="1392"/>
      <c r="R29" s="1185"/>
      <c r="S29" s="1284"/>
      <c r="T29" s="1185"/>
      <c r="U29" s="1285"/>
    </row>
    <row r="30" spans="1:21" s="899" customFormat="1" ht="52.9" customHeight="1">
      <c r="A30" s="30">
        <v>26</v>
      </c>
      <c r="B30" s="1449" t="s">
        <v>45</v>
      </c>
      <c r="C30" s="385"/>
      <c r="D30" s="1450" t="s">
        <v>68</v>
      </c>
      <c r="E30" s="1396" t="s">
        <v>269</v>
      </c>
      <c r="F30" s="1451" t="s">
        <v>673</v>
      </c>
      <c r="G30" s="1446" t="s">
        <v>674</v>
      </c>
      <c r="H30" s="1446" t="s">
        <v>33</v>
      </c>
      <c r="I30" s="1452" t="s">
        <v>675</v>
      </c>
      <c r="J30" s="1406">
        <v>400000</v>
      </c>
      <c r="K30" s="1407">
        <v>0.1</v>
      </c>
      <c r="L30" s="1446" t="s">
        <v>68</v>
      </c>
      <c r="M30" s="1450" t="s">
        <v>34</v>
      </c>
      <c r="N30" s="1450" t="s">
        <v>49</v>
      </c>
      <c r="O30" s="1454" t="s">
        <v>676</v>
      </c>
      <c r="P30" s="1185"/>
      <c r="Q30" s="1392"/>
      <c r="R30" s="1185"/>
      <c r="S30" s="1284"/>
      <c r="T30" s="1185"/>
      <c r="U30" s="1285"/>
    </row>
    <row r="31" spans="1:21" s="899" customFormat="1" ht="52.9" customHeight="1">
      <c r="A31" s="30">
        <v>27</v>
      </c>
      <c r="B31" s="1449" t="s">
        <v>45</v>
      </c>
      <c r="C31" s="385"/>
      <c r="D31" s="1450" t="s">
        <v>68</v>
      </c>
      <c r="E31" s="1396" t="s">
        <v>269</v>
      </c>
      <c r="F31" s="1447" t="s">
        <v>673</v>
      </c>
      <c r="G31" s="1446" t="s">
        <v>674</v>
      </c>
      <c r="H31" s="1446" t="s">
        <v>33</v>
      </c>
      <c r="I31" s="1446" t="s">
        <v>675</v>
      </c>
      <c r="J31" s="1406">
        <v>400000</v>
      </c>
      <c r="K31" s="1407">
        <v>0.1</v>
      </c>
      <c r="L31" s="1446" t="s">
        <v>68</v>
      </c>
      <c r="M31" s="1450" t="s">
        <v>34</v>
      </c>
      <c r="N31" s="1450" t="s">
        <v>49</v>
      </c>
      <c r="O31" s="1454" t="s">
        <v>676</v>
      </c>
      <c r="P31" s="1185"/>
      <c r="Q31" s="1392"/>
      <c r="R31" s="1185"/>
      <c r="S31" s="1284"/>
      <c r="T31" s="1185"/>
      <c r="U31" s="1285"/>
    </row>
    <row r="32" spans="1:21" s="899" customFormat="1" ht="52.9" customHeight="1">
      <c r="A32" s="30">
        <v>28</v>
      </c>
      <c r="B32" s="1449" t="s">
        <v>45</v>
      </c>
      <c r="C32" s="385"/>
      <c r="D32" s="1450" t="s">
        <v>68</v>
      </c>
      <c r="E32" s="1396" t="s">
        <v>274</v>
      </c>
      <c r="F32" s="1451" t="s">
        <v>673</v>
      </c>
      <c r="G32" s="1446" t="s">
        <v>674</v>
      </c>
      <c r="H32" s="1446" t="s">
        <v>33</v>
      </c>
      <c r="I32" s="1452" t="s">
        <v>675</v>
      </c>
      <c r="J32" s="1406">
        <v>266000</v>
      </c>
      <c r="K32" s="1407">
        <v>0.1</v>
      </c>
      <c r="L32" s="1446" t="s">
        <v>68</v>
      </c>
      <c r="M32" s="1450" t="s">
        <v>34</v>
      </c>
      <c r="N32" s="1450" t="s">
        <v>49</v>
      </c>
      <c r="O32" s="1454" t="s">
        <v>676</v>
      </c>
      <c r="P32" s="1185"/>
      <c r="Q32" s="1392"/>
      <c r="R32" s="1185"/>
      <c r="S32" s="1284"/>
      <c r="T32" s="1185"/>
      <c r="U32" s="1285"/>
    </row>
    <row r="33" spans="1:21" s="899" customFormat="1" ht="52.9" customHeight="1">
      <c r="A33" s="30">
        <v>29</v>
      </c>
      <c r="B33" s="1449" t="s">
        <v>45</v>
      </c>
      <c r="C33" s="385"/>
      <c r="D33" s="1450" t="s">
        <v>68</v>
      </c>
      <c r="E33" s="1396" t="s">
        <v>274</v>
      </c>
      <c r="F33" s="1447" t="s">
        <v>673</v>
      </c>
      <c r="G33" s="1446" t="s">
        <v>674</v>
      </c>
      <c r="H33" s="1446" t="s">
        <v>33</v>
      </c>
      <c r="I33" s="1446" t="s">
        <v>675</v>
      </c>
      <c r="J33" s="1406">
        <v>950000</v>
      </c>
      <c r="K33" s="1407">
        <v>0.1</v>
      </c>
      <c r="L33" s="1446" t="s">
        <v>68</v>
      </c>
      <c r="M33" s="1450" t="s">
        <v>34</v>
      </c>
      <c r="N33" s="1453" t="s">
        <v>677</v>
      </c>
      <c r="O33" s="1454" t="s">
        <v>676</v>
      </c>
      <c r="P33" s="1185"/>
      <c r="Q33" s="1392"/>
      <c r="R33" s="1185"/>
      <c r="S33" s="1284"/>
      <c r="T33" s="1185"/>
      <c r="U33" s="1285"/>
    </row>
    <row r="34" spans="1:21" s="899" customFormat="1" ht="52.9" customHeight="1">
      <c r="A34" s="1397">
        <v>30</v>
      </c>
      <c r="B34" s="1455" t="s">
        <v>45</v>
      </c>
      <c r="C34" s="1398"/>
      <c r="D34" s="1456" t="s">
        <v>68</v>
      </c>
      <c r="E34" s="1399" t="s">
        <v>279</v>
      </c>
      <c r="F34" s="1451" t="s">
        <v>673</v>
      </c>
      <c r="G34" s="1446" t="s">
        <v>674</v>
      </c>
      <c r="H34" s="1446" t="s">
        <v>196</v>
      </c>
      <c r="I34" s="1452" t="s">
        <v>678</v>
      </c>
      <c r="J34" s="1408">
        <v>1000000</v>
      </c>
      <c r="K34" s="1409">
        <v>0.1</v>
      </c>
      <c r="L34" s="1457" t="s">
        <v>68</v>
      </c>
      <c r="M34" s="1456" t="s">
        <v>34</v>
      </c>
      <c r="N34" s="1456" t="s">
        <v>49</v>
      </c>
      <c r="O34" s="1458" t="s">
        <v>676</v>
      </c>
      <c r="P34" s="1185"/>
      <c r="Q34" s="1392"/>
      <c r="R34" s="1185"/>
      <c r="S34" s="1284"/>
      <c r="T34" s="1185"/>
      <c r="U34" s="1285"/>
    </row>
    <row r="35" spans="1:21">
      <c r="A35" s="3028" t="s">
        <v>118</v>
      </c>
      <c r="B35" s="3029"/>
      <c r="C35" s="1400"/>
      <c r="D35" s="1401">
        <f>SUM(D31:D34)</f>
        <v>0</v>
      </c>
      <c r="E35" s="1402"/>
      <c r="F35" s="1403"/>
      <c r="G35" s="1403"/>
      <c r="H35" s="1403"/>
      <c r="I35" s="1403"/>
      <c r="J35" s="1410">
        <f>SUM(J5:J34)</f>
        <v>12298600</v>
      </c>
      <c r="K35" s="1411"/>
      <c r="L35" s="1401">
        <f>SUM(L31:L34)</f>
        <v>0</v>
      </c>
      <c r="M35" s="1412"/>
      <c r="N35" s="1413"/>
      <c r="O35" s="1414"/>
      <c r="U35" s="1415"/>
    </row>
  </sheetData>
  <mergeCells count="2">
    <mergeCell ref="A35:B35"/>
    <mergeCell ref="A1:O1"/>
  </mergeCells>
  <pageMargins left="0.118110236220472" right="0.118110236220472" top="0.15748031496063" bottom="0.15748031496063" header="0" footer="0"/>
  <pageSetup paperSize="9" scale="27" fitToHeight="0" orientation="landscape" horizontalDpi="300" verticalDpi="300"/>
  <ignoredErrors>
    <ignoredError sqref="F5:F1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4"/>
  <sheetViews>
    <sheetView zoomScale="40" zoomScaleNormal="40" workbookViewId="0">
      <selection activeCell="I34" sqref="I34"/>
    </sheetView>
  </sheetViews>
  <sheetFormatPr defaultColWidth="9" defaultRowHeight="122.5" customHeight="1"/>
  <cols>
    <col min="1" max="1" width="13.81640625" customWidth="1"/>
    <col min="2" max="2" width="39.7265625" customWidth="1"/>
    <col min="3" max="3" width="87.7265625" customWidth="1"/>
    <col min="4" max="4" width="21.7265625" customWidth="1"/>
    <col min="5" max="5" width="12.7265625" customWidth="1"/>
    <col min="6" max="6" width="23.54296875" hidden="1" customWidth="1"/>
    <col min="7" max="7" width="22.7265625" hidden="1" customWidth="1"/>
    <col min="8" max="8" width="19.453125" hidden="1" customWidth="1"/>
    <col min="9" max="12" width="38.54296875" customWidth="1"/>
    <col min="13" max="13" width="41.7265625" customWidth="1"/>
    <col min="14" max="16" width="30.81640625" customWidth="1"/>
    <col min="17" max="17" width="99.7265625" customWidth="1"/>
    <col min="18" max="18" width="83.26953125" customWidth="1"/>
    <col min="19" max="19" width="18.1796875" customWidth="1"/>
  </cols>
  <sheetData>
    <row r="1" spans="1:20" s="84" customFormat="1" ht="122.5" customHeight="1">
      <c r="A1" s="3033" t="s">
        <v>0</v>
      </c>
      <c r="B1" s="3034"/>
      <c r="C1" s="3034"/>
      <c r="D1" s="3034"/>
      <c r="E1" s="3034"/>
      <c r="F1" s="3034"/>
      <c r="G1" s="3034"/>
      <c r="H1" s="3034"/>
      <c r="I1" s="3034"/>
      <c r="J1" s="3034"/>
      <c r="K1" s="3034"/>
      <c r="L1" s="3034"/>
      <c r="M1" s="3034"/>
      <c r="N1" s="3034"/>
      <c r="O1" s="3034"/>
      <c r="P1" s="3034"/>
      <c r="Q1" s="3034"/>
      <c r="R1" s="3035"/>
    </row>
    <row r="2" spans="1:20" s="85" customFormat="1" ht="122.5" customHeight="1">
      <c r="A2" s="756" t="s">
        <v>1</v>
      </c>
      <c r="B2" s="757" t="s">
        <v>4124</v>
      </c>
      <c r="C2" s="758" t="s">
        <v>5</v>
      </c>
      <c r="D2" s="759" t="s">
        <v>4125</v>
      </c>
      <c r="E2" s="757" t="s">
        <v>681</v>
      </c>
      <c r="F2" s="757" t="s">
        <v>4126</v>
      </c>
      <c r="G2" s="757" t="s">
        <v>4127</v>
      </c>
      <c r="H2" s="760" t="s">
        <v>4128</v>
      </c>
      <c r="I2" s="757" t="s">
        <v>4129</v>
      </c>
      <c r="J2" s="757" t="s">
        <v>7</v>
      </c>
      <c r="K2" s="789" t="s">
        <v>682</v>
      </c>
      <c r="L2" s="790" t="s">
        <v>683</v>
      </c>
      <c r="M2" s="791" t="s">
        <v>684</v>
      </c>
      <c r="N2" s="792" t="s">
        <v>4130</v>
      </c>
      <c r="O2" s="793" t="s">
        <v>12</v>
      </c>
      <c r="P2" s="1845" t="s">
        <v>13</v>
      </c>
      <c r="Q2" s="757" t="s">
        <v>14</v>
      </c>
      <c r="R2" s="815" t="s">
        <v>15</v>
      </c>
    </row>
    <row r="3" spans="1:20" s="87" customFormat="1" ht="122.5" customHeight="1">
      <c r="A3" s="121">
        <v>1</v>
      </c>
      <c r="B3" s="761">
        <v>6.55</v>
      </c>
      <c r="C3" s="1846" t="s">
        <v>2175</v>
      </c>
      <c r="D3" s="131" t="s">
        <v>195</v>
      </c>
      <c r="E3" s="132" t="s">
        <v>1447</v>
      </c>
      <c r="F3" s="124"/>
      <c r="G3" s="124"/>
      <c r="H3" s="125"/>
      <c r="I3" s="1847" t="s">
        <v>4131</v>
      </c>
      <c r="J3" s="1848" t="s">
        <v>4132</v>
      </c>
      <c r="K3" s="212"/>
      <c r="L3" s="1849" t="s">
        <v>4133</v>
      </c>
      <c r="M3" s="1849" t="s">
        <v>4134</v>
      </c>
      <c r="N3" s="213">
        <v>1310000</v>
      </c>
      <c r="O3" s="794">
        <v>0.05</v>
      </c>
      <c r="P3" s="795">
        <v>0.32</v>
      </c>
      <c r="Q3" s="1850" t="s">
        <v>34</v>
      </c>
      <c r="R3" s="1851" t="s">
        <v>4135</v>
      </c>
      <c r="S3" s="1852" t="s">
        <v>907</v>
      </c>
      <c r="T3" s="278"/>
    </row>
    <row r="4" spans="1:20" s="88" customFormat="1" ht="122.5" customHeight="1">
      <c r="A4" s="121">
        <v>2</v>
      </c>
      <c r="B4" s="762">
        <v>250</v>
      </c>
      <c r="C4" s="1853" t="s">
        <v>2225</v>
      </c>
      <c r="D4" s="131" t="s">
        <v>195</v>
      </c>
      <c r="E4" s="132" t="s">
        <v>1447</v>
      </c>
      <c r="F4" s="131"/>
      <c r="G4" s="131"/>
      <c r="H4" s="763"/>
      <c r="I4" s="1854" t="s">
        <v>4136</v>
      </c>
      <c r="J4" s="1854" t="s">
        <v>4137</v>
      </c>
      <c r="K4" s="1854" t="s">
        <v>4138</v>
      </c>
      <c r="L4" s="1854" t="s">
        <v>4139</v>
      </c>
      <c r="M4" s="796">
        <v>2500000</v>
      </c>
      <c r="N4" s="797">
        <v>0.05</v>
      </c>
      <c r="O4" s="225">
        <v>12.5</v>
      </c>
      <c r="P4" s="1855" t="s">
        <v>34</v>
      </c>
      <c r="Q4" s="1856" t="s">
        <v>4140</v>
      </c>
      <c r="R4" s="1857" t="s">
        <v>907</v>
      </c>
      <c r="S4" s="816"/>
    </row>
    <row r="5" spans="1:20" s="87" customFormat="1" ht="122.5" customHeight="1">
      <c r="A5" s="121">
        <v>1</v>
      </c>
      <c r="B5" s="764" t="s">
        <v>68</v>
      </c>
      <c r="C5" s="1858" t="s">
        <v>2233</v>
      </c>
      <c r="D5" s="765" t="s">
        <v>195</v>
      </c>
      <c r="E5" s="766" t="s">
        <v>1447</v>
      </c>
      <c r="F5" s="766"/>
      <c r="G5" s="766"/>
      <c r="H5" s="767"/>
      <c r="I5" s="1859" t="s">
        <v>43</v>
      </c>
      <c r="J5" s="1859" t="s">
        <v>4141</v>
      </c>
      <c r="K5" s="1859" t="s">
        <v>4142</v>
      </c>
      <c r="L5" s="1859" t="s">
        <v>4143</v>
      </c>
      <c r="M5" s="798" t="s">
        <v>68</v>
      </c>
      <c r="N5" s="799">
        <v>0.03</v>
      </c>
      <c r="O5" s="1860" t="s">
        <v>68</v>
      </c>
      <c r="P5" s="1861" t="s">
        <v>68</v>
      </c>
      <c r="Q5" s="1862" t="s">
        <v>4144</v>
      </c>
      <c r="R5" s="1863" t="s">
        <v>4145</v>
      </c>
      <c r="S5" s="276" t="s">
        <v>68</v>
      </c>
    </row>
    <row r="6" spans="1:20" s="87" customFormat="1" ht="122.5" customHeight="1">
      <c r="A6" s="121">
        <v>2</v>
      </c>
      <c r="B6" s="768">
        <v>10</v>
      </c>
      <c r="C6" s="1853" t="s">
        <v>2238</v>
      </c>
      <c r="D6" s="131" t="s">
        <v>195</v>
      </c>
      <c r="E6" s="132" t="s">
        <v>1447</v>
      </c>
      <c r="F6" s="132"/>
      <c r="G6" s="132"/>
      <c r="H6" s="137"/>
      <c r="I6" s="1847" t="s">
        <v>75</v>
      </c>
      <c r="J6" s="1847" t="s">
        <v>4146</v>
      </c>
      <c r="K6" s="1864" t="s">
        <v>4147</v>
      </c>
      <c r="L6" s="1864" t="s">
        <v>4148</v>
      </c>
      <c r="M6" s="223">
        <v>1000000</v>
      </c>
      <c r="N6" s="224">
        <v>0.05</v>
      </c>
      <c r="O6" s="225">
        <v>0.25</v>
      </c>
      <c r="P6" s="1865" t="s">
        <v>68</v>
      </c>
      <c r="Q6" s="1851" t="s">
        <v>4149</v>
      </c>
      <c r="R6" s="1857" t="s">
        <v>4150</v>
      </c>
      <c r="S6" s="276"/>
    </row>
    <row r="7" spans="1:20" s="87" customFormat="1" ht="122.5" customHeight="1">
      <c r="A7" s="121">
        <v>1</v>
      </c>
      <c r="B7" s="136">
        <v>1.21</v>
      </c>
      <c r="C7" s="1853" t="s">
        <v>2250</v>
      </c>
      <c r="D7" s="131" t="s">
        <v>195</v>
      </c>
      <c r="E7" s="132" t="s">
        <v>1447</v>
      </c>
      <c r="F7" s="132"/>
      <c r="G7" s="132"/>
      <c r="H7" s="137"/>
      <c r="I7" s="1847" t="s">
        <v>75</v>
      </c>
      <c r="J7" s="1847" t="s">
        <v>4151</v>
      </c>
      <c r="K7" s="1864" t="s">
        <v>4152</v>
      </c>
      <c r="L7" s="1864" t="s">
        <v>4153</v>
      </c>
      <c r="M7" s="223">
        <v>242400</v>
      </c>
      <c r="N7" s="224">
        <v>0.03</v>
      </c>
      <c r="O7" s="225">
        <v>0.03</v>
      </c>
      <c r="P7" s="1865" t="s">
        <v>34</v>
      </c>
      <c r="Q7" s="1856" t="s">
        <v>4154</v>
      </c>
      <c r="R7" s="1863" t="s">
        <v>3924</v>
      </c>
      <c r="S7" s="276"/>
    </row>
    <row r="8" spans="1:20" s="87" customFormat="1" ht="122.5" customHeight="1">
      <c r="A8" s="121">
        <v>2</v>
      </c>
      <c r="B8" s="136">
        <v>20</v>
      </c>
      <c r="C8" s="1853" t="s">
        <v>2254</v>
      </c>
      <c r="D8" s="131" t="s">
        <v>195</v>
      </c>
      <c r="E8" s="132" t="s">
        <v>1447</v>
      </c>
      <c r="F8" s="132"/>
      <c r="G8" s="132"/>
      <c r="H8" s="137"/>
      <c r="I8" s="1847" t="s">
        <v>4155</v>
      </c>
      <c r="J8" s="1847" t="s">
        <v>4156</v>
      </c>
      <c r="K8" s="1864" t="s">
        <v>4157</v>
      </c>
      <c r="L8" s="1864" t="s">
        <v>4158</v>
      </c>
      <c r="M8" s="223">
        <v>4000000</v>
      </c>
      <c r="N8" s="224">
        <v>0.03</v>
      </c>
      <c r="O8" s="225">
        <v>0.6</v>
      </c>
      <c r="P8" s="1865" t="s">
        <v>695</v>
      </c>
      <c r="Q8" s="1856" t="s">
        <v>4159</v>
      </c>
      <c r="R8" s="1863" t="s">
        <v>4160</v>
      </c>
      <c r="S8" s="276"/>
    </row>
    <row r="9" spans="1:20" s="89" customFormat="1" ht="122.5" customHeight="1">
      <c r="A9" s="121">
        <v>1</v>
      </c>
      <c r="B9" s="768">
        <v>13.97</v>
      </c>
      <c r="C9" s="1866" t="s">
        <v>2268</v>
      </c>
      <c r="D9" s="131" t="s">
        <v>195</v>
      </c>
      <c r="E9" s="132" t="s">
        <v>1447</v>
      </c>
      <c r="F9" s="132"/>
      <c r="G9" s="132"/>
      <c r="H9" s="137"/>
      <c r="I9" s="1847" t="s">
        <v>43</v>
      </c>
      <c r="J9" s="1847" t="s">
        <v>43</v>
      </c>
      <c r="K9" s="1864" t="s">
        <v>4161</v>
      </c>
      <c r="L9" s="1864" t="s">
        <v>4162</v>
      </c>
      <c r="M9" s="223">
        <v>2794800</v>
      </c>
      <c r="N9" s="214">
        <v>0.05</v>
      </c>
      <c r="O9" s="225">
        <v>0.69</v>
      </c>
      <c r="P9" s="1865" t="s">
        <v>4163</v>
      </c>
      <c r="Q9" s="1851" t="s">
        <v>4164</v>
      </c>
      <c r="R9" s="1867" t="s">
        <v>4165</v>
      </c>
      <c r="S9" s="281"/>
    </row>
    <row r="10" spans="1:20" s="87" customFormat="1" ht="122.5" customHeight="1">
      <c r="A10" s="121">
        <v>2</v>
      </c>
      <c r="B10" s="136">
        <v>0.12</v>
      </c>
      <c r="C10" s="1853" t="s">
        <v>2274</v>
      </c>
      <c r="D10" s="131" t="s">
        <v>195</v>
      </c>
      <c r="E10" s="132" t="s">
        <v>1447</v>
      </c>
      <c r="F10" s="132"/>
      <c r="G10" s="132"/>
      <c r="H10" s="137"/>
      <c r="I10" s="1847" t="s">
        <v>4141</v>
      </c>
      <c r="J10" s="1847" t="s">
        <v>4141</v>
      </c>
      <c r="K10" s="1864" t="s">
        <v>4166</v>
      </c>
      <c r="L10" s="1864" t="s">
        <v>4167</v>
      </c>
      <c r="M10" s="223">
        <v>25000</v>
      </c>
      <c r="N10" s="224">
        <v>0.03</v>
      </c>
      <c r="O10" s="1868" t="s">
        <v>68</v>
      </c>
      <c r="P10" s="1865" t="s">
        <v>34</v>
      </c>
      <c r="Q10" s="1855" t="s">
        <v>49</v>
      </c>
      <c r="R10" s="1863" t="s">
        <v>4168</v>
      </c>
      <c r="S10" s="276"/>
    </row>
    <row r="11" spans="1:20" s="87" customFormat="1" ht="122.5" customHeight="1">
      <c r="A11" s="121">
        <v>1</v>
      </c>
      <c r="B11" s="136">
        <v>1.36</v>
      </c>
      <c r="C11" s="1853" t="s">
        <v>2282</v>
      </c>
      <c r="D11" s="132" t="s">
        <v>195</v>
      </c>
      <c r="E11" s="132" t="s">
        <v>1447</v>
      </c>
      <c r="F11" s="132"/>
      <c r="G11" s="132"/>
      <c r="H11" s="137"/>
      <c r="I11" s="1847" t="s">
        <v>4169</v>
      </c>
      <c r="J11" s="1847" t="s">
        <v>4170</v>
      </c>
      <c r="K11" s="1864" t="s">
        <v>4171</v>
      </c>
      <c r="L11" s="1864" t="s">
        <v>4172</v>
      </c>
      <c r="M11" s="223">
        <v>273600</v>
      </c>
      <c r="N11" s="214">
        <v>0.03</v>
      </c>
      <c r="O11" s="225">
        <v>0.04</v>
      </c>
      <c r="P11" s="1865" t="s">
        <v>34</v>
      </c>
      <c r="Q11" s="1869" t="s">
        <v>49</v>
      </c>
      <c r="R11" s="1852" t="s">
        <v>4173</v>
      </c>
      <c r="S11" s="281"/>
    </row>
    <row r="12" spans="1:20" s="90" customFormat="1" ht="122.5" customHeight="1">
      <c r="A12" s="172">
        <v>2</v>
      </c>
      <c r="B12" s="768">
        <v>9</v>
      </c>
      <c r="C12" s="1870" t="s">
        <v>2284</v>
      </c>
      <c r="D12" s="769" t="s">
        <v>195</v>
      </c>
      <c r="E12" s="770" t="s">
        <v>1447</v>
      </c>
      <c r="F12" s="770"/>
      <c r="G12" s="770"/>
      <c r="H12" s="771"/>
      <c r="I12" s="1871" t="s">
        <v>75</v>
      </c>
      <c r="J12" s="1871" t="s">
        <v>4174</v>
      </c>
      <c r="K12" s="1872" t="s">
        <v>4175</v>
      </c>
      <c r="L12" s="1872" t="s">
        <v>4176</v>
      </c>
      <c r="M12" s="801">
        <v>3000000</v>
      </c>
      <c r="N12" s="802">
        <v>0.05</v>
      </c>
      <c r="O12" s="803">
        <v>0.45</v>
      </c>
      <c r="P12" s="1873" t="s">
        <v>34</v>
      </c>
      <c r="Q12" s="1874" t="s">
        <v>49</v>
      </c>
      <c r="R12" s="1875" t="s">
        <v>4177</v>
      </c>
      <c r="S12" s="282"/>
    </row>
    <row r="13" spans="1:20" s="91" customFormat="1" ht="122.5" customHeight="1">
      <c r="A13" s="172">
        <v>1</v>
      </c>
      <c r="B13" s="136">
        <v>12.5</v>
      </c>
      <c r="C13" s="1876" t="s">
        <v>2294</v>
      </c>
      <c r="D13" s="769" t="s">
        <v>195</v>
      </c>
      <c r="E13" s="770" t="s">
        <v>1447</v>
      </c>
      <c r="F13" s="770"/>
      <c r="G13" s="770"/>
      <c r="H13" s="771"/>
      <c r="I13" s="1871" t="s">
        <v>75</v>
      </c>
      <c r="J13" s="1871" t="s">
        <v>4178</v>
      </c>
      <c r="K13" s="1877" t="s">
        <v>4179</v>
      </c>
      <c r="L13" s="1877" t="s">
        <v>4180</v>
      </c>
      <c r="M13" s="801">
        <v>2500000</v>
      </c>
      <c r="N13" s="802">
        <v>0.05</v>
      </c>
      <c r="O13" s="803">
        <v>0.62</v>
      </c>
      <c r="P13" s="1873" t="s">
        <v>808</v>
      </c>
      <c r="Q13" s="1878" t="s">
        <v>4181</v>
      </c>
      <c r="R13" s="1879" t="s">
        <v>4182</v>
      </c>
      <c r="S13" s="282"/>
    </row>
    <row r="14" spans="1:20" s="91" customFormat="1" ht="122.5" customHeight="1">
      <c r="A14" s="172">
        <v>1</v>
      </c>
      <c r="B14" s="768">
        <v>1.36</v>
      </c>
      <c r="C14" s="1876" t="s">
        <v>4183</v>
      </c>
      <c r="D14" s="770" t="s">
        <v>195</v>
      </c>
      <c r="E14" s="770" t="s">
        <v>1447</v>
      </c>
      <c r="F14" s="770"/>
      <c r="G14" s="770"/>
      <c r="H14" s="771"/>
      <c r="I14" s="1872" t="s">
        <v>75</v>
      </c>
      <c r="J14" s="1872" t="s">
        <v>4184</v>
      </c>
      <c r="K14" s="1872" t="s">
        <v>4185</v>
      </c>
      <c r="L14" s="1872" t="s">
        <v>4186</v>
      </c>
      <c r="M14" s="801">
        <v>272000</v>
      </c>
      <c r="N14" s="804">
        <v>0.05</v>
      </c>
      <c r="O14" s="803">
        <v>0.06</v>
      </c>
      <c r="P14" s="1873" t="s">
        <v>68</v>
      </c>
      <c r="Q14" s="1880" t="s">
        <v>4187</v>
      </c>
      <c r="R14" s="1879" t="s">
        <v>4188</v>
      </c>
      <c r="S14" s="291"/>
    </row>
    <row r="15" spans="1:20" s="92" customFormat="1" ht="122.5" customHeight="1">
      <c r="A15" s="172">
        <v>1</v>
      </c>
      <c r="B15" s="772">
        <v>40</v>
      </c>
      <c r="C15" s="1876" t="s">
        <v>2317</v>
      </c>
      <c r="D15" s="769" t="s">
        <v>195</v>
      </c>
      <c r="E15" s="770" t="s">
        <v>1447</v>
      </c>
      <c r="F15" s="769" t="s">
        <v>4189</v>
      </c>
      <c r="G15" s="769"/>
      <c r="H15" s="773"/>
      <c r="I15" s="1881" t="s">
        <v>4190</v>
      </c>
      <c r="J15" s="1881" t="s">
        <v>4191</v>
      </c>
      <c r="K15" s="1882" t="s">
        <v>4192</v>
      </c>
      <c r="L15" s="1882" t="s">
        <v>4193</v>
      </c>
      <c r="M15" s="805">
        <v>6000000</v>
      </c>
      <c r="N15" s="806">
        <v>0.05</v>
      </c>
      <c r="O15" s="803">
        <f>B15*N15</f>
        <v>2</v>
      </c>
      <c r="P15" s="1874" t="s">
        <v>34</v>
      </c>
      <c r="Q15" s="1883" t="s">
        <v>4194</v>
      </c>
      <c r="R15" s="1879" t="s">
        <v>4195</v>
      </c>
      <c r="S15" s="291" t="s">
        <v>4196</v>
      </c>
    </row>
    <row r="16" spans="1:20" s="91" customFormat="1" ht="122.5" customHeight="1">
      <c r="A16" s="172">
        <v>1</v>
      </c>
      <c r="B16" s="768">
        <v>5.5</v>
      </c>
      <c r="C16" s="1876" t="s">
        <v>2333</v>
      </c>
      <c r="D16" s="769" t="s">
        <v>195</v>
      </c>
      <c r="E16" s="770" t="s">
        <v>1447</v>
      </c>
      <c r="F16" s="770"/>
      <c r="G16" s="770"/>
      <c r="H16" s="771"/>
      <c r="I16" s="1871" t="s">
        <v>75</v>
      </c>
      <c r="J16" s="1871" t="s">
        <v>4197</v>
      </c>
      <c r="K16" s="1872" t="s">
        <v>4198</v>
      </c>
      <c r="L16" s="1872" t="s">
        <v>4199</v>
      </c>
      <c r="M16" s="801">
        <v>1086934</v>
      </c>
      <c r="N16" s="802">
        <v>0.05</v>
      </c>
      <c r="O16" s="803">
        <v>0.27</v>
      </c>
      <c r="P16" s="1873" t="s">
        <v>808</v>
      </c>
      <c r="Q16" s="1883" t="s">
        <v>4200</v>
      </c>
      <c r="R16" s="1879" t="s">
        <v>4201</v>
      </c>
      <c r="S16" s="291" t="s">
        <v>4202</v>
      </c>
    </row>
    <row r="17" spans="1:19" s="90" customFormat="1" ht="122.5" customHeight="1">
      <c r="A17" s="172">
        <v>2</v>
      </c>
      <c r="B17" s="774">
        <v>1.36</v>
      </c>
      <c r="C17" s="1870" t="s">
        <v>2343</v>
      </c>
      <c r="D17" s="769" t="s">
        <v>195</v>
      </c>
      <c r="E17" s="770" t="s">
        <v>1447</v>
      </c>
      <c r="F17" s="770"/>
      <c r="G17" s="770"/>
      <c r="H17" s="771"/>
      <c r="I17" s="1871" t="s">
        <v>4203</v>
      </c>
      <c r="J17" s="1871" t="s">
        <v>4204</v>
      </c>
      <c r="K17" s="1872" t="s">
        <v>4205</v>
      </c>
      <c r="L17" s="1872" t="s">
        <v>4206</v>
      </c>
      <c r="M17" s="801">
        <v>273600</v>
      </c>
      <c r="N17" s="802">
        <v>0.03</v>
      </c>
      <c r="O17" s="803">
        <v>0.04</v>
      </c>
      <c r="P17" s="1873" t="s">
        <v>34</v>
      </c>
      <c r="Q17" s="1884" t="s">
        <v>4207</v>
      </c>
      <c r="R17" s="1885" t="s">
        <v>4208</v>
      </c>
      <c r="S17" s="285"/>
    </row>
    <row r="18" spans="1:19" s="92" customFormat="1" ht="122.5" customHeight="1">
      <c r="A18" s="172">
        <v>3</v>
      </c>
      <c r="B18" s="772">
        <v>6</v>
      </c>
      <c r="C18" s="1876" t="s">
        <v>2341</v>
      </c>
      <c r="D18" s="769" t="s">
        <v>195</v>
      </c>
      <c r="E18" s="770" t="s">
        <v>1447</v>
      </c>
      <c r="F18" s="769"/>
      <c r="G18" s="769"/>
      <c r="H18" s="773"/>
      <c r="I18" s="1881" t="s">
        <v>4209</v>
      </c>
      <c r="J18" s="1881" t="s">
        <v>4209</v>
      </c>
      <c r="K18" s="1882" t="s">
        <v>4205</v>
      </c>
      <c r="L18" s="1882" t="s">
        <v>4210</v>
      </c>
      <c r="M18" s="805">
        <v>1200000</v>
      </c>
      <c r="N18" s="806">
        <v>0.03</v>
      </c>
      <c r="O18" s="803">
        <v>0.18</v>
      </c>
      <c r="P18" s="1874" t="s">
        <v>1156</v>
      </c>
      <c r="Q18" s="1884" t="s">
        <v>4211</v>
      </c>
      <c r="R18" s="1879" t="s">
        <v>4212</v>
      </c>
      <c r="S18" s="282"/>
    </row>
    <row r="19" spans="1:19" s="90" customFormat="1" ht="122.5" customHeight="1">
      <c r="A19" s="172">
        <v>1</v>
      </c>
      <c r="B19" s="774">
        <v>1</v>
      </c>
      <c r="C19" s="1870" t="s">
        <v>2345</v>
      </c>
      <c r="D19" s="769" t="s">
        <v>195</v>
      </c>
      <c r="E19" s="770" t="s">
        <v>1447</v>
      </c>
      <c r="F19" s="770"/>
      <c r="G19" s="770"/>
      <c r="H19" s="771"/>
      <c r="I19" s="1871" t="s">
        <v>43</v>
      </c>
      <c r="J19" s="1871" t="s">
        <v>43</v>
      </c>
      <c r="K19" s="1872" t="s">
        <v>4213</v>
      </c>
      <c r="L19" s="1872" t="s">
        <v>4214</v>
      </c>
      <c r="M19" s="801">
        <v>200000</v>
      </c>
      <c r="N19" s="802">
        <v>0.03</v>
      </c>
      <c r="O19" s="803">
        <v>0.03</v>
      </c>
      <c r="P19" s="1873" t="s">
        <v>68</v>
      </c>
      <c r="Q19" s="1874" t="s">
        <v>49</v>
      </c>
      <c r="R19" s="1885" t="s">
        <v>4215</v>
      </c>
      <c r="S19" s="285"/>
    </row>
    <row r="20" spans="1:19" s="91" customFormat="1" ht="122.5" customHeight="1">
      <c r="A20" s="172">
        <v>1</v>
      </c>
      <c r="B20" s="136">
        <v>45</v>
      </c>
      <c r="C20" s="1876" t="s">
        <v>2351</v>
      </c>
      <c r="D20" s="770" t="s">
        <v>195</v>
      </c>
      <c r="E20" s="770" t="s">
        <v>1447</v>
      </c>
      <c r="F20" s="770"/>
      <c r="G20" s="770"/>
      <c r="H20" s="771"/>
      <c r="I20" s="1871" t="s">
        <v>75</v>
      </c>
      <c r="J20" s="1871" t="s">
        <v>4216</v>
      </c>
      <c r="K20" s="1872" t="s">
        <v>4217</v>
      </c>
      <c r="L20" s="1872" t="s">
        <v>4218</v>
      </c>
      <c r="M20" s="808">
        <v>9000000</v>
      </c>
      <c r="N20" s="802">
        <v>0.03</v>
      </c>
      <c r="O20" s="803">
        <v>1.35</v>
      </c>
      <c r="P20" s="1873" t="s">
        <v>68</v>
      </c>
      <c r="Q20" s="1883" t="s">
        <v>4219</v>
      </c>
      <c r="R20" s="1879" t="s">
        <v>4212</v>
      </c>
      <c r="S20" s="817" t="s">
        <v>4220</v>
      </c>
    </row>
    <row r="21" spans="1:19" s="91" customFormat="1" ht="122.5" customHeight="1">
      <c r="A21" s="172">
        <v>2</v>
      </c>
      <c r="B21" s="768">
        <v>10.59</v>
      </c>
      <c r="C21" s="1876" t="s">
        <v>2349</v>
      </c>
      <c r="D21" s="769" t="s">
        <v>195</v>
      </c>
      <c r="E21" s="770" t="s">
        <v>1447</v>
      </c>
      <c r="F21" s="770"/>
      <c r="G21" s="770"/>
      <c r="H21" s="771"/>
      <c r="I21" s="1871" t="s">
        <v>4221</v>
      </c>
      <c r="J21" s="1871" t="s">
        <v>4222</v>
      </c>
      <c r="K21" s="1872" t="s">
        <v>4223</v>
      </c>
      <c r="L21" s="1872" t="s">
        <v>4224</v>
      </c>
      <c r="M21" s="808">
        <v>2118000</v>
      </c>
      <c r="N21" s="802">
        <v>0.03</v>
      </c>
      <c r="O21" s="803">
        <f>B21*N21</f>
        <v>0.31769999999999998</v>
      </c>
      <c r="P21" s="1873" t="s">
        <v>34</v>
      </c>
      <c r="Q21" s="1883" t="s">
        <v>4225</v>
      </c>
      <c r="R21" s="1886" t="s">
        <v>4226</v>
      </c>
      <c r="S21" s="282" t="s">
        <v>4227</v>
      </c>
    </row>
    <row r="22" spans="1:19" s="91" customFormat="1" ht="122.5" customHeight="1">
      <c r="A22" s="172">
        <v>2</v>
      </c>
      <c r="B22" s="136">
        <v>4.5</v>
      </c>
      <c r="C22" s="1876" t="s">
        <v>4228</v>
      </c>
      <c r="D22" s="769" t="s">
        <v>195</v>
      </c>
      <c r="E22" s="770" t="s">
        <v>1447</v>
      </c>
      <c r="F22" s="770"/>
      <c r="G22" s="770"/>
      <c r="H22" s="771"/>
      <c r="I22" s="1871" t="s">
        <v>4229</v>
      </c>
      <c r="J22" s="1871" t="s">
        <v>4230</v>
      </c>
      <c r="K22" s="1872" t="s">
        <v>4231</v>
      </c>
      <c r="L22" s="1872" t="s">
        <v>4232</v>
      </c>
      <c r="M22" s="808">
        <v>175000</v>
      </c>
      <c r="N22" s="802">
        <v>0.05</v>
      </c>
      <c r="O22" s="803">
        <v>0.22</v>
      </c>
      <c r="P22" s="1873" t="s">
        <v>34</v>
      </c>
      <c r="Q22" s="1883" t="s">
        <v>4233</v>
      </c>
      <c r="R22" s="1886" t="s">
        <v>4234</v>
      </c>
      <c r="S22" s="282" t="s">
        <v>4235</v>
      </c>
    </row>
    <row r="23" spans="1:19" s="91" customFormat="1" ht="122.5" customHeight="1">
      <c r="A23" s="172">
        <v>1</v>
      </c>
      <c r="B23" s="572">
        <v>58.69</v>
      </c>
      <c r="C23" s="1876" t="s">
        <v>2381</v>
      </c>
      <c r="D23" s="770" t="s">
        <v>195</v>
      </c>
      <c r="E23" s="770" t="s">
        <v>1447</v>
      </c>
      <c r="F23" s="770"/>
      <c r="G23" s="770"/>
      <c r="H23" s="771"/>
      <c r="I23" s="1871" t="s">
        <v>4236</v>
      </c>
      <c r="J23" s="1871" t="s">
        <v>4237</v>
      </c>
      <c r="K23" s="1872" t="s">
        <v>4238</v>
      </c>
      <c r="L23" s="1872" t="s">
        <v>4239</v>
      </c>
      <c r="M23" s="808">
        <v>6900000</v>
      </c>
      <c r="N23" s="802">
        <v>0.03</v>
      </c>
      <c r="O23" s="803">
        <v>1.76</v>
      </c>
      <c r="P23" s="1873" t="s">
        <v>4240</v>
      </c>
      <c r="Q23" s="1883" t="s">
        <v>4241</v>
      </c>
      <c r="R23" s="1886" t="s">
        <v>4242</v>
      </c>
      <c r="S23" s="818"/>
    </row>
    <row r="24" spans="1:19" s="92" customFormat="1" ht="122.5" customHeight="1">
      <c r="A24" s="172">
        <v>1</v>
      </c>
      <c r="B24" s="775">
        <v>85.75</v>
      </c>
      <c r="C24" s="1876" t="s">
        <v>2386</v>
      </c>
      <c r="D24" s="769" t="s">
        <v>195</v>
      </c>
      <c r="E24" s="770" t="s">
        <v>1447</v>
      </c>
      <c r="F24" s="769" t="s">
        <v>4189</v>
      </c>
      <c r="G24" s="769"/>
      <c r="H24" s="773"/>
      <c r="I24" s="1881" t="s">
        <v>4243</v>
      </c>
      <c r="J24" s="1881" t="s">
        <v>4244</v>
      </c>
      <c r="K24" s="1882" t="s">
        <v>4245</v>
      </c>
      <c r="L24" s="1882" t="s">
        <v>4246</v>
      </c>
      <c r="M24" s="803">
        <v>19702648</v>
      </c>
      <c r="N24" s="809">
        <v>0.03</v>
      </c>
      <c r="O24" s="803">
        <f>B24*N24</f>
        <v>2.5724999999999998</v>
      </c>
      <c r="P24" s="1874" t="s">
        <v>4247</v>
      </c>
      <c r="Q24" s="1883" t="s">
        <v>4248</v>
      </c>
      <c r="R24" s="1887" t="s">
        <v>4249</v>
      </c>
    </row>
    <row r="25" spans="1:19" s="92" customFormat="1" ht="122.5" customHeight="1">
      <c r="A25" s="172">
        <v>1</v>
      </c>
      <c r="B25" s="775">
        <v>40</v>
      </c>
      <c r="C25" s="1876" t="s">
        <v>4250</v>
      </c>
      <c r="D25" s="769" t="s">
        <v>195</v>
      </c>
      <c r="E25" s="770" t="s">
        <v>1447</v>
      </c>
      <c r="F25" s="769" t="s">
        <v>4189</v>
      </c>
      <c r="G25" s="769"/>
      <c r="H25" s="773"/>
      <c r="I25" s="1881" t="s">
        <v>4251</v>
      </c>
      <c r="J25" s="1881" t="s">
        <v>4252</v>
      </c>
      <c r="K25" s="1882" t="s">
        <v>4253</v>
      </c>
      <c r="L25" s="1882" t="s">
        <v>4254</v>
      </c>
      <c r="M25" s="803">
        <v>8000000</v>
      </c>
      <c r="N25" s="810">
        <v>0.05</v>
      </c>
      <c r="O25" s="803">
        <f>B25*N25</f>
        <v>2</v>
      </c>
      <c r="P25" s="1874" t="s">
        <v>4255</v>
      </c>
      <c r="Q25" s="1883" t="s">
        <v>4256</v>
      </c>
      <c r="R25" s="1879" t="s">
        <v>4257</v>
      </c>
    </row>
    <row r="26" spans="1:19" s="90" customFormat="1" ht="122.5" customHeight="1">
      <c r="A26" s="298">
        <v>1</v>
      </c>
      <c r="B26" s="776">
        <v>9</v>
      </c>
      <c r="C26" s="1876" t="s">
        <v>2412</v>
      </c>
      <c r="D26" s="777" t="s">
        <v>195</v>
      </c>
      <c r="E26" s="778" t="s">
        <v>1447</v>
      </c>
      <c r="F26" s="777" t="s">
        <v>4189</v>
      </c>
      <c r="G26" s="777"/>
      <c r="H26" s="779"/>
      <c r="I26" s="1888" t="s">
        <v>4258</v>
      </c>
      <c r="J26" s="1888" t="s">
        <v>4259</v>
      </c>
      <c r="K26" s="1889" t="s">
        <v>4260</v>
      </c>
      <c r="L26" s="1889" t="s">
        <v>4261</v>
      </c>
      <c r="M26" s="777" t="s">
        <v>4262</v>
      </c>
      <c r="N26" s="810">
        <v>0.05</v>
      </c>
      <c r="O26" s="777">
        <v>0.45</v>
      </c>
      <c r="P26" s="1890" t="s">
        <v>34</v>
      </c>
      <c r="Q26" s="1891" t="s">
        <v>4263</v>
      </c>
      <c r="R26" s="1879" t="s">
        <v>4264</v>
      </c>
      <c r="S26" s="285"/>
    </row>
    <row r="27" spans="1:19" s="91" customFormat="1" ht="122.5" customHeight="1">
      <c r="A27" s="298">
        <v>1</v>
      </c>
      <c r="B27" s="780">
        <v>9.81</v>
      </c>
      <c r="C27" s="1876" t="s">
        <v>4265</v>
      </c>
      <c r="D27" s="770" t="s">
        <v>195</v>
      </c>
      <c r="E27" s="770" t="s">
        <v>1447</v>
      </c>
      <c r="F27" s="770"/>
      <c r="G27" s="770"/>
      <c r="H27" s="771"/>
      <c r="I27" s="1871" t="s">
        <v>43</v>
      </c>
      <c r="J27" s="1871" t="s">
        <v>43</v>
      </c>
      <c r="K27" s="1872" t="s">
        <v>4266</v>
      </c>
      <c r="L27" s="1872" t="s">
        <v>4267</v>
      </c>
      <c r="M27" s="812">
        <v>1000000</v>
      </c>
      <c r="N27" s="810">
        <v>0.05</v>
      </c>
      <c r="O27" s="803">
        <v>2.25</v>
      </c>
      <c r="P27" s="1873" t="s">
        <v>34</v>
      </c>
      <c r="Q27" s="1884" t="s">
        <v>4268</v>
      </c>
      <c r="R27" s="1879" t="s">
        <v>4269</v>
      </c>
    </row>
    <row r="28" spans="1:19" s="92" customFormat="1" ht="122.5" customHeight="1">
      <c r="A28" s="298">
        <v>1</v>
      </c>
      <c r="B28" s="781">
        <v>100</v>
      </c>
      <c r="C28" s="1892" t="s">
        <v>2418</v>
      </c>
      <c r="D28" s="770" t="s">
        <v>195</v>
      </c>
      <c r="E28" s="770" t="s">
        <v>1447</v>
      </c>
      <c r="F28" s="770" t="s">
        <v>4270</v>
      </c>
      <c r="G28" s="770"/>
      <c r="H28" s="771"/>
      <c r="I28" s="800">
        <v>45371</v>
      </c>
      <c r="J28" s="1871" t="s">
        <v>4271</v>
      </c>
      <c r="K28" s="1872" t="s">
        <v>4272</v>
      </c>
      <c r="L28" s="1872" t="s">
        <v>4273</v>
      </c>
      <c r="M28" s="812">
        <v>20000000</v>
      </c>
      <c r="N28" s="810">
        <v>0.05</v>
      </c>
      <c r="O28" s="803">
        <f>B28*N28</f>
        <v>5</v>
      </c>
      <c r="P28" s="1873" t="s">
        <v>150</v>
      </c>
      <c r="Q28" s="1883" t="s">
        <v>4274</v>
      </c>
      <c r="R28" s="1879" t="s">
        <v>4275</v>
      </c>
    </row>
    <row r="29" spans="1:19" s="92" customFormat="1" ht="122.5" customHeight="1">
      <c r="A29" s="298">
        <v>1</v>
      </c>
      <c r="B29" s="782">
        <v>1.5</v>
      </c>
      <c r="C29" s="1892" t="s">
        <v>4276</v>
      </c>
      <c r="D29" s="770" t="s">
        <v>817</v>
      </c>
      <c r="E29" s="770" t="s">
        <v>1447</v>
      </c>
      <c r="F29" s="769" t="s">
        <v>4189</v>
      </c>
      <c r="G29" s="777"/>
      <c r="H29" s="779"/>
      <c r="I29" s="1888" t="s">
        <v>4277</v>
      </c>
      <c r="J29" s="1888" t="s">
        <v>4278</v>
      </c>
      <c r="K29" s="1889" t="s">
        <v>4279</v>
      </c>
      <c r="L29" s="1889" t="s">
        <v>68</v>
      </c>
      <c r="M29" s="777" t="s">
        <v>4280</v>
      </c>
      <c r="N29" s="1890" t="s">
        <v>34</v>
      </c>
      <c r="O29" s="811"/>
      <c r="P29" s="811"/>
      <c r="Q29" s="1891" t="s">
        <v>4281</v>
      </c>
      <c r="R29" s="1879" t="s">
        <v>4282</v>
      </c>
    </row>
    <row r="30" spans="1:19" s="90" customFormat="1" ht="122.5" customHeight="1">
      <c r="A30" s="298">
        <v>1</v>
      </c>
      <c r="B30" s="776">
        <v>9</v>
      </c>
      <c r="C30" s="1876" t="s">
        <v>2412</v>
      </c>
      <c r="D30" s="777" t="s">
        <v>195</v>
      </c>
      <c r="E30" s="770" t="s">
        <v>1447</v>
      </c>
      <c r="F30" s="769" t="s">
        <v>4189</v>
      </c>
      <c r="G30" s="769"/>
      <c r="H30" s="773"/>
      <c r="I30" s="1881" t="s">
        <v>4283</v>
      </c>
      <c r="J30" s="1881" t="s">
        <v>4284</v>
      </c>
      <c r="K30" s="1882" t="s">
        <v>4285</v>
      </c>
      <c r="L30" s="1882" t="s">
        <v>4286</v>
      </c>
      <c r="M30" s="769" t="s">
        <v>4262</v>
      </c>
      <c r="N30" s="1874" t="s">
        <v>34</v>
      </c>
      <c r="O30" s="807"/>
      <c r="P30" s="807"/>
      <c r="Q30" s="1884" t="s">
        <v>4287</v>
      </c>
      <c r="R30" s="1879" t="s">
        <v>4288</v>
      </c>
      <c r="S30" s="285"/>
    </row>
    <row r="31" spans="1:19" s="92" customFormat="1" ht="122.5" customHeight="1">
      <c r="A31" s="298">
        <v>1</v>
      </c>
      <c r="B31" s="783">
        <v>0.2</v>
      </c>
      <c r="C31" s="1876" t="s">
        <v>2484</v>
      </c>
      <c r="D31" s="777" t="s">
        <v>817</v>
      </c>
      <c r="E31" s="770" t="s">
        <v>1447</v>
      </c>
      <c r="F31" s="769" t="s">
        <v>4189</v>
      </c>
      <c r="G31" s="769"/>
      <c r="H31" s="773"/>
      <c r="I31" s="1881" t="s">
        <v>4289</v>
      </c>
      <c r="J31" s="1881" t="s">
        <v>4290</v>
      </c>
      <c r="K31" s="1882" t="s">
        <v>4291</v>
      </c>
      <c r="L31" s="1882" t="s">
        <v>4292</v>
      </c>
      <c r="M31" s="813">
        <v>45000</v>
      </c>
      <c r="N31" s="1874" t="s">
        <v>34</v>
      </c>
      <c r="O31" s="807"/>
      <c r="P31" s="807"/>
      <c r="Q31" s="1883" t="s">
        <v>4293</v>
      </c>
      <c r="R31" s="1879" t="s">
        <v>4294</v>
      </c>
    </row>
    <row r="32" spans="1:19" s="95" customFormat="1" ht="122.5" customHeight="1">
      <c r="A32" s="322">
        <v>2</v>
      </c>
      <c r="B32" s="775">
        <v>0.44</v>
      </c>
      <c r="C32" s="1876" t="s">
        <v>2523</v>
      </c>
      <c r="D32" s="769" t="s">
        <v>195</v>
      </c>
      <c r="E32" s="770" t="s">
        <v>1447</v>
      </c>
      <c r="F32" s="769" t="s">
        <v>4295</v>
      </c>
      <c r="G32" s="769"/>
      <c r="H32" s="773"/>
      <c r="I32" s="1893" t="s">
        <v>43</v>
      </c>
      <c r="J32" s="1893" t="s">
        <v>43</v>
      </c>
      <c r="K32" s="1882" t="s">
        <v>4296</v>
      </c>
      <c r="L32" s="1882" t="s">
        <v>4297</v>
      </c>
      <c r="M32" s="769" t="s">
        <v>4298</v>
      </c>
      <c r="N32" s="1874" t="s">
        <v>4299</v>
      </c>
      <c r="O32" s="807"/>
      <c r="P32" s="807"/>
      <c r="Q32" s="1894" t="s">
        <v>4300</v>
      </c>
      <c r="R32" s="1895" t="s">
        <v>4301</v>
      </c>
    </row>
    <row r="33" spans="1:18" s="95" customFormat="1" ht="122.5" customHeight="1">
      <c r="A33" s="345">
        <v>1</v>
      </c>
      <c r="B33" s="784">
        <v>16</v>
      </c>
      <c r="C33" s="1876" t="s">
        <v>4302</v>
      </c>
      <c r="D33" s="785" t="s">
        <v>195</v>
      </c>
      <c r="E33" s="770" t="s">
        <v>1447</v>
      </c>
      <c r="F33" s="769" t="s">
        <v>4189</v>
      </c>
      <c r="G33" s="769"/>
      <c r="H33" s="773"/>
      <c r="I33" s="1893" t="s">
        <v>43</v>
      </c>
      <c r="J33" s="1893" t="s">
        <v>43</v>
      </c>
      <c r="K33" s="1882" t="s">
        <v>4303</v>
      </c>
      <c r="L33" s="1882" t="s">
        <v>4304</v>
      </c>
      <c r="M33" s="813">
        <v>2200000</v>
      </c>
      <c r="N33" s="1874" t="s">
        <v>4305</v>
      </c>
      <c r="O33" s="807"/>
      <c r="P33" s="807"/>
      <c r="Q33" s="1883" t="s">
        <v>4306</v>
      </c>
      <c r="R33" s="1879" t="s">
        <v>4307</v>
      </c>
    </row>
    <row r="34" spans="1:18" s="528" customFormat="1" ht="122.5" customHeight="1">
      <c r="A34" s="786">
        <v>1</v>
      </c>
      <c r="B34" s="787" t="s">
        <v>4308</v>
      </c>
      <c r="C34" s="1896" t="s">
        <v>4309</v>
      </c>
      <c r="D34" s="514" t="s">
        <v>817</v>
      </c>
      <c r="E34" s="506" t="s">
        <v>1447</v>
      </c>
      <c r="F34" s="503" t="s">
        <v>4189</v>
      </c>
      <c r="G34" s="1897" t="s">
        <v>4310</v>
      </c>
      <c r="H34" s="788">
        <v>45254</v>
      </c>
      <c r="I34" s="1518" t="s">
        <v>43</v>
      </c>
      <c r="J34" s="1518" t="s">
        <v>4311</v>
      </c>
      <c r="K34" s="1898" t="s">
        <v>4312</v>
      </c>
      <c r="L34" s="1899" t="s">
        <v>4313</v>
      </c>
      <c r="M34" s="1900" t="s">
        <v>808</v>
      </c>
      <c r="N34" s="1901" t="s">
        <v>4314</v>
      </c>
      <c r="O34" s="814"/>
      <c r="P34" s="814"/>
      <c r="Q34" s="1902" t="s">
        <v>4315</v>
      </c>
    </row>
  </sheetData>
  <mergeCells count="1">
    <mergeCell ref="A1:R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D79"/>
  <sheetViews>
    <sheetView zoomScale="55" zoomScaleNormal="55" workbookViewId="0">
      <selection activeCell="H5" sqref="H5"/>
    </sheetView>
  </sheetViews>
  <sheetFormatPr defaultColWidth="9.1796875" defaultRowHeight="22.5"/>
  <cols>
    <col min="1" max="1" width="9.1796875" style="628"/>
    <col min="2" max="2" width="14.54296875" style="628" customWidth="1"/>
    <col min="3" max="3" width="18.1796875" style="554" customWidth="1"/>
    <col min="4" max="4" width="78.54296875" style="628" customWidth="1"/>
    <col min="5" max="5" width="12.54296875" style="629" customWidth="1"/>
    <col min="6" max="6" width="31.26953125" style="630" customWidth="1"/>
    <col min="7" max="7" width="23.453125" style="631" customWidth="1"/>
    <col min="8" max="8" width="25.1796875" style="628" customWidth="1"/>
    <col min="9" max="9" width="24" style="632" customWidth="1"/>
    <col min="10" max="10" width="24.26953125" style="628" customWidth="1"/>
    <col min="11" max="11" width="31.1796875" style="628" customWidth="1"/>
    <col min="12" max="12" width="16.1796875" style="632" customWidth="1"/>
    <col min="13" max="13" width="17.26953125" style="633" customWidth="1"/>
    <col min="14" max="14" width="28.7265625" style="634" customWidth="1"/>
    <col min="15" max="15" width="66.1796875" style="635" customWidth="1"/>
    <col min="16" max="16" width="58.1796875" style="636" customWidth="1"/>
    <col min="17" max="17" width="106" style="637" customWidth="1"/>
    <col min="18" max="18" width="43.453125" style="634" customWidth="1"/>
    <col min="19" max="19" width="94.7265625" style="634" customWidth="1"/>
    <col min="20" max="20" width="58" style="638" customWidth="1"/>
    <col min="21" max="21" width="52.54296875" style="639" customWidth="1"/>
    <col min="22" max="16384" width="9.1796875" style="631"/>
  </cols>
  <sheetData>
    <row r="1" spans="1:22" s="98" customFormat="1" ht="32.25" customHeight="1">
      <c r="A1" s="3022" t="s">
        <v>4316</v>
      </c>
      <c r="B1" s="3023"/>
      <c r="C1" s="3023"/>
      <c r="D1" s="3023"/>
      <c r="E1" s="3023"/>
      <c r="F1" s="3023"/>
      <c r="G1" s="3023"/>
      <c r="H1" s="3023"/>
      <c r="I1" s="3023"/>
      <c r="J1" s="3023"/>
      <c r="K1" s="3023"/>
      <c r="L1" s="3023"/>
      <c r="M1" s="3023"/>
      <c r="N1" s="3023"/>
      <c r="O1" s="3023"/>
      <c r="P1" s="3024"/>
      <c r="R1" s="97"/>
      <c r="S1" s="97"/>
      <c r="T1" s="97"/>
    </row>
    <row r="2" spans="1:22" s="554" customFormat="1" ht="75.650000000000006" customHeight="1">
      <c r="A2" s="3131" t="s">
        <v>1</v>
      </c>
      <c r="B2" s="3132"/>
      <c r="C2" s="3133" t="s">
        <v>5</v>
      </c>
      <c r="D2" s="3134"/>
      <c r="E2" s="3135" t="s">
        <v>4317</v>
      </c>
      <c r="F2" s="3136"/>
      <c r="G2" s="640" t="s">
        <v>7</v>
      </c>
      <c r="H2" s="640" t="s">
        <v>142</v>
      </c>
      <c r="I2" s="640" t="s">
        <v>143</v>
      </c>
      <c r="J2" s="640" t="s">
        <v>144</v>
      </c>
      <c r="K2" s="640" t="s">
        <v>145</v>
      </c>
      <c r="L2" s="3135" t="s">
        <v>4318</v>
      </c>
      <c r="M2" s="3136"/>
      <c r="N2" s="3135" t="s">
        <v>4319</v>
      </c>
      <c r="O2" s="3136"/>
      <c r="P2" s="687" t="s">
        <v>4320</v>
      </c>
    </row>
    <row r="3" spans="1:22" s="2590" customFormat="1" ht="52.9" customHeight="1">
      <c r="A3" s="2870">
        <v>1</v>
      </c>
      <c r="B3" s="3149" t="s">
        <v>68</v>
      </c>
      <c r="C3" s="3150"/>
      <c r="D3" s="3147" t="s">
        <v>6064</v>
      </c>
      <c r="E3" s="3147"/>
      <c r="F3" s="2868" t="s">
        <v>149</v>
      </c>
      <c r="G3" s="2657" t="s">
        <v>6067</v>
      </c>
      <c r="H3" s="2861" t="s">
        <v>6066</v>
      </c>
      <c r="I3" s="2869" t="s">
        <v>150</v>
      </c>
      <c r="J3" s="2868">
        <v>0</v>
      </c>
      <c r="K3" s="2868">
        <v>0</v>
      </c>
      <c r="L3" s="2868" t="s">
        <v>3804</v>
      </c>
      <c r="M3" s="2868" t="s">
        <v>3804</v>
      </c>
      <c r="N3" s="2868" t="s">
        <v>3804</v>
      </c>
      <c r="O3" s="3148" t="s">
        <v>3804</v>
      </c>
      <c r="P3" s="3148"/>
      <c r="Q3" s="2588"/>
      <c r="R3" s="2587"/>
      <c r="S3" s="2588"/>
      <c r="T3" s="2899"/>
      <c r="U3" s="2478"/>
      <c r="V3" s="2589"/>
    </row>
    <row r="4" spans="1:22" s="2590" customFormat="1" ht="52.9" customHeight="1">
      <c r="A4" s="2870">
        <v>2</v>
      </c>
      <c r="B4" s="3149" t="s">
        <v>68</v>
      </c>
      <c r="C4" s="3150"/>
      <c r="D4" s="3147" t="s">
        <v>6069</v>
      </c>
      <c r="E4" s="3147"/>
      <c r="F4" s="2868" t="s">
        <v>149</v>
      </c>
      <c r="G4" s="2657" t="s">
        <v>6067</v>
      </c>
      <c r="H4" s="2861" t="s">
        <v>6066</v>
      </c>
      <c r="I4" s="2869" t="s">
        <v>150</v>
      </c>
      <c r="J4" s="2868">
        <v>0</v>
      </c>
      <c r="K4" s="2868">
        <v>0</v>
      </c>
      <c r="L4" s="2868" t="s">
        <v>3804</v>
      </c>
      <c r="M4" s="2868" t="s">
        <v>3804</v>
      </c>
      <c r="N4" s="2868" t="s">
        <v>3804</v>
      </c>
      <c r="O4" s="3148" t="s">
        <v>3804</v>
      </c>
      <c r="P4" s="3148"/>
      <c r="Q4" s="2588"/>
      <c r="R4" s="2587"/>
      <c r="S4" s="2588"/>
      <c r="T4" s="2899"/>
      <c r="U4" s="2478"/>
      <c r="V4" s="2589"/>
    </row>
    <row r="5" spans="1:22" s="2590" customFormat="1" ht="52.9" customHeight="1">
      <c r="A5" s="2870">
        <v>3</v>
      </c>
      <c r="B5" s="3149" t="s">
        <v>68</v>
      </c>
      <c r="C5" s="3150"/>
      <c r="D5" s="3147" t="s">
        <v>6075</v>
      </c>
      <c r="E5" s="3147"/>
      <c r="F5" s="2868" t="s">
        <v>149</v>
      </c>
      <c r="G5" s="2657" t="s">
        <v>6067</v>
      </c>
      <c r="H5" s="2861" t="s">
        <v>6066</v>
      </c>
      <c r="I5" s="2869" t="s">
        <v>150</v>
      </c>
      <c r="J5" s="2868">
        <v>0</v>
      </c>
      <c r="K5" s="2868">
        <v>0</v>
      </c>
      <c r="L5" s="2868" t="s">
        <v>3804</v>
      </c>
      <c r="M5" s="2868" t="s">
        <v>3804</v>
      </c>
      <c r="N5" s="2868" t="s">
        <v>3804</v>
      </c>
      <c r="O5" s="3148" t="s">
        <v>3804</v>
      </c>
      <c r="P5" s="3148"/>
      <c r="Q5" s="2588"/>
      <c r="R5" s="2587"/>
      <c r="S5" s="2588"/>
      <c r="T5" s="2899"/>
      <c r="U5" s="2478"/>
      <c r="V5" s="2589"/>
    </row>
    <row r="6" spans="1:22" s="2590" customFormat="1" ht="52.9" customHeight="1" thickBot="1">
      <c r="A6" s="2600">
        <v>4</v>
      </c>
      <c r="B6" s="3143" t="s">
        <v>19</v>
      </c>
      <c r="C6" s="3144"/>
      <c r="D6" s="3145" t="s">
        <v>6098</v>
      </c>
      <c r="E6" s="3145"/>
      <c r="F6" s="2614" t="s">
        <v>149</v>
      </c>
      <c r="G6" s="2495" t="s">
        <v>6101</v>
      </c>
      <c r="H6" s="2639" t="s">
        <v>6097</v>
      </c>
      <c r="I6" s="2615" t="s">
        <v>150</v>
      </c>
      <c r="J6" s="2614">
        <v>0</v>
      </c>
      <c r="K6" s="2614">
        <v>0</v>
      </c>
      <c r="L6" s="2614" t="s">
        <v>3804</v>
      </c>
      <c r="M6" s="2614" t="s">
        <v>3804</v>
      </c>
      <c r="N6" s="2614" t="s">
        <v>3804</v>
      </c>
      <c r="O6" s="3146" t="s">
        <v>3804</v>
      </c>
      <c r="P6" s="3146"/>
      <c r="Q6" s="2871"/>
      <c r="R6" s="2903"/>
      <c r="S6" s="2871"/>
      <c r="T6" s="2901"/>
      <c r="U6" s="2478"/>
      <c r="V6" s="2589"/>
    </row>
    <row r="7" spans="1:22" s="2590" customFormat="1" ht="52.9" customHeight="1" thickBot="1">
      <c r="A7" s="2591">
        <v>1</v>
      </c>
      <c r="B7" s="2598" t="s">
        <v>19</v>
      </c>
      <c r="C7" s="3141" t="s">
        <v>5879</v>
      </c>
      <c r="D7" s="3142"/>
      <c r="E7" s="2599"/>
      <c r="F7" s="2592" t="s">
        <v>195</v>
      </c>
      <c r="G7" s="2593" t="s">
        <v>5882</v>
      </c>
      <c r="H7" s="2593" t="s">
        <v>5742</v>
      </c>
      <c r="I7" s="2593" t="s">
        <v>109</v>
      </c>
      <c r="J7" s="2592">
        <v>0</v>
      </c>
      <c r="K7" s="2592">
        <v>0</v>
      </c>
      <c r="L7" s="2592" t="s">
        <v>5956</v>
      </c>
      <c r="M7" s="2592" t="s">
        <v>5956</v>
      </c>
      <c r="N7" s="2592" t="s">
        <v>5956</v>
      </c>
      <c r="O7" s="3139" t="s">
        <v>5956</v>
      </c>
      <c r="P7" s="3140"/>
      <c r="Q7" s="2478"/>
      <c r="R7" s="2479"/>
      <c r="S7" s="2478"/>
      <c r="T7" s="2496"/>
      <c r="U7" s="2478"/>
      <c r="V7" s="2589"/>
    </row>
    <row r="8" spans="1:22" s="624" customFormat="1" ht="58.15" customHeight="1" thickBot="1">
      <c r="A8" s="641">
        <v>2</v>
      </c>
      <c r="B8" s="1416" t="s">
        <v>45</v>
      </c>
      <c r="C8" s="3137" t="s">
        <v>409</v>
      </c>
      <c r="D8" s="3138"/>
      <c r="E8" s="642" t="s">
        <v>149</v>
      </c>
      <c r="F8" s="1903" t="s">
        <v>4321</v>
      </c>
      <c r="G8" s="1903" t="s">
        <v>4322</v>
      </c>
      <c r="H8" s="642" t="s">
        <v>150</v>
      </c>
      <c r="I8" s="642">
        <v>1</v>
      </c>
      <c r="J8" s="642">
        <v>7</v>
      </c>
      <c r="K8" s="642" t="s">
        <v>3804</v>
      </c>
      <c r="L8" s="642" t="s">
        <v>3804</v>
      </c>
      <c r="M8" s="642" t="s">
        <v>3804</v>
      </c>
      <c r="N8" s="688" t="s">
        <v>3804</v>
      </c>
      <c r="O8" s="689"/>
      <c r="P8" s="689"/>
      <c r="Q8" s="689"/>
    </row>
    <row r="9" spans="1:22" s="625" customFormat="1" ht="82.9" customHeight="1">
      <c r="A9" s="30">
        <v>1</v>
      </c>
      <c r="B9" s="1644" t="s">
        <v>51</v>
      </c>
      <c r="C9" s="3038" t="s">
        <v>4323</v>
      </c>
      <c r="D9" s="3038"/>
      <c r="E9" s="643" t="s">
        <v>149</v>
      </c>
      <c r="F9" s="1478" t="s">
        <v>4324</v>
      </c>
      <c r="G9" s="1479" t="s">
        <v>4325</v>
      </c>
      <c r="H9" s="1904" t="s">
        <v>150</v>
      </c>
      <c r="I9" s="643">
        <v>0</v>
      </c>
      <c r="J9" s="643">
        <v>0</v>
      </c>
      <c r="K9" s="690" t="s">
        <v>151</v>
      </c>
      <c r="L9" s="3039" t="s">
        <v>151</v>
      </c>
      <c r="M9" s="3039"/>
      <c r="N9" s="3039"/>
      <c r="O9" s="690" t="s">
        <v>151</v>
      </c>
      <c r="P9" s="691" t="s">
        <v>151</v>
      </c>
      <c r="Q9" s="735"/>
    </row>
    <row r="10" spans="1:22" s="625" customFormat="1" ht="82.9" customHeight="1">
      <c r="A10" s="30">
        <v>1</v>
      </c>
      <c r="B10" s="1644" t="s">
        <v>51</v>
      </c>
      <c r="C10" s="3038" t="s">
        <v>390</v>
      </c>
      <c r="D10" s="3038"/>
      <c r="E10" s="643" t="s">
        <v>149</v>
      </c>
      <c r="F10" s="644" t="s">
        <v>804</v>
      </c>
      <c r="G10" s="1479" t="s">
        <v>805</v>
      </c>
      <c r="H10" s="1904" t="s">
        <v>150</v>
      </c>
      <c r="I10" s="643">
        <v>0</v>
      </c>
      <c r="J10" s="690" t="s">
        <v>1155</v>
      </c>
      <c r="K10" s="690" t="s">
        <v>1155</v>
      </c>
      <c r="L10" s="3039" t="s">
        <v>1155</v>
      </c>
      <c r="M10" s="3039"/>
      <c r="N10" s="3039"/>
      <c r="O10" s="690" t="s">
        <v>1155</v>
      </c>
      <c r="P10" s="691" t="s">
        <v>1155</v>
      </c>
      <c r="Q10" s="735"/>
    </row>
    <row r="11" spans="1:22" s="625" customFormat="1" ht="82.9" customHeight="1">
      <c r="A11" s="30">
        <v>1</v>
      </c>
      <c r="B11" s="1644" t="s">
        <v>51</v>
      </c>
      <c r="C11" s="3038" t="s">
        <v>4326</v>
      </c>
      <c r="D11" s="3038"/>
      <c r="E11" s="643" t="s">
        <v>412</v>
      </c>
      <c r="F11" s="646">
        <v>45991</v>
      </c>
      <c r="G11" s="1479" t="s">
        <v>4327</v>
      </c>
      <c r="H11" s="1904" t="s">
        <v>150</v>
      </c>
      <c r="I11" s="643" t="s">
        <v>1155</v>
      </c>
      <c r="J11" s="643" t="s">
        <v>1155</v>
      </c>
      <c r="K11" s="643" t="s">
        <v>1155</v>
      </c>
      <c r="L11" s="3039" t="s">
        <v>1155</v>
      </c>
      <c r="M11" s="3039"/>
      <c r="N11" s="3039"/>
      <c r="O11" s="690" t="s">
        <v>1155</v>
      </c>
      <c r="P11" s="691" t="s">
        <v>1155</v>
      </c>
      <c r="Q11" s="736"/>
    </row>
    <row r="12" spans="1:22" s="625" customFormat="1" ht="82.9" customHeight="1">
      <c r="A12" s="647">
        <v>1</v>
      </c>
      <c r="B12" s="1644" t="s">
        <v>19</v>
      </c>
      <c r="C12" s="3045" t="s">
        <v>473</v>
      </c>
      <c r="D12" s="3045"/>
      <c r="E12" s="648" t="s">
        <v>817</v>
      </c>
      <c r="F12" s="1905" t="s">
        <v>4328</v>
      </c>
      <c r="G12" s="1482" t="s">
        <v>4329</v>
      </c>
      <c r="H12" s="1906" t="s">
        <v>150</v>
      </c>
      <c r="I12" s="648">
        <v>0</v>
      </c>
      <c r="J12" s="648">
        <v>0</v>
      </c>
      <c r="K12" s="648" t="s">
        <v>1155</v>
      </c>
      <c r="L12" s="3046" t="s">
        <v>1155</v>
      </c>
      <c r="M12" s="3046"/>
      <c r="N12" s="3046"/>
      <c r="O12" s="31" t="s">
        <v>1155</v>
      </c>
      <c r="P12" s="693" t="s">
        <v>1155</v>
      </c>
      <c r="Q12" s="737"/>
    </row>
    <row r="13" spans="1:22" s="1" customFormat="1" ht="70.150000000000006" customHeight="1">
      <c r="A13" s="649">
        <v>2</v>
      </c>
      <c r="B13" s="1907" t="s">
        <v>19</v>
      </c>
      <c r="C13" s="3130" t="s">
        <v>4330</v>
      </c>
      <c r="D13" s="3130"/>
      <c r="E13" s="651" t="s">
        <v>817</v>
      </c>
      <c r="F13" s="652" t="s">
        <v>804</v>
      </c>
      <c r="G13" s="1908" t="s">
        <v>3754</v>
      </c>
      <c r="H13" s="1909" t="s">
        <v>150</v>
      </c>
      <c r="I13" s="651">
        <v>0</v>
      </c>
      <c r="J13" s="651">
        <v>0</v>
      </c>
      <c r="K13" s="651" t="s">
        <v>1155</v>
      </c>
      <c r="L13" s="3065" t="s">
        <v>1155</v>
      </c>
      <c r="M13" s="3065"/>
      <c r="N13" s="3065"/>
      <c r="O13" s="653" t="s">
        <v>1155</v>
      </c>
      <c r="P13" s="694" t="s">
        <v>1155</v>
      </c>
      <c r="Q13" s="738"/>
    </row>
    <row r="14" spans="1:22" s="625" customFormat="1" ht="64.900000000000006" customHeight="1">
      <c r="A14" s="647">
        <v>1</v>
      </c>
      <c r="B14" s="1644" t="s">
        <v>51</v>
      </c>
      <c r="C14" s="3049" t="s">
        <v>396</v>
      </c>
      <c r="D14" s="3047"/>
      <c r="E14" s="654" t="s">
        <v>817</v>
      </c>
      <c r="F14" s="1771" t="s">
        <v>824</v>
      </c>
      <c r="G14" s="1771" t="s">
        <v>825</v>
      </c>
      <c r="H14" s="1910" t="s">
        <v>150</v>
      </c>
      <c r="I14" s="654">
        <v>0</v>
      </c>
      <c r="J14" s="654">
        <v>0</v>
      </c>
      <c r="K14" s="654" t="s">
        <v>151</v>
      </c>
      <c r="L14" s="3048" t="s">
        <v>151</v>
      </c>
      <c r="M14" s="3048"/>
      <c r="N14" s="3048"/>
      <c r="O14" s="29" t="s">
        <v>151</v>
      </c>
      <c r="P14" s="696" t="s">
        <v>151</v>
      </c>
      <c r="Q14" s="737"/>
    </row>
    <row r="15" spans="1:22" s="625" customFormat="1" ht="66.650000000000006" customHeight="1">
      <c r="A15" s="647">
        <v>3</v>
      </c>
      <c r="B15" s="1644" t="s">
        <v>19</v>
      </c>
      <c r="C15" s="3045" t="s">
        <v>557</v>
      </c>
      <c r="D15" s="3045"/>
      <c r="E15" s="648" t="s">
        <v>817</v>
      </c>
      <c r="F15" s="35" t="s">
        <v>804</v>
      </c>
      <c r="G15" s="1482" t="s">
        <v>4331</v>
      </c>
      <c r="H15" s="1906" t="s">
        <v>150</v>
      </c>
      <c r="I15" s="648">
        <v>1</v>
      </c>
      <c r="J15" s="648">
        <v>2</v>
      </c>
      <c r="K15" s="648" t="s">
        <v>1155</v>
      </c>
      <c r="L15" s="3046" t="s">
        <v>1155</v>
      </c>
      <c r="M15" s="3046"/>
      <c r="N15" s="3046"/>
      <c r="O15" s="31" t="s">
        <v>1155</v>
      </c>
      <c r="P15" s="693" t="s">
        <v>1155</v>
      </c>
      <c r="Q15" s="737"/>
    </row>
    <row r="16" spans="1:22" s="1" customFormat="1" ht="58.9" customHeight="1">
      <c r="A16" s="647">
        <v>1</v>
      </c>
      <c r="B16" s="1644" t="s">
        <v>19</v>
      </c>
      <c r="C16" s="3084" t="s">
        <v>4332</v>
      </c>
      <c r="D16" s="3084"/>
      <c r="E16" s="648" t="s">
        <v>149</v>
      </c>
      <c r="F16" s="1482" t="s">
        <v>3848</v>
      </c>
      <c r="G16" s="31" t="s">
        <v>4333</v>
      </c>
      <c r="H16" s="1906" t="s">
        <v>150</v>
      </c>
      <c r="I16" s="648">
        <v>0</v>
      </c>
      <c r="J16" s="648">
        <v>0</v>
      </c>
      <c r="K16" s="648" t="s">
        <v>1155</v>
      </c>
      <c r="L16" s="3046" t="s">
        <v>1155</v>
      </c>
      <c r="M16" s="3046"/>
      <c r="N16" s="3046"/>
      <c r="O16" s="31" t="s">
        <v>1155</v>
      </c>
      <c r="P16" s="693" t="s">
        <v>1155</v>
      </c>
      <c r="Q16" s="738"/>
    </row>
    <row r="17" spans="1:17 16384:16384" s="625" customFormat="1" ht="66.650000000000006" customHeight="1">
      <c r="A17" s="647">
        <v>3</v>
      </c>
      <c r="B17" s="1644" t="s">
        <v>19</v>
      </c>
      <c r="C17" s="3045" t="s">
        <v>540</v>
      </c>
      <c r="D17" s="3045"/>
      <c r="E17" s="648" t="s">
        <v>412</v>
      </c>
      <c r="F17" s="35" t="s">
        <v>804</v>
      </c>
      <c r="G17" s="1482" t="s">
        <v>4334</v>
      </c>
      <c r="H17" s="1906" t="s">
        <v>150</v>
      </c>
      <c r="I17" s="648">
        <v>2</v>
      </c>
      <c r="J17" s="648">
        <v>3</v>
      </c>
      <c r="K17" s="648" t="s">
        <v>1155</v>
      </c>
      <c r="L17" s="3046" t="s">
        <v>1155</v>
      </c>
      <c r="M17" s="3046"/>
      <c r="N17" s="3046"/>
      <c r="O17" s="31" t="s">
        <v>1155</v>
      </c>
      <c r="P17" s="693" t="s">
        <v>1155</v>
      </c>
      <c r="Q17" s="737"/>
    </row>
    <row r="18" spans="1:17 16384:16384" s="625" customFormat="1" ht="67.150000000000006" customHeight="1">
      <c r="A18" s="647">
        <v>3</v>
      </c>
      <c r="B18" s="1644" t="s">
        <v>19</v>
      </c>
      <c r="C18" s="3038" t="s">
        <v>4335</v>
      </c>
      <c r="D18" s="3038"/>
      <c r="E18" s="643" t="s">
        <v>149</v>
      </c>
      <c r="F18" s="644" t="s">
        <v>804</v>
      </c>
      <c r="G18" s="1479" t="s">
        <v>4336</v>
      </c>
      <c r="H18" s="1904" t="s">
        <v>150</v>
      </c>
      <c r="I18" s="643">
        <v>1</v>
      </c>
      <c r="J18" s="643">
        <v>2</v>
      </c>
      <c r="K18" s="643" t="s">
        <v>1155</v>
      </c>
      <c r="L18" s="3039" t="s">
        <v>1155</v>
      </c>
      <c r="M18" s="3039"/>
      <c r="N18" s="3039"/>
      <c r="O18" s="645" t="s">
        <v>1155</v>
      </c>
      <c r="P18" s="697" t="s">
        <v>1155</v>
      </c>
      <c r="Q18" s="737"/>
      <c r="XFD18" s="625">
        <f>SUM(A18:XFC18)</f>
        <v>6</v>
      </c>
    </row>
    <row r="19" spans="1:17 16384:16384" s="1" customFormat="1" ht="75">
      <c r="A19" s="655">
        <v>2</v>
      </c>
      <c r="B19" s="1644" t="s">
        <v>19</v>
      </c>
      <c r="C19" s="3038" t="s">
        <v>4337</v>
      </c>
      <c r="D19" s="3038"/>
      <c r="E19" s="643" t="s">
        <v>149</v>
      </c>
      <c r="F19" s="644" t="s">
        <v>804</v>
      </c>
      <c r="G19" s="1479" t="s">
        <v>4338</v>
      </c>
      <c r="H19" s="1904" t="s">
        <v>34</v>
      </c>
      <c r="I19" s="643">
        <v>3</v>
      </c>
      <c r="J19" s="643">
        <v>4</v>
      </c>
      <c r="K19" s="643" t="s">
        <v>1155</v>
      </c>
      <c r="L19" s="3039" t="s">
        <v>1155</v>
      </c>
      <c r="M19" s="3039"/>
      <c r="N19" s="3039"/>
      <c r="O19" s="645" t="s">
        <v>1155</v>
      </c>
      <c r="P19" s="698" t="s">
        <v>1155</v>
      </c>
      <c r="Q19" s="738"/>
    </row>
    <row r="20" spans="1:17 16384:16384" s="1" customFormat="1" ht="75">
      <c r="A20" s="655">
        <v>3</v>
      </c>
      <c r="B20" s="1644" t="s">
        <v>19</v>
      </c>
      <c r="C20" s="3038" t="s">
        <v>4339</v>
      </c>
      <c r="D20" s="3038"/>
      <c r="E20" s="643" t="s">
        <v>149</v>
      </c>
      <c r="F20" s="644" t="s">
        <v>4340</v>
      </c>
      <c r="G20" s="1479" t="s">
        <v>4341</v>
      </c>
      <c r="H20" s="1904" t="s">
        <v>109</v>
      </c>
      <c r="I20" s="643">
        <v>4</v>
      </c>
      <c r="J20" s="643">
        <v>5</v>
      </c>
      <c r="K20" s="643" t="s">
        <v>1155</v>
      </c>
      <c r="L20" s="3039" t="s">
        <v>1155</v>
      </c>
      <c r="M20" s="3039"/>
      <c r="N20" s="3039"/>
      <c r="O20" s="645" t="s">
        <v>1155</v>
      </c>
      <c r="P20" s="698" t="s">
        <v>1155</v>
      </c>
      <c r="Q20" s="738"/>
    </row>
    <row r="21" spans="1:17 16384:16384" s="626" customFormat="1" ht="65.5" customHeight="1">
      <c r="A21" s="647">
        <v>1</v>
      </c>
      <c r="B21" s="1644" t="s">
        <v>51</v>
      </c>
      <c r="C21" s="3051" t="s">
        <v>4342</v>
      </c>
      <c r="D21" s="3045"/>
      <c r="E21" s="648" t="s">
        <v>817</v>
      </c>
      <c r="F21" s="35" t="s">
        <v>804</v>
      </c>
      <c r="G21" s="1645" t="s">
        <v>3741</v>
      </c>
      <c r="H21" s="1906" t="s">
        <v>150</v>
      </c>
      <c r="I21" s="648">
        <v>1</v>
      </c>
      <c r="J21" s="648">
        <v>2</v>
      </c>
      <c r="K21" s="648" t="s">
        <v>151</v>
      </c>
      <c r="L21" s="3046" t="s">
        <v>151</v>
      </c>
      <c r="M21" s="3046"/>
      <c r="N21" s="3046"/>
      <c r="O21" s="31" t="s">
        <v>151</v>
      </c>
      <c r="P21" s="693" t="s">
        <v>151</v>
      </c>
      <c r="Q21" s="737"/>
    </row>
    <row r="22" spans="1:17 16384:16384" s="1" customFormat="1" ht="79.150000000000006" customHeight="1">
      <c r="A22" s="647">
        <v>2</v>
      </c>
      <c r="B22" s="1644" t="s">
        <v>51</v>
      </c>
      <c r="C22" s="3045" t="s">
        <v>4343</v>
      </c>
      <c r="D22" s="3045"/>
      <c r="E22" s="648" t="s">
        <v>817</v>
      </c>
      <c r="F22" s="35" t="s">
        <v>804</v>
      </c>
      <c r="G22" s="1482" t="s">
        <v>3741</v>
      </c>
      <c r="H22" s="1906" t="s">
        <v>4344</v>
      </c>
      <c r="I22" s="648">
        <v>1</v>
      </c>
      <c r="J22" s="648">
        <v>2</v>
      </c>
      <c r="K22" s="648" t="s">
        <v>1155</v>
      </c>
      <c r="L22" s="3046" t="s">
        <v>1155</v>
      </c>
      <c r="M22" s="3046"/>
      <c r="N22" s="3046"/>
      <c r="O22" s="31" t="s">
        <v>1155</v>
      </c>
      <c r="P22" s="693" t="s">
        <v>1155</v>
      </c>
      <c r="Q22" s="738"/>
    </row>
    <row r="23" spans="1:17 16384:16384" s="625" customFormat="1" ht="73.150000000000006" customHeight="1">
      <c r="A23" s="647">
        <v>3</v>
      </c>
      <c r="B23" s="1644" t="s">
        <v>51</v>
      </c>
      <c r="C23" s="3038" t="s">
        <v>4345</v>
      </c>
      <c r="D23" s="3038"/>
      <c r="E23" s="643" t="s">
        <v>149</v>
      </c>
      <c r="F23" s="644" t="s">
        <v>804</v>
      </c>
      <c r="G23" s="1479" t="s">
        <v>4346</v>
      </c>
      <c r="H23" s="1904" t="s">
        <v>150</v>
      </c>
      <c r="I23" s="643">
        <v>5</v>
      </c>
      <c r="J23" s="643">
        <v>6</v>
      </c>
      <c r="K23" s="643" t="s">
        <v>1155</v>
      </c>
      <c r="L23" s="3039" t="s">
        <v>1155</v>
      </c>
      <c r="M23" s="3039"/>
      <c r="N23" s="3039"/>
      <c r="O23" s="645" t="s">
        <v>1155</v>
      </c>
      <c r="P23" s="697" t="s">
        <v>1155</v>
      </c>
      <c r="Q23" s="737"/>
    </row>
    <row r="24" spans="1:17 16384:16384" s="625" customFormat="1" ht="55.9" customHeight="1">
      <c r="A24" s="647">
        <v>1</v>
      </c>
      <c r="B24" s="1644" t="s">
        <v>51</v>
      </c>
      <c r="C24" s="3038" t="s">
        <v>4347</v>
      </c>
      <c r="D24" s="3038"/>
      <c r="E24" s="643" t="s">
        <v>149</v>
      </c>
      <c r="F24" s="644" t="s">
        <v>4348</v>
      </c>
      <c r="G24" s="1479" t="s">
        <v>4349</v>
      </c>
      <c r="H24" s="1904" t="s">
        <v>150</v>
      </c>
      <c r="I24" s="643">
        <v>0</v>
      </c>
      <c r="J24" s="643">
        <v>2</v>
      </c>
      <c r="K24" s="643" t="s">
        <v>1155</v>
      </c>
      <c r="L24" s="3039" t="s">
        <v>1155</v>
      </c>
      <c r="M24" s="3039"/>
      <c r="N24" s="3039"/>
      <c r="O24" s="645" t="s">
        <v>1155</v>
      </c>
      <c r="P24" s="697" t="s">
        <v>1155</v>
      </c>
      <c r="Q24" s="737"/>
    </row>
    <row r="25" spans="1:17 16384:16384" s="626" customFormat="1" ht="61.15" customHeight="1">
      <c r="A25" s="647">
        <v>2</v>
      </c>
      <c r="B25" s="1644" t="s">
        <v>19</v>
      </c>
      <c r="C25" s="3038" t="s">
        <v>448</v>
      </c>
      <c r="D25" s="3038"/>
      <c r="E25" s="643" t="s">
        <v>149</v>
      </c>
      <c r="F25" s="645" t="s">
        <v>804</v>
      </c>
      <c r="G25" s="645" t="s">
        <v>4350</v>
      </c>
      <c r="H25" s="1904" t="s">
        <v>150</v>
      </c>
      <c r="I25" s="643">
        <v>1</v>
      </c>
      <c r="J25" s="643">
        <v>2</v>
      </c>
      <c r="K25" s="643" t="s">
        <v>1155</v>
      </c>
      <c r="L25" s="3039" t="s">
        <v>1155</v>
      </c>
      <c r="M25" s="3039"/>
      <c r="N25" s="3039"/>
      <c r="O25" s="645" t="s">
        <v>1155</v>
      </c>
      <c r="P25" s="697" t="s">
        <v>1155</v>
      </c>
      <c r="Q25" s="739"/>
    </row>
    <row r="26" spans="1:17 16384:16384" s="625" customFormat="1" ht="112.15" customHeight="1">
      <c r="A26" s="647">
        <v>1</v>
      </c>
      <c r="B26" s="1644" t="s">
        <v>51</v>
      </c>
      <c r="C26" s="3042" t="s">
        <v>548</v>
      </c>
      <c r="D26" s="3043"/>
      <c r="E26" s="656" t="s">
        <v>817</v>
      </c>
      <c r="F26" s="1911" t="s">
        <v>4351</v>
      </c>
      <c r="G26" s="1474" t="s">
        <v>4352</v>
      </c>
      <c r="H26" s="1912" t="s">
        <v>150</v>
      </c>
      <c r="I26" s="656">
        <v>0</v>
      </c>
      <c r="J26" s="656">
        <v>2</v>
      </c>
      <c r="K26" s="699" t="s">
        <v>151</v>
      </c>
      <c r="L26" s="3044" t="s">
        <v>151</v>
      </c>
      <c r="M26" s="3044"/>
      <c r="N26" s="3044"/>
      <c r="O26" s="699" t="s">
        <v>151</v>
      </c>
      <c r="P26" s="700" t="s">
        <v>151</v>
      </c>
      <c r="Q26" s="739"/>
    </row>
    <row r="27" spans="1:17 16384:16384" s="625" customFormat="1" ht="60" customHeight="1">
      <c r="A27" s="655">
        <v>4</v>
      </c>
      <c r="B27" s="1644" t="s">
        <v>19</v>
      </c>
      <c r="C27" s="3038" t="s">
        <v>4353</v>
      </c>
      <c r="D27" s="3038"/>
      <c r="E27" s="643" t="s">
        <v>149</v>
      </c>
      <c r="F27" s="1479" t="s">
        <v>4354</v>
      </c>
      <c r="G27" s="1479" t="s">
        <v>3741</v>
      </c>
      <c r="H27" s="643" t="s">
        <v>34</v>
      </c>
      <c r="I27" s="643">
        <v>6</v>
      </c>
      <c r="J27" s="643">
        <v>7</v>
      </c>
      <c r="K27" s="643" t="s">
        <v>1155</v>
      </c>
      <c r="L27" s="3039" t="s">
        <v>1155</v>
      </c>
      <c r="M27" s="3039"/>
      <c r="N27" s="3039"/>
      <c r="O27" s="645" t="s">
        <v>1155</v>
      </c>
      <c r="P27" s="698" t="s">
        <v>1155</v>
      </c>
      <c r="Q27" s="737"/>
    </row>
    <row r="28" spans="1:17 16384:16384" s="631" customFormat="1" ht="81" customHeight="1">
      <c r="A28" s="3109">
        <v>1</v>
      </c>
      <c r="B28" s="3128"/>
      <c r="C28" s="3129" t="s">
        <v>4355</v>
      </c>
      <c r="D28" s="3112"/>
      <c r="E28" s="3113" t="s">
        <v>4356</v>
      </c>
      <c r="F28" s="3114"/>
      <c r="G28" s="1913" t="s">
        <v>4357</v>
      </c>
      <c r="H28" s="657" t="s">
        <v>150</v>
      </c>
      <c r="I28" s="701" t="s">
        <v>4358</v>
      </c>
      <c r="J28" s="701" t="s">
        <v>4358</v>
      </c>
      <c r="K28" s="702" t="s">
        <v>151</v>
      </c>
      <c r="L28" s="3115" t="s">
        <v>151</v>
      </c>
      <c r="M28" s="3115"/>
      <c r="N28" s="3115" t="s">
        <v>1155</v>
      </c>
      <c r="O28" s="3115"/>
      <c r="P28" s="703" t="s">
        <v>151</v>
      </c>
    </row>
    <row r="29" spans="1:17 16384:16384" s="631" customFormat="1" ht="73.5" customHeight="1">
      <c r="A29" s="3116">
        <v>1</v>
      </c>
      <c r="B29" s="3117"/>
      <c r="C29" s="3118" t="s">
        <v>2074</v>
      </c>
      <c r="D29" s="3119"/>
      <c r="E29" s="3120" t="s">
        <v>804</v>
      </c>
      <c r="F29" s="3121"/>
      <c r="G29" s="1914" t="s">
        <v>3857</v>
      </c>
      <c r="H29" s="658" t="s">
        <v>150</v>
      </c>
      <c r="I29" s="704" t="s">
        <v>4358</v>
      </c>
      <c r="J29" s="704" t="s">
        <v>4358</v>
      </c>
      <c r="K29" s="705" t="s">
        <v>151</v>
      </c>
      <c r="L29" s="3122" t="s">
        <v>151</v>
      </c>
      <c r="M29" s="3122"/>
      <c r="N29" s="3122" t="s">
        <v>1155</v>
      </c>
      <c r="O29" s="3122"/>
      <c r="P29" s="706" t="s">
        <v>151</v>
      </c>
    </row>
    <row r="30" spans="1:17 16384:16384" s="631" customFormat="1" ht="69" customHeight="1">
      <c r="A30" s="3109">
        <v>1</v>
      </c>
      <c r="B30" s="3110"/>
      <c r="C30" s="3123" t="s">
        <v>1779</v>
      </c>
      <c r="D30" s="3124"/>
      <c r="E30" s="3125" t="s">
        <v>1339</v>
      </c>
      <c r="F30" s="3126"/>
      <c r="G30" s="1915" t="s">
        <v>1780</v>
      </c>
      <c r="H30" s="659" t="s">
        <v>150</v>
      </c>
      <c r="I30" s="707" t="s">
        <v>4358</v>
      </c>
      <c r="J30" s="707" t="s">
        <v>4358</v>
      </c>
      <c r="K30" s="708" t="s">
        <v>1155</v>
      </c>
      <c r="L30" s="3127" t="s">
        <v>1155</v>
      </c>
      <c r="M30" s="3127"/>
      <c r="N30" s="3127" t="s">
        <v>1155</v>
      </c>
      <c r="O30" s="3127"/>
      <c r="P30" s="709" t="s">
        <v>1155</v>
      </c>
    </row>
    <row r="31" spans="1:17 16384:16384" s="553" customFormat="1" ht="66" customHeight="1">
      <c r="A31" s="3102">
        <v>2</v>
      </c>
      <c r="B31" s="3103"/>
      <c r="C31" s="3104" t="s">
        <v>1305</v>
      </c>
      <c r="D31" s="3105"/>
      <c r="E31" s="3106" t="s">
        <v>804</v>
      </c>
      <c r="F31" s="3107"/>
      <c r="G31" s="1671" t="s">
        <v>1306</v>
      </c>
      <c r="H31" s="661" t="s">
        <v>150</v>
      </c>
      <c r="I31" s="710" t="s">
        <v>4359</v>
      </c>
      <c r="J31" s="710" t="s">
        <v>4359</v>
      </c>
      <c r="K31" s="711" t="s">
        <v>4360</v>
      </c>
      <c r="L31" s="3108" t="s">
        <v>4360</v>
      </c>
      <c r="M31" s="3108"/>
      <c r="N31" s="3108" t="s">
        <v>4360</v>
      </c>
      <c r="O31" s="3108"/>
      <c r="P31" s="712" t="s">
        <v>1155</v>
      </c>
    </row>
    <row r="32" spans="1:17 16384:16384" s="554" customFormat="1" ht="70.5" customHeight="1">
      <c r="A32" s="3109">
        <v>1</v>
      </c>
      <c r="B32" s="3110"/>
      <c r="C32" s="3111" t="s">
        <v>4361</v>
      </c>
      <c r="D32" s="3112"/>
      <c r="E32" s="3113" t="s">
        <v>4362</v>
      </c>
      <c r="F32" s="3114"/>
      <c r="G32" s="1913" t="s">
        <v>1231</v>
      </c>
      <c r="H32" s="657" t="s">
        <v>150</v>
      </c>
      <c r="I32" s="701" t="s">
        <v>4358</v>
      </c>
      <c r="J32" s="701" t="s">
        <v>4358</v>
      </c>
      <c r="K32" s="702" t="s">
        <v>151</v>
      </c>
      <c r="L32" s="3115" t="s">
        <v>151</v>
      </c>
      <c r="M32" s="3115"/>
      <c r="N32" s="3115" t="s">
        <v>151</v>
      </c>
      <c r="O32" s="3115"/>
      <c r="P32" s="703" t="s">
        <v>151</v>
      </c>
    </row>
    <row r="33" spans="1:34" s="554" customFormat="1" ht="66.75" customHeight="1">
      <c r="A33" s="3087">
        <v>2</v>
      </c>
      <c r="B33" s="3088"/>
      <c r="C33" s="3089" t="s">
        <v>4363</v>
      </c>
      <c r="D33" s="3090"/>
      <c r="E33" s="3091" t="s">
        <v>1244</v>
      </c>
      <c r="F33" s="3092"/>
      <c r="G33" s="1916" t="s">
        <v>1245</v>
      </c>
      <c r="H33" s="662" t="s">
        <v>150</v>
      </c>
      <c r="I33" s="713" t="s">
        <v>4364</v>
      </c>
      <c r="J33" s="713" t="s">
        <v>4365</v>
      </c>
      <c r="K33" s="714" t="s">
        <v>1155</v>
      </c>
      <c r="L33" s="3093" t="s">
        <v>1155</v>
      </c>
      <c r="M33" s="3094"/>
      <c r="N33" s="3093" t="s">
        <v>1155</v>
      </c>
      <c r="O33" s="3094"/>
      <c r="P33" s="715" t="s">
        <v>1155</v>
      </c>
    </row>
    <row r="34" spans="1:34" s="1" customFormat="1" ht="84.65" customHeight="1">
      <c r="A34" s="663">
        <v>1</v>
      </c>
      <c r="B34" s="664" t="s">
        <v>45</v>
      </c>
      <c r="C34" s="3095" t="s">
        <v>4366</v>
      </c>
      <c r="D34" s="3096"/>
      <c r="E34" s="3097" t="s">
        <v>804</v>
      </c>
      <c r="F34" s="3098"/>
      <c r="G34" s="1917" t="s">
        <v>4367</v>
      </c>
      <c r="H34" s="665" t="s">
        <v>150</v>
      </c>
      <c r="I34" s="665">
        <v>0</v>
      </c>
      <c r="J34" s="665">
        <v>0</v>
      </c>
      <c r="K34" s="665" t="s">
        <v>151</v>
      </c>
      <c r="L34" s="3099" t="s">
        <v>151</v>
      </c>
      <c r="M34" s="3100"/>
      <c r="N34" s="3101"/>
      <c r="O34" s="716" t="s">
        <v>4368</v>
      </c>
      <c r="P34" s="717" t="s">
        <v>4368</v>
      </c>
      <c r="Q34" s="738"/>
      <c r="R34" s="740"/>
      <c r="S34" s="740"/>
      <c r="T34" s="741"/>
      <c r="U34" s="742"/>
    </row>
    <row r="35" spans="1:34" s="2" customFormat="1" ht="50">
      <c r="A35" s="663">
        <v>1</v>
      </c>
      <c r="B35" s="655" t="s">
        <v>4369</v>
      </c>
      <c r="C35" s="3045" t="s">
        <v>508</v>
      </c>
      <c r="D35" s="3045"/>
      <c r="E35" s="648" t="s">
        <v>149</v>
      </c>
      <c r="F35" s="31" t="s">
        <v>804</v>
      </c>
      <c r="G35" s="60" t="s">
        <v>4370</v>
      </c>
      <c r="H35" s="648" t="s">
        <v>150</v>
      </c>
      <c r="I35" s="648">
        <v>0</v>
      </c>
      <c r="J35" s="648">
        <v>0</v>
      </c>
      <c r="K35" s="648" t="s">
        <v>1155</v>
      </c>
      <c r="L35" s="3046" t="s">
        <v>1155</v>
      </c>
      <c r="M35" s="3046"/>
      <c r="N35" s="3046"/>
      <c r="O35" s="31" t="s">
        <v>1155</v>
      </c>
      <c r="P35" s="693" t="s">
        <v>1155</v>
      </c>
      <c r="Q35" s="743"/>
      <c r="R35" s="744"/>
      <c r="S35" s="744"/>
      <c r="T35" s="745"/>
      <c r="U35" s="746"/>
    </row>
    <row r="36" spans="1:34" s="2" customFormat="1" ht="75" customHeight="1">
      <c r="A36" s="663">
        <v>2</v>
      </c>
      <c r="B36" s="655" t="s">
        <v>45</v>
      </c>
      <c r="C36" s="3084" t="s">
        <v>4371</v>
      </c>
      <c r="D36" s="3084"/>
      <c r="E36" s="648" t="s">
        <v>149</v>
      </c>
      <c r="F36" s="31" t="s">
        <v>804</v>
      </c>
      <c r="G36" s="60" t="s">
        <v>968</v>
      </c>
      <c r="H36" s="648" t="s">
        <v>150</v>
      </c>
      <c r="I36" s="648">
        <v>0</v>
      </c>
      <c r="J36" s="648">
        <v>0</v>
      </c>
      <c r="K36" s="648" t="s">
        <v>1155</v>
      </c>
      <c r="L36" s="3046" t="s">
        <v>1155</v>
      </c>
      <c r="M36" s="3046"/>
      <c r="N36" s="3046"/>
      <c r="O36" s="31" t="s">
        <v>1155</v>
      </c>
      <c r="P36" s="693" t="s">
        <v>1155</v>
      </c>
      <c r="Q36" s="743"/>
      <c r="R36" s="744"/>
      <c r="S36" s="744"/>
      <c r="T36" s="745"/>
      <c r="U36" s="746"/>
    </row>
    <row r="37" spans="1:34" s="2" customFormat="1" ht="75">
      <c r="A37" s="663">
        <v>3</v>
      </c>
      <c r="B37" s="655" t="s">
        <v>45</v>
      </c>
      <c r="C37" s="3051" t="s">
        <v>625</v>
      </c>
      <c r="D37" s="3045"/>
      <c r="E37" s="648" t="s">
        <v>149</v>
      </c>
      <c r="F37" s="31" t="s">
        <v>804</v>
      </c>
      <c r="G37" s="31" t="s">
        <v>4372</v>
      </c>
      <c r="H37" s="648" t="s">
        <v>150</v>
      </c>
      <c r="I37" s="648">
        <v>1</v>
      </c>
      <c r="J37" s="648">
        <v>2</v>
      </c>
      <c r="K37" s="648" t="s">
        <v>1155</v>
      </c>
      <c r="L37" s="3046" t="s">
        <v>1155</v>
      </c>
      <c r="M37" s="3046"/>
      <c r="N37" s="3046"/>
      <c r="O37" s="31" t="s">
        <v>1155</v>
      </c>
      <c r="P37" s="693" t="s">
        <v>1155</v>
      </c>
      <c r="Q37" s="743"/>
      <c r="R37" s="744"/>
      <c r="S37" s="744"/>
      <c r="T37" s="745"/>
      <c r="U37" s="746"/>
    </row>
    <row r="38" spans="1:34" s="1" customFormat="1" ht="63.65" customHeight="1" thickBot="1">
      <c r="A38" s="663">
        <v>4</v>
      </c>
      <c r="B38" s="650" t="s">
        <v>19</v>
      </c>
      <c r="C38" s="3064" t="s">
        <v>1521</v>
      </c>
      <c r="D38" s="3064"/>
      <c r="E38" s="651" t="s">
        <v>149</v>
      </c>
      <c r="F38" s="1918" t="s">
        <v>4373</v>
      </c>
      <c r="G38" s="1919" t="s">
        <v>4374</v>
      </c>
      <c r="H38" s="651" t="s">
        <v>150</v>
      </c>
      <c r="I38" s="651">
        <v>9</v>
      </c>
      <c r="J38" s="651">
        <v>10</v>
      </c>
      <c r="K38" s="651" t="s">
        <v>1155</v>
      </c>
      <c r="L38" s="3065" t="s">
        <v>1155</v>
      </c>
      <c r="M38" s="3065"/>
      <c r="N38" s="3065"/>
      <c r="O38" s="653" t="s">
        <v>1155</v>
      </c>
      <c r="P38" s="694" t="s">
        <v>1155</v>
      </c>
      <c r="Q38" s="738"/>
      <c r="R38" s="740"/>
      <c r="S38" s="740"/>
      <c r="T38" s="741"/>
      <c r="U38" s="742"/>
      <c r="AH38" s="1">
        <v>4</v>
      </c>
    </row>
    <row r="39" spans="1:34" s="1" customFormat="1" ht="69.650000000000006" customHeight="1">
      <c r="A39" s="663">
        <v>3</v>
      </c>
      <c r="B39" s="28" t="s">
        <v>45</v>
      </c>
      <c r="C39" s="3085" t="s">
        <v>652</v>
      </c>
      <c r="D39" s="3084"/>
      <c r="E39" s="648" t="s">
        <v>149</v>
      </c>
      <c r="F39" s="1645" t="s">
        <v>804</v>
      </c>
      <c r="G39" s="1920" t="s">
        <v>1017</v>
      </c>
      <c r="H39" s="648" t="s">
        <v>150</v>
      </c>
      <c r="I39" s="648">
        <v>0</v>
      </c>
      <c r="J39" s="648">
        <v>0</v>
      </c>
      <c r="K39" s="648" t="s">
        <v>1155</v>
      </c>
      <c r="L39" s="3086" t="s">
        <v>1155</v>
      </c>
      <c r="M39" s="3086"/>
      <c r="N39" s="3086"/>
      <c r="O39" s="648" t="s">
        <v>1155</v>
      </c>
      <c r="P39" s="718" t="s">
        <v>1155</v>
      </c>
      <c r="Q39" s="738"/>
      <c r="R39" s="740"/>
      <c r="S39" s="740"/>
      <c r="T39" s="741"/>
      <c r="U39" s="742"/>
      <c r="AH39" s="1">
        <v>3</v>
      </c>
    </row>
    <row r="40" spans="1:34" s="1" customFormat="1" ht="63.65" customHeight="1">
      <c r="A40" s="663">
        <v>1</v>
      </c>
      <c r="B40" s="28" t="s">
        <v>45</v>
      </c>
      <c r="C40" s="3075" t="s">
        <v>4375</v>
      </c>
      <c r="D40" s="3075"/>
      <c r="E40" s="654" t="s">
        <v>149</v>
      </c>
      <c r="F40" s="1771" t="s">
        <v>955</v>
      </c>
      <c r="G40" s="29" t="s">
        <v>956</v>
      </c>
      <c r="H40" s="654" t="s">
        <v>109</v>
      </c>
      <c r="I40" s="654">
        <v>0</v>
      </c>
      <c r="J40" s="654">
        <v>0</v>
      </c>
      <c r="K40" s="654" t="s">
        <v>151</v>
      </c>
      <c r="L40" s="3076" t="s">
        <v>151</v>
      </c>
      <c r="M40" s="3077"/>
      <c r="N40" s="3078"/>
      <c r="O40" s="29" t="s">
        <v>151</v>
      </c>
      <c r="P40" s="696" t="s">
        <v>151</v>
      </c>
      <c r="Q40" s="738"/>
      <c r="R40" s="740"/>
      <c r="S40" s="740"/>
      <c r="T40" s="741"/>
      <c r="U40" s="742"/>
      <c r="AH40" s="1">
        <v>1</v>
      </c>
    </row>
    <row r="41" spans="1:34" s="1" customFormat="1" ht="63.65" customHeight="1">
      <c r="A41" s="663">
        <v>2</v>
      </c>
      <c r="B41" s="28" t="s">
        <v>45</v>
      </c>
      <c r="C41" s="3075" t="s">
        <v>4376</v>
      </c>
      <c r="D41" s="3075"/>
      <c r="E41" s="654" t="s">
        <v>149</v>
      </c>
      <c r="F41" s="1771" t="s">
        <v>955</v>
      </c>
      <c r="G41" s="1771" t="s">
        <v>4377</v>
      </c>
      <c r="H41" s="654" t="s">
        <v>109</v>
      </c>
      <c r="I41" s="654">
        <v>0</v>
      </c>
      <c r="J41" s="654">
        <v>0</v>
      </c>
      <c r="K41" s="654" t="s">
        <v>151</v>
      </c>
      <c r="L41" s="3076" t="s">
        <v>151</v>
      </c>
      <c r="M41" s="3077"/>
      <c r="N41" s="3078"/>
      <c r="O41" s="29" t="s">
        <v>151</v>
      </c>
      <c r="P41" s="696" t="s">
        <v>151</v>
      </c>
      <c r="Q41" s="738"/>
      <c r="R41" s="740"/>
      <c r="S41" s="740"/>
      <c r="T41" s="741"/>
      <c r="U41" s="742"/>
      <c r="AH41" s="1">
        <v>2</v>
      </c>
    </row>
    <row r="42" spans="1:34" s="2" customFormat="1" ht="51" customHeight="1">
      <c r="A42" s="663">
        <v>1</v>
      </c>
      <c r="B42" s="28" t="s">
        <v>45</v>
      </c>
      <c r="C42" s="3073" t="s">
        <v>496</v>
      </c>
      <c r="D42" s="3074"/>
      <c r="E42" s="666" t="s">
        <v>149</v>
      </c>
      <c r="F42" s="1921" t="s">
        <v>804</v>
      </c>
      <c r="G42" s="667" t="s">
        <v>4378</v>
      </c>
      <c r="H42" s="666" t="s">
        <v>150</v>
      </c>
      <c r="I42" s="666">
        <v>3</v>
      </c>
      <c r="J42" s="666">
        <v>4</v>
      </c>
      <c r="K42" s="666" t="s">
        <v>1155</v>
      </c>
      <c r="L42" s="3079" t="s">
        <v>1155</v>
      </c>
      <c r="M42" s="3080"/>
      <c r="N42" s="3081"/>
      <c r="O42" s="666" t="s">
        <v>1155</v>
      </c>
      <c r="P42" s="719" t="s">
        <v>1155</v>
      </c>
      <c r="Q42" s="743"/>
      <c r="R42" s="744"/>
      <c r="S42" s="744"/>
      <c r="T42" s="745"/>
      <c r="U42" s="746"/>
    </row>
    <row r="43" spans="1:34" s="2" customFormat="1" ht="70.150000000000006" customHeight="1">
      <c r="A43" s="663">
        <v>2</v>
      </c>
      <c r="B43" s="655" t="s">
        <v>63</v>
      </c>
      <c r="C43" s="3082" t="s">
        <v>510</v>
      </c>
      <c r="D43" s="3082"/>
      <c r="E43" s="666" t="s">
        <v>149</v>
      </c>
      <c r="F43" s="667" t="s">
        <v>804</v>
      </c>
      <c r="G43" s="1922" t="s">
        <v>4379</v>
      </c>
      <c r="H43" s="666" t="s">
        <v>150</v>
      </c>
      <c r="I43" s="666">
        <v>2</v>
      </c>
      <c r="J43" s="666">
        <v>3</v>
      </c>
      <c r="K43" s="666" t="s">
        <v>1155</v>
      </c>
      <c r="L43" s="3063" t="s">
        <v>1155</v>
      </c>
      <c r="M43" s="3063"/>
      <c r="N43" s="3063"/>
      <c r="O43" s="666" t="s">
        <v>1155</v>
      </c>
      <c r="P43" s="719" t="s">
        <v>1155</v>
      </c>
      <c r="Q43" s="743"/>
      <c r="R43" s="744"/>
      <c r="S43" s="744"/>
      <c r="T43" s="745"/>
      <c r="U43" s="746"/>
    </row>
    <row r="44" spans="1:34" s="2" customFormat="1" ht="75">
      <c r="A44" s="663">
        <v>1</v>
      </c>
      <c r="B44" s="28" t="s">
        <v>45</v>
      </c>
      <c r="C44" s="3062" t="s">
        <v>499</v>
      </c>
      <c r="D44" s="3062"/>
      <c r="E44" s="666" t="s">
        <v>149</v>
      </c>
      <c r="F44" s="1921" t="s">
        <v>804</v>
      </c>
      <c r="G44" s="667" t="s">
        <v>4380</v>
      </c>
      <c r="H44" s="666" t="s">
        <v>34</v>
      </c>
      <c r="I44" s="666">
        <v>0</v>
      </c>
      <c r="J44" s="666">
        <v>0</v>
      </c>
      <c r="K44" s="666" t="s">
        <v>1155</v>
      </c>
      <c r="L44" s="3083" t="s">
        <v>1155</v>
      </c>
      <c r="M44" s="3083"/>
      <c r="N44" s="3083"/>
      <c r="O44" s="666" t="s">
        <v>1155</v>
      </c>
      <c r="P44" s="719" t="s">
        <v>1155</v>
      </c>
      <c r="Q44" s="743"/>
      <c r="R44" s="744"/>
      <c r="S44" s="744"/>
      <c r="T44" s="745"/>
      <c r="U44" s="746"/>
    </row>
    <row r="45" spans="1:34" s="2" customFormat="1" ht="82.15" customHeight="1">
      <c r="A45" s="663">
        <v>2</v>
      </c>
      <c r="B45" s="28" t="s">
        <v>19</v>
      </c>
      <c r="C45" s="3082" t="s">
        <v>1814</v>
      </c>
      <c r="D45" s="3082"/>
      <c r="E45" s="666" t="s">
        <v>149</v>
      </c>
      <c r="F45" s="667" t="s">
        <v>804</v>
      </c>
      <c r="G45" s="668" t="s">
        <v>4381</v>
      </c>
      <c r="H45" s="666" t="s">
        <v>150</v>
      </c>
      <c r="I45" s="666">
        <v>0</v>
      </c>
      <c r="J45" s="666">
        <v>0</v>
      </c>
      <c r="K45" s="666" t="s">
        <v>1155</v>
      </c>
      <c r="L45" s="3063" t="s">
        <v>1155</v>
      </c>
      <c r="M45" s="3063"/>
      <c r="N45" s="3063"/>
      <c r="O45" s="666" t="s">
        <v>1155</v>
      </c>
      <c r="P45" s="719" t="s">
        <v>1155</v>
      </c>
      <c r="Q45" s="743"/>
      <c r="R45" s="744"/>
      <c r="S45" s="744"/>
      <c r="T45" s="745"/>
      <c r="U45" s="746"/>
    </row>
    <row r="46" spans="1:34" s="2" customFormat="1" ht="56.5" customHeight="1">
      <c r="A46" s="663">
        <v>1</v>
      </c>
      <c r="B46" s="669" t="s">
        <v>51</v>
      </c>
      <c r="C46" s="3064" t="s">
        <v>4382</v>
      </c>
      <c r="D46" s="3064"/>
      <c r="E46" s="651" t="s">
        <v>149</v>
      </c>
      <c r="F46" s="653" t="s">
        <v>804</v>
      </c>
      <c r="G46" s="1908" t="s">
        <v>4383</v>
      </c>
      <c r="H46" s="651" t="s">
        <v>150</v>
      </c>
      <c r="I46" s="651">
        <v>0</v>
      </c>
      <c r="J46" s="651">
        <v>0</v>
      </c>
      <c r="K46" s="651" t="s">
        <v>4368</v>
      </c>
      <c r="L46" s="3065" t="s">
        <v>4368</v>
      </c>
      <c r="M46" s="3065"/>
      <c r="N46" s="3065"/>
      <c r="O46" s="651" t="s">
        <v>4368</v>
      </c>
      <c r="P46" s="721" t="s">
        <v>4368</v>
      </c>
      <c r="Q46" s="743"/>
      <c r="R46" s="744"/>
      <c r="S46" s="744"/>
      <c r="T46" s="745"/>
      <c r="U46" s="746"/>
    </row>
    <row r="47" spans="1:34" s="2" customFormat="1" ht="75">
      <c r="A47" s="670">
        <v>1</v>
      </c>
      <c r="B47" s="650" t="s">
        <v>19</v>
      </c>
      <c r="C47" s="3066" t="s">
        <v>4384</v>
      </c>
      <c r="D47" s="3066"/>
      <c r="E47" s="671" t="s">
        <v>149</v>
      </c>
      <c r="F47" s="672" t="s">
        <v>804</v>
      </c>
      <c r="G47" s="672" t="s">
        <v>4385</v>
      </c>
      <c r="H47" s="671" t="s">
        <v>150</v>
      </c>
      <c r="I47" s="671">
        <v>1</v>
      </c>
      <c r="J47" s="671">
        <v>2</v>
      </c>
      <c r="K47" s="671" t="s">
        <v>4368</v>
      </c>
      <c r="L47" s="3067" t="s">
        <v>4368</v>
      </c>
      <c r="M47" s="3067"/>
      <c r="N47" s="3067"/>
      <c r="O47" s="671" t="s">
        <v>4368</v>
      </c>
      <c r="P47" s="722" t="s">
        <v>4368</v>
      </c>
      <c r="Q47" s="743"/>
      <c r="R47" s="744"/>
      <c r="S47" s="744"/>
      <c r="T47" s="745"/>
      <c r="U47" s="746"/>
    </row>
    <row r="48" spans="1:34" s="2" customFormat="1" ht="67.150000000000006" customHeight="1">
      <c r="A48" s="670">
        <v>1</v>
      </c>
      <c r="B48" s="673" t="s">
        <v>19</v>
      </c>
      <c r="C48" s="3068" t="s">
        <v>4386</v>
      </c>
      <c r="D48" s="3069"/>
      <c r="E48" s="674" t="s">
        <v>149</v>
      </c>
      <c r="F48" s="653" t="s">
        <v>804</v>
      </c>
      <c r="G48" s="1918" t="s">
        <v>922</v>
      </c>
      <c r="H48" s="674" t="s">
        <v>150</v>
      </c>
      <c r="I48" s="674">
        <v>0</v>
      </c>
      <c r="J48" s="674">
        <v>0</v>
      </c>
      <c r="K48" s="674" t="s">
        <v>1155</v>
      </c>
      <c r="L48" s="3070" t="s">
        <v>1155</v>
      </c>
      <c r="M48" s="3071"/>
      <c r="N48" s="3072"/>
      <c r="O48" s="674" t="s">
        <v>1155</v>
      </c>
      <c r="P48" s="723" t="s">
        <v>1155</v>
      </c>
      <c r="Q48" s="743"/>
      <c r="R48" s="744"/>
      <c r="S48" s="744"/>
      <c r="T48" s="745"/>
      <c r="U48" s="746"/>
    </row>
    <row r="49" spans="1:21" s="2" customFormat="1" ht="51" customHeight="1">
      <c r="A49" s="675">
        <v>1</v>
      </c>
      <c r="B49" s="676" t="s">
        <v>45</v>
      </c>
      <c r="C49" s="3062" t="s">
        <v>4387</v>
      </c>
      <c r="D49" s="3062"/>
      <c r="E49" s="666" t="s">
        <v>149</v>
      </c>
      <c r="F49" s="667" t="s">
        <v>869</v>
      </c>
      <c r="G49" s="667" t="s">
        <v>4388</v>
      </c>
      <c r="H49" s="666" t="s">
        <v>150</v>
      </c>
      <c r="I49" s="720" t="s">
        <v>1155</v>
      </c>
      <c r="J49" s="666" t="s">
        <v>1155</v>
      </c>
      <c r="K49" s="666" t="s">
        <v>1155</v>
      </c>
      <c r="L49" s="3063" t="s">
        <v>1155</v>
      </c>
      <c r="M49" s="3063"/>
      <c r="N49" s="3063"/>
      <c r="O49" s="720" t="s">
        <v>1155</v>
      </c>
      <c r="P49" s="724" t="s">
        <v>1155</v>
      </c>
      <c r="Q49" s="736"/>
      <c r="R49" s="744"/>
      <c r="S49" s="744"/>
      <c r="T49" s="745"/>
      <c r="U49" s="746"/>
    </row>
    <row r="50" spans="1:21" s="2" customFormat="1" ht="56.5" customHeight="1">
      <c r="A50" s="675">
        <v>1</v>
      </c>
      <c r="B50" s="676" t="s">
        <v>45</v>
      </c>
      <c r="C50" s="3073" t="s">
        <v>4389</v>
      </c>
      <c r="D50" s="3074"/>
      <c r="E50" s="666" t="s">
        <v>149</v>
      </c>
      <c r="F50" s="667" t="s">
        <v>4390</v>
      </c>
      <c r="G50" s="1923" t="s">
        <v>4391</v>
      </c>
      <c r="H50" s="666" t="s">
        <v>34</v>
      </c>
      <c r="I50" s="725">
        <v>0</v>
      </c>
      <c r="J50" s="725">
        <v>0</v>
      </c>
      <c r="K50" s="666" t="s">
        <v>1155</v>
      </c>
      <c r="L50" s="3063" t="s">
        <v>1155</v>
      </c>
      <c r="M50" s="3063"/>
      <c r="N50" s="3063"/>
      <c r="O50" s="667" t="s">
        <v>1155</v>
      </c>
      <c r="P50" s="726" t="s">
        <v>1155</v>
      </c>
      <c r="Q50" s="743"/>
      <c r="R50" s="744"/>
      <c r="S50" s="744"/>
      <c r="T50" s="745"/>
      <c r="U50" s="746"/>
    </row>
    <row r="51" spans="1:21" s="2" customFormat="1" ht="56.5" customHeight="1">
      <c r="A51" s="675">
        <v>1</v>
      </c>
      <c r="B51" s="676" t="s">
        <v>45</v>
      </c>
      <c r="C51" s="3062" t="s">
        <v>4392</v>
      </c>
      <c r="D51" s="3062"/>
      <c r="E51" s="666" t="s">
        <v>149</v>
      </c>
      <c r="F51" s="667" t="s">
        <v>869</v>
      </c>
      <c r="G51" s="677" t="s">
        <v>4393</v>
      </c>
      <c r="H51" s="666" t="s">
        <v>34</v>
      </c>
      <c r="I51" s="666">
        <v>0</v>
      </c>
      <c r="J51" s="666">
        <v>0</v>
      </c>
      <c r="K51" s="666" t="s">
        <v>151</v>
      </c>
      <c r="L51" s="3063" t="s">
        <v>151</v>
      </c>
      <c r="M51" s="3063"/>
      <c r="N51" s="3063"/>
      <c r="O51" s="667" t="s">
        <v>151</v>
      </c>
      <c r="P51" s="726" t="s">
        <v>151</v>
      </c>
      <c r="Q51" s="743"/>
      <c r="R51" s="744"/>
      <c r="S51" s="744"/>
      <c r="T51" s="745"/>
      <c r="U51" s="746"/>
    </row>
    <row r="52" spans="1:21" s="627" customFormat="1" ht="79.150000000000006" customHeight="1">
      <c r="A52" s="675">
        <v>1</v>
      </c>
      <c r="B52" s="676" t="s">
        <v>45</v>
      </c>
      <c r="C52" s="3042" t="s">
        <v>386</v>
      </c>
      <c r="D52" s="3043"/>
      <c r="E52" s="656" t="s">
        <v>817</v>
      </c>
      <c r="F52" s="1768" t="s">
        <v>4394</v>
      </c>
      <c r="G52" s="1768" t="s">
        <v>4395</v>
      </c>
      <c r="H52" s="656" t="s">
        <v>34</v>
      </c>
      <c r="I52" s="656">
        <v>0</v>
      </c>
      <c r="J52" s="656">
        <v>0</v>
      </c>
      <c r="K52" s="656" t="s">
        <v>151</v>
      </c>
      <c r="L52" s="3044" t="s">
        <v>151</v>
      </c>
      <c r="M52" s="3044"/>
      <c r="N52" s="3044"/>
      <c r="O52" s="678" t="s">
        <v>151</v>
      </c>
      <c r="P52" s="727" t="s">
        <v>151</v>
      </c>
      <c r="Q52" s="747"/>
      <c r="R52" s="748"/>
      <c r="S52" s="748"/>
      <c r="T52" s="749"/>
      <c r="U52" s="750"/>
    </row>
    <row r="53" spans="1:21" s="627" customFormat="1" ht="69.650000000000006" customHeight="1">
      <c r="A53" s="675">
        <v>2</v>
      </c>
      <c r="B53" s="676" t="s">
        <v>19</v>
      </c>
      <c r="C53" s="3062" t="s">
        <v>609</v>
      </c>
      <c r="D53" s="3062"/>
      <c r="E53" s="666" t="s">
        <v>149</v>
      </c>
      <c r="F53" s="1921" t="s">
        <v>804</v>
      </c>
      <c r="G53" s="1922" t="s">
        <v>4396</v>
      </c>
      <c r="H53" s="666" t="s">
        <v>150</v>
      </c>
      <c r="I53" s="666">
        <v>0</v>
      </c>
      <c r="J53" s="666">
        <v>0</v>
      </c>
      <c r="K53" s="666" t="s">
        <v>1155</v>
      </c>
      <c r="L53" s="3063" t="s">
        <v>1155</v>
      </c>
      <c r="M53" s="3063"/>
      <c r="N53" s="3063"/>
      <c r="O53" s="667" t="s">
        <v>1155</v>
      </c>
      <c r="P53" s="726" t="s">
        <v>1155</v>
      </c>
      <c r="Q53" s="747"/>
      <c r="R53" s="748"/>
      <c r="S53" s="748"/>
      <c r="T53" s="749"/>
      <c r="U53" s="750"/>
    </row>
    <row r="54" spans="1:21" s="627" customFormat="1" ht="58.15" customHeight="1">
      <c r="A54" s="675">
        <v>1</v>
      </c>
      <c r="B54" s="676" t="s">
        <v>45</v>
      </c>
      <c r="C54" s="3062" t="s">
        <v>602</v>
      </c>
      <c r="D54" s="3062"/>
      <c r="E54" s="666" t="s">
        <v>149</v>
      </c>
      <c r="F54" s="1921" t="s">
        <v>804</v>
      </c>
      <c r="G54" s="1922" t="s">
        <v>4397</v>
      </c>
      <c r="H54" s="666" t="s">
        <v>150</v>
      </c>
      <c r="I54" s="666">
        <v>0</v>
      </c>
      <c r="J54" s="666">
        <v>0</v>
      </c>
      <c r="K54" s="666" t="s">
        <v>1155</v>
      </c>
      <c r="L54" s="3063" t="s">
        <v>1155</v>
      </c>
      <c r="M54" s="3063"/>
      <c r="N54" s="3063"/>
      <c r="O54" s="667" t="s">
        <v>1155</v>
      </c>
      <c r="P54" s="726" t="s">
        <v>1155</v>
      </c>
      <c r="Q54" s="747"/>
      <c r="R54" s="748"/>
      <c r="S54" s="748"/>
      <c r="T54" s="749"/>
      <c r="U54" s="750"/>
    </row>
    <row r="55" spans="1:21" s="627" customFormat="1" ht="78.650000000000006" customHeight="1">
      <c r="A55" s="675">
        <v>2</v>
      </c>
      <c r="B55" s="676" t="s">
        <v>45</v>
      </c>
      <c r="C55" s="3051" t="s">
        <v>3967</v>
      </c>
      <c r="D55" s="3045"/>
      <c r="E55" s="648" t="s">
        <v>817</v>
      </c>
      <c r="F55" s="1645" t="s">
        <v>804</v>
      </c>
      <c r="G55" s="1482" t="s">
        <v>3968</v>
      </c>
      <c r="H55" s="648" t="s">
        <v>150</v>
      </c>
      <c r="I55" s="648">
        <v>0</v>
      </c>
      <c r="J55" s="648">
        <v>0</v>
      </c>
      <c r="K55" s="648" t="s">
        <v>1155</v>
      </c>
      <c r="L55" s="3046" t="s">
        <v>1155</v>
      </c>
      <c r="M55" s="3046"/>
      <c r="N55" s="3046"/>
      <c r="O55" s="31" t="s">
        <v>1155</v>
      </c>
      <c r="P55" s="693" t="s">
        <v>1155</v>
      </c>
      <c r="Q55" s="747"/>
      <c r="R55" s="748"/>
      <c r="S55" s="748"/>
      <c r="T55" s="749"/>
      <c r="U55" s="750"/>
    </row>
    <row r="56" spans="1:21" s="627" customFormat="1" ht="66.650000000000006" customHeight="1">
      <c r="A56" s="675">
        <v>4</v>
      </c>
      <c r="B56" s="676" t="s">
        <v>19</v>
      </c>
      <c r="C56" s="3062" t="s">
        <v>670</v>
      </c>
      <c r="D56" s="3062"/>
      <c r="E56" s="666" t="s">
        <v>149</v>
      </c>
      <c r="F56" s="1921" t="s">
        <v>804</v>
      </c>
      <c r="G56" s="667" t="s">
        <v>4398</v>
      </c>
      <c r="H56" s="666" t="s">
        <v>150</v>
      </c>
      <c r="I56" s="666">
        <v>2</v>
      </c>
      <c r="J56" s="666">
        <v>3</v>
      </c>
      <c r="K56" s="666" t="s">
        <v>1155</v>
      </c>
      <c r="L56" s="3063" t="s">
        <v>1155</v>
      </c>
      <c r="M56" s="3063"/>
      <c r="N56" s="3063"/>
      <c r="O56" s="667" t="s">
        <v>1155</v>
      </c>
      <c r="P56" s="726" t="s">
        <v>1155</v>
      </c>
      <c r="Q56" s="747"/>
      <c r="R56" s="748"/>
      <c r="S56" s="748"/>
      <c r="T56" s="749"/>
      <c r="U56" s="750"/>
    </row>
    <row r="57" spans="1:21" s="627" customFormat="1" ht="49.9" customHeight="1">
      <c r="A57" s="675">
        <v>1</v>
      </c>
      <c r="B57" s="676" t="s">
        <v>45</v>
      </c>
      <c r="C57" s="3062" t="s">
        <v>4399</v>
      </c>
      <c r="D57" s="3062"/>
      <c r="E57" s="666" t="s">
        <v>149</v>
      </c>
      <c r="F57" s="1921" t="s">
        <v>804</v>
      </c>
      <c r="G57" s="667" t="s">
        <v>4400</v>
      </c>
      <c r="H57" s="666" t="s">
        <v>4344</v>
      </c>
      <c r="I57" s="666">
        <v>0</v>
      </c>
      <c r="J57" s="666">
        <v>0</v>
      </c>
      <c r="K57" s="666" t="s">
        <v>151</v>
      </c>
      <c r="L57" s="3063" t="s">
        <v>151</v>
      </c>
      <c r="M57" s="3063"/>
      <c r="N57" s="3063"/>
      <c r="O57" s="667" t="s">
        <v>151</v>
      </c>
      <c r="P57" s="726" t="s">
        <v>151</v>
      </c>
      <c r="Q57" s="747"/>
      <c r="R57" s="748"/>
      <c r="S57" s="748"/>
      <c r="T57" s="749"/>
      <c r="U57" s="750"/>
    </row>
    <row r="58" spans="1:21" s="627" customFormat="1" ht="79.900000000000006" customHeight="1">
      <c r="A58" s="675">
        <v>1</v>
      </c>
      <c r="B58" s="676" t="s">
        <v>19</v>
      </c>
      <c r="C58" s="3045" t="s">
        <v>4401</v>
      </c>
      <c r="D58" s="3045"/>
      <c r="E58" s="648" t="s">
        <v>149</v>
      </c>
      <c r="F58" s="1645" t="s">
        <v>804</v>
      </c>
      <c r="G58" s="1482" t="s">
        <v>4402</v>
      </c>
      <c r="H58" s="648" t="s">
        <v>4403</v>
      </c>
      <c r="I58" s="648">
        <v>0</v>
      </c>
      <c r="J58" s="648" t="s">
        <v>1155</v>
      </c>
      <c r="K58" s="648" t="s">
        <v>1155</v>
      </c>
      <c r="L58" s="3046" t="s">
        <v>1155</v>
      </c>
      <c r="M58" s="3046"/>
      <c r="N58" s="3046"/>
      <c r="O58" s="692" t="s">
        <v>1155</v>
      </c>
      <c r="P58" s="728" t="s">
        <v>1155</v>
      </c>
      <c r="Q58" s="736"/>
      <c r="R58" s="748"/>
      <c r="S58" s="748"/>
      <c r="T58" s="749"/>
      <c r="U58" s="750"/>
    </row>
    <row r="59" spans="1:21" s="2" customFormat="1" ht="73.150000000000006" customHeight="1">
      <c r="A59" s="675">
        <v>1</v>
      </c>
      <c r="B59" s="676" t="s">
        <v>19</v>
      </c>
      <c r="C59" s="3045" t="s">
        <v>4404</v>
      </c>
      <c r="D59" s="3045"/>
      <c r="E59" s="648" t="s">
        <v>817</v>
      </c>
      <c r="F59" s="1767" t="s">
        <v>852</v>
      </c>
      <c r="G59" s="1482" t="s">
        <v>4405</v>
      </c>
      <c r="H59" s="648" t="s">
        <v>4403</v>
      </c>
      <c r="I59" s="648">
        <v>0</v>
      </c>
      <c r="J59" s="648">
        <v>0</v>
      </c>
      <c r="K59" s="648" t="s">
        <v>1155</v>
      </c>
      <c r="L59" s="3046" t="s">
        <v>1155</v>
      </c>
      <c r="M59" s="3046"/>
      <c r="N59" s="3046"/>
      <c r="O59" s="692" t="s">
        <v>1155</v>
      </c>
      <c r="P59" s="728" t="s">
        <v>1155</v>
      </c>
      <c r="Q59" s="736"/>
      <c r="R59" s="744"/>
      <c r="S59" s="744"/>
      <c r="T59" s="745"/>
      <c r="U59" s="746"/>
    </row>
    <row r="60" spans="1:21" s="2" customFormat="1" ht="67.900000000000006" customHeight="1">
      <c r="A60" s="675">
        <v>2</v>
      </c>
      <c r="B60" s="676" t="s">
        <v>19</v>
      </c>
      <c r="C60" s="3045" t="s">
        <v>4406</v>
      </c>
      <c r="D60" s="3045"/>
      <c r="E60" s="648" t="s">
        <v>817</v>
      </c>
      <c r="F60" s="1767" t="s">
        <v>852</v>
      </c>
      <c r="G60" s="1482" t="s">
        <v>4405</v>
      </c>
      <c r="H60" s="648" t="s">
        <v>4403</v>
      </c>
      <c r="I60" s="648">
        <v>0</v>
      </c>
      <c r="J60" s="648">
        <v>0</v>
      </c>
      <c r="K60" s="648" t="s">
        <v>1155</v>
      </c>
      <c r="L60" s="3046" t="s">
        <v>1155</v>
      </c>
      <c r="M60" s="3046"/>
      <c r="N60" s="3046"/>
      <c r="O60" s="692" t="s">
        <v>1155</v>
      </c>
      <c r="P60" s="728" t="s">
        <v>1155</v>
      </c>
      <c r="Q60" s="736"/>
      <c r="R60" s="744"/>
      <c r="S60" s="744"/>
      <c r="T60" s="745"/>
      <c r="U60" s="746"/>
    </row>
    <row r="61" spans="1:21" s="2" customFormat="1" ht="67.900000000000006" customHeight="1">
      <c r="A61" s="675">
        <v>3</v>
      </c>
      <c r="B61" s="676" t="s">
        <v>19</v>
      </c>
      <c r="C61" s="3045" t="s">
        <v>550</v>
      </c>
      <c r="D61" s="3045"/>
      <c r="E61" s="648" t="s">
        <v>817</v>
      </c>
      <c r="F61" s="1767" t="s">
        <v>852</v>
      </c>
      <c r="G61" s="1482" t="s">
        <v>4405</v>
      </c>
      <c r="H61" s="648" t="s">
        <v>4403</v>
      </c>
      <c r="I61" s="648">
        <v>0</v>
      </c>
      <c r="J61" s="648">
        <v>0</v>
      </c>
      <c r="K61" s="648" t="s">
        <v>1155</v>
      </c>
      <c r="L61" s="3046" t="s">
        <v>1155</v>
      </c>
      <c r="M61" s="3046"/>
      <c r="N61" s="3046"/>
      <c r="O61" s="692" t="s">
        <v>1155</v>
      </c>
      <c r="P61" s="728" t="s">
        <v>1155</v>
      </c>
      <c r="Q61" s="736"/>
      <c r="R61" s="744"/>
      <c r="S61" s="744"/>
      <c r="T61" s="745"/>
      <c r="U61" s="746"/>
    </row>
    <row r="62" spans="1:21" s="627" customFormat="1" ht="78.650000000000006" customHeight="1">
      <c r="A62" s="670">
        <v>2</v>
      </c>
      <c r="B62" s="1644" t="s">
        <v>967</v>
      </c>
      <c r="C62" s="3051" t="s">
        <v>3953</v>
      </c>
      <c r="D62" s="3045"/>
      <c r="E62" s="648" t="s">
        <v>817</v>
      </c>
      <c r="F62" s="1645" t="s">
        <v>4407</v>
      </c>
      <c r="G62" s="1645" t="s">
        <v>3954</v>
      </c>
      <c r="H62" s="648" t="s">
        <v>150</v>
      </c>
      <c r="I62" s="648">
        <v>0</v>
      </c>
      <c r="J62" s="648">
        <v>0</v>
      </c>
      <c r="K62" s="692" t="s">
        <v>1155</v>
      </c>
      <c r="L62" s="3046" t="s">
        <v>1155</v>
      </c>
      <c r="M62" s="3046"/>
      <c r="N62" s="3046"/>
      <c r="O62" s="692" t="s">
        <v>1155</v>
      </c>
      <c r="P62" s="728" t="s">
        <v>1155</v>
      </c>
      <c r="Q62" s="736"/>
      <c r="R62" s="748"/>
      <c r="S62" s="749"/>
      <c r="T62" s="750"/>
    </row>
    <row r="63" spans="1:21" s="627" customFormat="1" ht="58.9" customHeight="1">
      <c r="A63" s="679">
        <v>3</v>
      </c>
      <c r="B63" s="680" t="s">
        <v>19</v>
      </c>
      <c r="C63" s="3052" t="s">
        <v>536</v>
      </c>
      <c r="D63" s="3053"/>
      <c r="E63" s="681" t="s">
        <v>149</v>
      </c>
      <c r="F63" s="1924" t="s">
        <v>804</v>
      </c>
      <c r="G63" s="1925" t="s">
        <v>4408</v>
      </c>
      <c r="H63" s="682"/>
      <c r="I63" s="681">
        <v>0</v>
      </c>
      <c r="J63" s="681">
        <v>0</v>
      </c>
      <c r="K63" s="681" t="s">
        <v>1155</v>
      </c>
      <c r="L63" s="3054" t="s">
        <v>1155</v>
      </c>
      <c r="M63" s="3055"/>
      <c r="N63" s="3056"/>
      <c r="O63" s="682" t="s">
        <v>1155</v>
      </c>
      <c r="P63" s="729" t="s">
        <v>1155</v>
      </c>
      <c r="Q63" s="747"/>
      <c r="R63" s="748"/>
      <c r="S63" s="748"/>
      <c r="T63" s="749"/>
      <c r="U63" s="750"/>
    </row>
    <row r="64" spans="1:21" s="627" customFormat="1" ht="69" customHeight="1">
      <c r="A64" s="670">
        <v>1</v>
      </c>
      <c r="B64" s="1907" t="s">
        <v>967</v>
      </c>
      <c r="C64" s="3057" t="s">
        <v>4409</v>
      </c>
      <c r="D64" s="3058"/>
      <c r="E64" s="683" t="s">
        <v>149</v>
      </c>
      <c r="F64" s="1926" t="s">
        <v>804</v>
      </c>
      <c r="G64" s="1926" t="s">
        <v>4410</v>
      </c>
      <c r="H64" s="1927" t="s">
        <v>109</v>
      </c>
      <c r="I64" s="683">
        <v>0</v>
      </c>
      <c r="J64" s="683">
        <v>0</v>
      </c>
      <c r="K64" s="730" t="s">
        <v>1155</v>
      </c>
      <c r="L64" s="3059" t="s">
        <v>1155</v>
      </c>
      <c r="M64" s="3060"/>
      <c r="N64" s="3061"/>
      <c r="O64" s="730" t="s">
        <v>1155</v>
      </c>
      <c r="P64" s="731" t="s">
        <v>1155</v>
      </c>
      <c r="Q64" s="735"/>
      <c r="R64" s="748"/>
      <c r="S64" s="749"/>
      <c r="T64" s="750"/>
    </row>
    <row r="65" spans="1:19" s="627" customFormat="1" ht="69" customHeight="1">
      <c r="A65" s="675">
        <v>1</v>
      </c>
      <c r="B65" s="1644" t="s">
        <v>933</v>
      </c>
      <c r="C65" s="3049" t="s">
        <v>4411</v>
      </c>
      <c r="D65" s="3047"/>
      <c r="E65" s="654" t="s">
        <v>817</v>
      </c>
      <c r="F65" s="1771" t="s">
        <v>4412</v>
      </c>
      <c r="G65" s="1771" t="s">
        <v>4413</v>
      </c>
      <c r="H65" s="1910" t="s">
        <v>150</v>
      </c>
      <c r="I65" s="654">
        <v>0</v>
      </c>
      <c r="J65" s="654">
        <v>0</v>
      </c>
      <c r="K65" s="695" t="s">
        <v>151</v>
      </c>
      <c r="L65" s="3048" t="s">
        <v>151</v>
      </c>
      <c r="M65" s="3048"/>
      <c r="N65" s="3048"/>
      <c r="O65" s="695" t="s">
        <v>151</v>
      </c>
      <c r="P65" s="732" t="s">
        <v>151</v>
      </c>
      <c r="Q65" s="736"/>
      <c r="R65" s="750"/>
    </row>
    <row r="66" spans="1:19" s="627" customFormat="1" ht="60" customHeight="1">
      <c r="A66" s="675">
        <v>1</v>
      </c>
      <c r="B66" s="1644" t="s">
        <v>51</v>
      </c>
      <c r="C66" s="3047" t="s">
        <v>4414</v>
      </c>
      <c r="D66" s="3047"/>
      <c r="E66" s="654" t="s">
        <v>817</v>
      </c>
      <c r="F66" s="387" t="s">
        <v>804</v>
      </c>
      <c r="G66" s="29" t="s">
        <v>3950</v>
      </c>
      <c r="H66" s="654" t="s">
        <v>150</v>
      </c>
      <c r="I66" s="654">
        <v>0</v>
      </c>
      <c r="J66" s="654">
        <v>0</v>
      </c>
      <c r="K66" s="654" t="s">
        <v>151</v>
      </c>
      <c r="L66" s="3048" t="s">
        <v>151</v>
      </c>
      <c r="M66" s="3048"/>
      <c r="N66" s="3048"/>
      <c r="O66" s="29" t="s">
        <v>151</v>
      </c>
      <c r="P66" s="696" t="s">
        <v>151</v>
      </c>
      <c r="Q66" s="747"/>
      <c r="R66" s="749"/>
      <c r="S66" s="750"/>
    </row>
    <row r="67" spans="1:19" s="627" customFormat="1" ht="64.900000000000006" customHeight="1">
      <c r="A67" s="675">
        <v>2</v>
      </c>
      <c r="B67" s="1644" t="s">
        <v>51</v>
      </c>
      <c r="C67" s="3049" t="s">
        <v>4411</v>
      </c>
      <c r="D67" s="3047"/>
      <c r="E67" s="654" t="s">
        <v>817</v>
      </c>
      <c r="F67" s="1771" t="s">
        <v>4412</v>
      </c>
      <c r="G67" s="1771" t="s">
        <v>4415</v>
      </c>
      <c r="H67" s="654" t="s">
        <v>4416</v>
      </c>
      <c r="I67" s="654">
        <v>0</v>
      </c>
      <c r="J67" s="654">
        <v>0</v>
      </c>
      <c r="K67" s="654" t="s">
        <v>151</v>
      </c>
      <c r="L67" s="3048" t="s">
        <v>151</v>
      </c>
      <c r="M67" s="3048"/>
      <c r="N67" s="3048"/>
      <c r="O67" s="29" t="s">
        <v>151</v>
      </c>
      <c r="P67" s="696" t="s">
        <v>151</v>
      </c>
      <c r="Q67" s="747"/>
      <c r="R67" s="749"/>
      <c r="S67" s="750"/>
    </row>
    <row r="68" spans="1:19" s="627" customFormat="1" ht="71.5" customHeight="1">
      <c r="A68" s="675">
        <v>1</v>
      </c>
      <c r="B68" s="1644" t="s">
        <v>51</v>
      </c>
      <c r="C68" s="3050" t="s">
        <v>4417</v>
      </c>
      <c r="D68" s="3038"/>
      <c r="E68" s="645" t="s">
        <v>149</v>
      </c>
      <c r="F68" s="644" t="s">
        <v>804</v>
      </c>
      <c r="G68" s="1928" t="s">
        <v>4418</v>
      </c>
      <c r="H68" s="643" t="s">
        <v>150</v>
      </c>
      <c r="I68" s="643">
        <v>0</v>
      </c>
      <c r="J68" s="643">
        <v>0</v>
      </c>
      <c r="K68" s="690" t="s">
        <v>1155</v>
      </c>
      <c r="L68" s="3039" t="s">
        <v>1155</v>
      </c>
      <c r="M68" s="3039"/>
      <c r="N68" s="3039"/>
      <c r="O68" s="690" t="s">
        <v>1155</v>
      </c>
      <c r="P68" s="691" t="s">
        <v>1155</v>
      </c>
      <c r="Q68" s="735"/>
      <c r="R68" s="750"/>
    </row>
    <row r="69" spans="1:19" s="625" customFormat="1" ht="60.65" customHeight="1">
      <c r="A69" s="647">
        <v>1</v>
      </c>
      <c r="B69" s="1644" t="s">
        <v>19</v>
      </c>
      <c r="C69" s="3040" t="s">
        <v>4419</v>
      </c>
      <c r="D69" s="3040"/>
      <c r="E69" s="684" t="s">
        <v>149</v>
      </c>
      <c r="F69" s="685" t="s">
        <v>804</v>
      </c>
      <c r="G69" s="1929" t="s">
        <v>3932</v>
      </c>
      <c r="H69" s="686" t="s">
        <v>150</v>
      </c>
      <c r="I69" s="686">
        <v>0</v>
      </c>
      <c r="J69" s="686">
        <v>0</v>
      </c>
      <c r="K69" s="733" t="s">
        <v>1155</v>
      </c>
      <c r="L69" s="3041" t="s">
        <v>1155</v>
      </c>
      <c r="M69" s="3041"/>
      <c r="N69" s="3041"/>
      <c r="O69" s="733" t="s">
        <v>1155</v>
      </c>
      <c r="P69" s="734" t="s">
        <v>1155</v>
      </c>
      <c r="Q69" s="737"/>
    </row>
    <row r="70" spans="1:19" s="6" customFormat="1" ht="52.9" customHeight="1">
      <c r="A70" s="647">
        <v>2</v>
      </c>
      <c r="B70" s="1644" t="s">
        <v>19</v>
      </c>
      <c r="C70" s="3040" t="s">
        <v>4420</v>
      </c>
      <c r="D70" s="3040"/>
      <c r="E70" s="684" t="s">
        <v>149</v>
      </c>
      <c r="F70" s="685" t="s">
        <v>804</v>
      </c>
      <c r="G70" s="684" t="s">
        <v>3932</v>
      </c>
      <c r="H70" s="686" t="s">
        <v>150</v>
      </c>
      <c r="I70" s="686">
        <v>0</v>
      </c>
      <c r="J70" s="686">
        <v>0</v>
      </c>
      <c r="K70" s="686" t="s">
        <v>1155</v>
      </c>
      <c r="L70" s="3041" t="s">
        <v>1155</v>
      </c>
      <c r="M70" s="3041"/>
      <c r="N70" s="3041"/>
      <c r="O70" s="684" t="s">
        <v>1155</v>
      </c>
      <c r="P70" s="753" t="s">
        <v>1155</v>
      </c>
      <c r="Q70" s="737"/>
    </row>
    <row r="71" spans="1:19" s="626" customFormat="1" ht="63" customHeight="1">
      <c r="A71" s="647">
        <v>5</v>
      </c>
      <c r="B71" s="1644" t="s">
        <v>51</v>
      </c>
      <c r="C71" s="3040" t="s">
        <v>4421</v>
      </c>
      <c r="D71" s="3040"/>
      <c r="E71" s="684" t="s">
        <v>412</v>
      </c>
      <c r="F71" s="685" t="s">
        <v>4422</v>
      </c>
      <c r="G71" s="1929" t="s">
        <v>4423</v>
      </c>
      <c r="H71" s="686" t="s">
        <v>150</v>
      </c>
      <c r="I71" s="686">
        <v>2</v>
      </c>
      <c r="J71" s="686">
        <v>3</v>
      </c>
      <c r="K71" s="686" t="s">
        <v>1155</v>
      </c>
      <c r="L71" s="3041" t="s">
        <v>1155</v>
      </c>
      <c r="M71" s="3041"/>
      <c r="N71" s="3041"/>
      <c r="O71" s="684" t="s">
        <v>1155</v>
      </c>
      <c r="P71" s="753" t="s">
        <v>1155</v>
      </c>
      <c r="Q71" s="739"/>
    </row>
    <row r="72" spans="1:19" s="625" customFormat="1" ht="69" customHeight="1">
      <c r="A72" s="647">
        <v>1</v>
      </c>
      <c r="B72" s="1644" t="s">
        <v>51</v>
      </c>
      <c r="C72" s="3042" t="s">
        <v>589</v>
      </c>
      <c r="D72" s="3043"/>
      <c r="E72" s="656" t="s">
        <v>817</v>
      </c>
      <c r="F72" s="1474" t="s">
        <v>4424</v>
      </c>
      <c r="G72" s="1474" t="s">
        <v>4425</v>
      </c>
      <c r="H72" s="1912" t="s">
        <v>4344</v>
      </c>
      <c r="I72" s="656">
        <v>0</v>
      </c>
      <c r="J72" s="656">
        <v>0</v>
      </c>
      <c r="K72" s="699" t="s">
        <v>1155</v>
      </c>
      <c r="L72" s="3044" t="s">
        <v>1155</v>
      </c>
      <c r="M72" s="3044"/>
      <c r="N72" s="3044"/>
      <c r="O72" s="699" t="s">
        <v>1155</v>
      </c>
      <c r="P72" s="700" t="s">
        <v>1155</v>
      </c>
      <c r="Q72" s="735"/>
    </row>
    <row r="73" spans="1:19" s="6" customFormat="1" ht="67.150000000000006" customHeight="1">
      <c r="A73" s="647">
        <v>1</v>
      </c>
      <c r="B73" s="1644" t="s">
        <v>19</v>
      </c>
      <c r="C73" s="3045" t="s">
        <v>478</v>
      </c>
      <c r="D73" s="3045"/>
      <c r="E73" s="31" t="s">
        <v>817</v>
      </c>
      <c r="F73" s="35" t="s">
        <v>804</v>
      </c>
      <c r="G73" s="1482" t="s">
        <v>918</v>
      </c>
      <c r="H73" s="648" t="s">
        <v>150</v>
      </c>
      <c r="I73" s="648">
        <v>0</v>
      </c>
      <c r="J73" s="648">
        <v>1</v>
      </c>
      <c r="K73" s="648" t="s">
        <v>1155</v>
      </c>
      <c r="L73" s="3046" t="s">
        <v>1155</v>
      </c>
      <c r="M73" s="3046"/>
      <c r="N73" s="3046"/>
      <c r="O73" s="31" t="s">
        <v>1155</v>
      </c>
      <c r="P73" s="693" t="s">
        <v>1155</v>
      </c>
      <c r="Q73" s="737"/>
    </row>
    <row r="74" spans="1:19" s="6" customFormat="1" ht="67.150000000000006" customHeight="1">
      <c r="A74" s="647">
        <v>2</v>
      </c>
      <c r="B74" s="1644" t="s">
        <v>51</v>
      </c>
      <c r="C74" s="3038" t="s">
        <v>4426</v>
      </c>
      <c r="D74" s="3038"/>
      <c r="E74" s="645" t="s">
        <v>443</v>
      </c>
      <c r="F74" s="644" t="s">
        <v>804</v>
      </c>
      <c r="G74" s="1479" t="s">
        <v>4427</v>
      </c>
      <c r="H74" s="643" t="s">
        <v>4428</v>
      </c>
      <c r="I74" s="643">
        <v>0</v>
      </c>
      <c r="J74" s="643">
        <v>1</v>
      </c>
      <c r="K74" s="643" t="s">
        <v>1155</v>
      </c>
      <c r="L74" s="3039" t="s">
        <v>1155</v>
      </c>
      <c r="M74" s="3039"/>
      <c r="N74" s="3039"/>
      <c r="O74" s="645" t="s">
        <v>1155</v>
      </c>
      <c r="P74" s="697" t="s">
        <v>1155</v>
      </c>
      <c r="Q74" s="737"/>
    </row>
    <row r="75" spans="1:19" s="6" customFormat="1" ht="67.150000000000006" customHeight="1">
      <c r="A75" s="647">
        <v>3</v>
      </c>
      <c r="B75" s="1644" t="s">
        <v>51</v>
      </c>
      <c r="C75" s="3038" t="s">
        <v>4429</v>
      </c>
      <c r="D75" s="3038"/>
      <c r="E75" s="645" t="s">
        <v>443</v>
      </c>
      <c r="F75" s="644" t="s">
        <v>804</v>
      </c>
      <c r="G75" s="1479" t="s">
        <v>4430</v>
      </c>
      <c r="H75" s="643" t="s">
        <v>150</v>
      </c>
      <c r="I75" s="643">
        <v>0</v>
      </c>
      <c r="J75" s="643">
        <v>1</v>
      </c>
      <c r="K75" s="643" t="s">
        <v>1155</v>
      </c>
      <c r="L75" s="3039" t="s">
        <v>1155</v>
      </c>
      <c r="M75" s="3039"/>
      <c r="N75" s="3039"/>
      <c r="O75" s="645" t="s">
        <v>1155</v>
      </c>
      <c r="P75" s="697" t="s">
        <v>1155</v>
      </c>
      <c r="Q75" s="737"/>
    </row>
    <row r="76" spans="1:19" s="625" customFormat="1" ht="96" customHeight="1">
      <c r="A76" s="649">
        <v>2</v>
      </c>
      <c r="B76" s="1907" t="s">
        <v>51</v>
      </c>
      <c r="C76" s="3036" t="s">
        <v>4431</v>
      </c>
      <c r="D76" s="3036"/>
      <c r="E76" s="751" t="s">
        <v>149</v>
      </c>
      <c r="F76" s="752" t="s">
        <v>869</v>
      </c>
      <c r="G76" s="1930" t="s">
        <v>4432</v>
      </c>
      <c r="H76" s="1931" t="s">
        <v>150</v>
      </c>
      <c r="I76" s="751">
        <v>2</v>
      </c>
      <c r="J76" s="751">
        <v>3</v>
      </c>
      <c r="K76" s="751" t="s">
        <v>1155</v>
      </c>
      <c r="L76" s="3037" t="s">
        <v>1155</v>
      </c>
      <c r="M76" s="3037"/>
      <c r="N76" s="3037"/>
      <c r="O76" s="752" t="s">
        <v>1155</v>
      </c>
      <c r="P76" s="754" t="s">
        <v>1155</v>
      </c>
      <c r="Q76" s="755"/>
    </row>
    <row r="77" spans="1:19" s="626" customFormat="1" ht="62.5" customHeight="1">
      <c r="A77" s="647">
        <v>1</v>
      </c>
      <c r="B77" s="1644" t="s">
        <v>51</v>
      </c>
      <c r="C77" s="3038" t="s">
        <v>4433</v>
      </c>
      <c r="D77" s="3038"/>
      <c r="E77" s="643" t="s">
        <v>412</v>
      </c>
      <c r="F77" s="644" t="s">
        <v>4434</v>
      </c>
      <c r="G77" s="1479" t="s">
        <v>4435</v>
      </c>
      <c r="H77" s="1904" t="s">
        <v>150</v>
      </c>
      <c r="I77" s="643">
        <v>0</v>
      </c>
      <c r="J77" s="643">
        <v>2</v>
      </c>
      <c r="K77" s="643" t="s">
        <v>1155</v>
      </c>
      <c r="L77" s="3039" t="s">
        <v>1155</v>
      </c>
      <c r="M77" s="3039"/>
      <c r="N77" s="3039"/>
      <c r="O77" s="645" t="s">
        <v>1155</v>
      </c>
      <c r="P77" s="697" t="s">
        <v>1155</v>
      </c>
      <c r="Q77" s="739"/>
    </row>
    <row r="78" spans="1:19" s="626" customFormat="1" ht="79.900000000000006" customHeight="1">
      <c r="A78" s="647">
        <v>2</v>
      </c>
      <c r="B78" s="1644" t="s">
        <v>51</v>
      </c>
      <c r="C78" s="3038" t="s">
        <v>4436</v>
      </c>
      <c r="D78" s="3038"/>
      <c r="E78" s="643" t="s">
        <v>412</v>
      </c>
      <c r="F78" s="644" t="s">
        <v>804</v>
      </c>
      <c r="G78" s="1479" t="s">
        <v>4435</v>
      </c>
      <c r="H78" s="1904" t="s">
        <v>150</v>
      </c>
      <c r="I78" s="643">
        <v>0</v>
      </c>
      <c r="J78" s="643">
        <v>2</v>
      </c>
      <c r="K78" s="643" t="s">
        <v>1155</v>
      </c>
      <c r="L78" s="3039" t="s">
        <v>1155</v>
      </c>
      <c r="M78" s="3039"/>
      <c r="N78" s="3039"/>
      <c r="O78" s="645" t="s">
        <v>1155</v>
      </c>
      <c r="P78" s="697" t="s">
        <v>1155</v>
      </c>
      <c r="Q78" s="739"/>
    </row>
    <row r="79" spans="1:19" s="626" customFormat="1" ht="64.150000000000006" customHeight="1">
      <c r="A79" s="647">
        <v>1</v>
      </c>
      <c r="B79" s="1644" t="s">
        <v>51</v>
      </c>
      <c r="C79" s="3038" t="s">
        <v>327</v>
      </c>
      <c r="D79" s="3038"/>
      <c r="E79" s="643" t="s">
        <v>149</v>
      </c>
      <c r="F79" s="645" t="s">
        <v>804</v>
      </c>
      <c r="G79" s="1479" t="s">
        <v>4437</v>
      </c>
      <c r="H79" s="1904" t="s">
        <v>150</v>
      </c>
      <c r="I79" s="643">
        <v>0</v>
      </c>
      <c r="J79" s="643">
        <v>0</v>
      </c>
      <c r="K79" s="643" t="s">
        <v>1155</v>
      </c>
      <c r="L79" s="3039" t="s">
        <v>1155</v>
      </c>
      <c r="M79" s="3039"/>
      <c r="N79" s="3039"/>
      <c r="O79" s="645" t="s">
        <v>1155</v>
      </c>
      <c r="P79" s="697" t="s">
        <v>1155</v>
      </c>
      <c r="Q79" s="735"/>
    </row>
  </sheetData>
  <mergeCells count="182">
    <mergeCell ref="A1:P1"/>
    <mergeCell ref="A2:B2"/>
    <mergeCell ref="C2:D2"/>
    <mergeCell ref="E2:F2"/>
    <mergeCell ref="L2:M2"/>
    <mergeCell ref="N2:O2"/>
    <mergeCell ref="C8:D8"/>
    <mergeCell ref="C9:D9"/>
    <mergeCell ref="L9:N9"/>
    <mergeCell ref="O7:P7"/>
    <mergeCell ref="C7:D7"/>
    <mergeCell ref="B6:C6"/>
    <mergeCell ref="D6:E6"/>
    <mergeCell ref="O6:P6"/>
    <mergeCell ref="D3:E3"/>
    <mergeCell ref="O3:P3"/>
    <mergeCell ref="B4:C4"/>
    <mergeCell ref="D4:E4"/>
    <mergeCell ref="O4:P4"/>
    <mergeCell ref="B5:C5"/>
    <mergeCell ref="D5:E5"/>
    <mergeCell ref="O5:P5"/>
    <mergeCell ref="B3:C3"/>
    <mergeCell ref="C10:D10"/>
    <mergeCell ref="L10:N10"/>
    <mergeCell ref="C11:D11"/>
    <mergeCell ref="L11:N11"/>
    <mergeCell ref="C12:D12"/>
    <mergeCell ref="L12:N12"/>
    <mergeCell ref="C13:D13"/>
    <mergeCell ref="L13:N13"/>
    <mergeCell ref="C14:D14"/>
    <mergeCell ref="L14:N14"/>
    <mergeCell ref="C15:D15"/>
    <mergeCell ref="L15:N15"/>
    <mergeCell ref="C16:D16"/>
    <mergeCell ref="L16:N16"/>
    <mergeCell ref="C17:D17"/>
    <mergeCell ref="L17:N17"/>
    <mergeCell ref="C18:D18"/>
    <mergeCell ref="L18:N18"/>
    <mergeCell ref="C19:D19"/>
    <mergeCell ref="L19:N19"/>
    <mergeCell ref="C20:D20"/>
    <mergeCell ref="L20:N20"/>
    <mergeCell ref="C21:D21"/>
    <mergeCell ref="L21:N21"/>
    <mergeCell ref="C22:D22"/>
    <mergeCell ref="L22:N22"/>
    <mergeCell ref="C23:D23"/>
    <mergeCell ref="L23:N23"/>
    <mergeCell ref="C24:D24"/>
    <mergeCell ref="L24:N24"/>
    <mergeCell ref="C25:D25"/>
    <mergeCell ref="L25:N25"/>
    <mergeCell ref="C26:D26"/>
    <mergeCell ref="L26:N26"/>
    <mergeCell ref="C27:D27"/>
    <mergeCell ref="L27:N27"/>
    <mergeCell ref="A28:B28"/>
    <mergeCell ref="C28:D28"/>
    <mergeCell ref="E28:F28"/>
    <mergeCell ref="L28:M28"/>
    <mergeCell ref="N28:O28"/>
    <mergeCell ref="A29:B29"/>
    <mergeCell ref="C29:D29"/>
    <mergeCell ref="E29:F29"/>
    <mergeCell ref="L29:M29"/>
    <mergeCell ref="N29:O29"/>
    <mergeCell ref="A30:B30"/>
    <mergeCell ref="C30:D30"/>
    <mergeCell ref="E30:F30"/>
    <mergeCell ref="L30:M30"/>
    <mergeCell ref="N30:O30"/>
    <mergeCell ref="A31:B31"/>
    <mergeCell ref="C31:D31"/>
    <mergeCell ref="E31:F31"/>
    <mergeCell ref="L31:M31"/>
    <mergeCell ref="N31:O31"/>
    <mergeCell ref="A32:B32"/>
    <mergeCell ref="C32:D32"/>
    <mergeCell ref="E32:F32"/>
    <mergeCell ref="L32:M32"/>
    <mergeCell ref="N32:O32"/>
    <mergeCell ref="A33:B33"/>
    <mergeCell ref="C33:D33"/>
    <mergeCell ref="E33:F33"/>
    <mergeCell ref="L33:M33"/>
    <mergeCell ref="N33:O33"/>
    <mergeCell ref="C34:D34"/>
    <mergeCell ref="E34:F34"/>
    <mergeCell ref="L34:N34"/>
    <mergeCell ref="C35:D35"/>
    <mergeCell ref="L35:N35"/>
    <mergeCell ref="C36:D36"/>
    <mergeCell ref="L36:N36"/>
    <mergeCell ref="C37:D37"/>
    <mergeCell ref="L37:N37"/>
    <mergeCell ref="C38:D38"/>
    <mergeCell ref="L38:N38"/>
    <mergeCell ref="C39:D39"/>
    <mergeCell ref="L39:N39"/>
    <mergeCell ref="C40:D40"/>
    <mergeCell ref="L40:N40"/>
    <mergeCell ref="C41:D41"/>
    <mergeCell ref="L41:N41"/>
    <mergeCell ref="C42:D42"/>
    <mergeCell ref="L42:N42"/>
    <mergeCell ref="C43:D43"/>
    <mergeCell ref="L43:N43"/>
    <mergeCell ref="C44:D44"/>
    <mergeCell ref="L44:N44"/>
    <mergeCell ref="C45:D45"/>
    <mergeCell ref="L45:N45"/>
    <mergeCell ref="C46:D46"/>
    <mergeCell ref="L46:N46"/>
    <mergeCell ref="C47:D47"/>
    <mergeCell ref="L47:N47"/>
    <mergeCell ref="C48:D48"/>
    <mergeCell ref="L48:N48"/>
    <mergeCell ref="C49:D49"/>
    <mergeCell ref="L49:N49"/>
    <mergeCell ref="C50:D50"/>
    <mergeCell ref="L50:N50"/>
    <mergeCell ref="C51:D51"/>
    <mergeCell ref="L51:N51"/>
    <mergeCell ref="C52:D52"/>
    <mergeCell ref="L52:N52"/>
    <mergeCell ref="C53:D53"/>
    <mergeCell ref="L53:N53"/>
    <mergeCell ref="C54:D54"/>
    <mergeCell ref="L54:N54"/>
    <mergeCell ref="C55:D55"/>
    <mergeCell ref="L55:N55"/>
    <mergeCell ref="C56:D56"/>
    <mergeCell ref="L56:N56"/>
    <mergeCell ref="C57:D57"/>
    <mergeCell ref="L57:N57"/>
    <mergeCell ref="C58:D58"/>
    <mergeCell ref="L58:N58"/>
    <mergeCell ref="C59:D59"/>
    <mergeCell ref="L59:N59"/>
    <mergeCell ref="C60:D60"/>
    <mergeCell ref="L60:N60"/>
    <mergeCell ref="C61:D61"/>
    <mergeCell ref="L61:N61"/>
    <mergeCell ref="C62:D62"/>
    <mergeCell ref="L62:N62"/>
    <mergeCell ref="C63:D63"/>
    <mergeCell ref="L63:N63"/>
    <mergeCell ref="C64:D64"/>
    <mergeCell ref="L64:N64"/>
    <mergeCell ref="C65:D65"/>
    <mergeCell ref="L65:N65"/>
    <mergeCell ref="C66:D66"/>
    <mergeCell ref="L66:N66"/>
    <mergeCell ref="C67:D67"/>
    <mergeCell ref="L67:N67"/>
    <mergeCell ref="C68:D68"/>
    <mergeCell ref="L68:N68"/>
    <mergeCell ref="C69:D69"/>
    <mergeCell ref="L69:N69"/>
    <mergeCell ref="C70:D70"/>
    <mergeCell ref="L70:N70"/>
    <mergeCell ref="C76:D76"/>
    <mergeCell ref="L76:N76"/>
    <mergeCell ref="C77:D77"/>
    <mergeCell ref="L77:N77"/>
    <mergeCell ref="C78:D78"/>
    <mergeCell ref="L78:N78"/>
    <mergeCell ref="C79:D79"/>
    <mergeCell ref="L79:N79"/>
    <mergeCell ref="C71:D71"/>
    <mergeCell ref="L71:N71"/>
    <mergeCell ref="C72:D72"/>
    <mergeCell ref="L72:N72"/>
    <mergeCell ref="C73:D73"/>
    <mergeCell ref="L73:N73"/>
    <mergeCell ref="C74:D74"/>
    <mergeCell ref="L74:N74"/>
    <mergeCell ref="C75:D75"/>
    <mergeCell ref="L75:N7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0"/>
  <sheetViews>
    <sheetView zoomScale="40" zoomScaleNormal="40" workbookViewId="0">
      <selection activeCell="C5" sqref="C5"/>
    </sheetView>
  </sheetViews>
  <sheetFormatPr defaultColWidth="9.1796875" defaultRowHeight="34.5"/>
  <cols>
    <col min="1" max="1" width="16.26953125" style="553" customWidth="1"/>
    <col min="2" max="2" width="26.1796875" style="554" customWidth="1"/>
    <col min="3" max="3" width="101" style="95" customWidth="1"/>
    <col min="4" max="4" width="111.26953125" style="100" customWidth="1"/>
    <col min="5" max="5" width="19.7265625" style="555" customWidth="1"/>
    <col min="6" max="6" width="27.1796875" style="100" hidden="1" customWidth="1"/>
    <col min="7" max="7" width="37.26953125" style="529" hidden="1" customWidth="1"/>
    <col min="8" max="8" width="29.26953125" style="556" hidden="1" customWidth="1"/>
    <col min="9" max="9" width="41.1796875" style="553" customWidth="1"/>
    <col min="10" max="10" width="44.453125" style="553" customWidth="1"/>
    <col min="11" max="11" width="41.1796875" style="557" hidden="1" customWidth="1"/>
    <col min="12" max="12" width="41.1796875" style="558" customWidth="1"/>
    <col min="13" max="13" width="41.1796875" style="559" customWidth="1"/>
    <col min="14" max="14" width="61.7265625" style="560" customWidth="1"/>
    <col min="15" max="15" width="48.81640625" style="561" customWidth="1"/>
    <col min="16" max="16" width="44.81640625" style="562" customWidth="1"/>
    <col min="17" max="17" width="62.1796875" style="563" customWidth="1"/>
    <col min="18" max="18" width="136.7265625" style="564" customWidth="1"/>
    <col min="19" max="19" width="171.54296875" style="565" customWidth="1"/>
    <col min="20" max="20" width="147.26953125" style="566" customWidth="1"/>
    <col min="21" max="16384" width="9.1796875" style="100"/>
  </cols>
  <sheetData>
    <row r="1" spans="1:21" s="550" customFormat="1" ht="45" customHeight="1">
      <c r="A1" s="3019" t="s">
        <v>4438</v>
      </c>
      <c r="B1" s="3020"/>
      <c r="C1" s="3020"/>
      <c r="D1" s="3020"/>
      <c r="E1" s="3020"/>
      <c r="F1" s="3020"/>
      <c r="G1" s="3020"/>
      <c r="H1" s="3020"/>
      <c r="I1" s="3020"/>
      <c r="J1" s="3020"/>
      <c r="K1" s="3020"/>
      <c r="L1" s="3020"/>
      <c r="M1" s="3020"/>
      <c r="N1" s="3020"/>
      <c r="O1" s="3020"/>
      <c r="P1" s="3020"/>
      <c r="Q1" s="3020"/>
      <c r="R1" s="3020"/>
      <c r="S1" s="3021"/>
    </row>
    <row r="2" spans="1:21" s="551" customFormat="1" ht="32.5">
      <c r="A2" s="3151" t="s">
        <v>0</v>
      </c>
      <c r="B2" s="3152"/>
      <c r="C2" s="3152"/>
      <c r="D2" s="3152"/>
      <c r="E2" s="3152"/>
      <c r="F2" s="3152"/>
      <c r="G2" s="3152"/>
      <c r="H2" s="3152"/>
      <c r="I2" s="3152"/>
      <c r="J2" s="3152"/>
      <c r="K2" s="3152"/>
      <c r="L2" s="3152"/>
      <c r="M2" s="3152"/>
      <c r="N2" s="3152"/>
      <c r="O2" s="3152"/>
      <c r="P2" s="3152"/>
      <c r="Q2" s="3152"/>
      <c r="R2" s="3152"/>
      <c r="S2" s="3153"/>
    </row>
    <row r="3" spans="1:21" s="85" customFormat="1" ht="158">
      <c r="A3" s="567" t="s">
        <v>1</v>
      </c>
      <c r="B3" s="568" t="s">
        <v>4439</v>
      </c>
      <c r="C3" s="569" t="s">
        <v>5</v>
      </c>
      <c r="D3" s="569" t="s">
        <v>680</v>
      </c>
      <c r="E3" s="569" t="s">
        <v>681</v>
      </c>
      <c r="F3" s="569" t="s">
        <v>4126</v>
      </c>
      <c r="G3" s="569" t="s">
        <v>4127</v>
      </c>
      <c r="H3" s="570" t="s">
        <v>4128</v>
      </c>
      <c r="I3" s="569" t="s">
        <v>6</v>
      </c>
      <c r="J3" s="569" t="s">
        <v>7</v>
      </c>
      <c r="K3" s="570" t="s">
        <v>4440</v>
      </c>
      <c r="L3" s="589" t="s">
        <v>682</v>
      </c>
      <c r="M3" s="590" t="s">
        <v>683</v>
      </c>
      <c r="N3" s="569" t="s">
        <v>684</v>
      </c>
      <c r="O3" s="591" t="s">
        <v>685</v>
      </c>
      <c r="P3" s="592" t="s">
        <v>12</v>
      </c>
      <c r="Q3" s="1932" t="s">
        <v>13</v>
      </c>
      <c r="R3" s="569" t="s">
        <v>14</v>
      </c>
      <c r="S3" s="610" t="s">
        <v>15</v>
      </c>
      <c r="T3" s="611" t="s">
        <v>4441</v>
      </c>
    </row>
    <row r="4" spans="1:21" s="87" customFormat="1" ht="185">
      <c r="A4" s="121">
        <v>1</v>
      </c>
      <c r="B4" s="571">
        <v>150</v>
      </c>
      <c r="C4" s="1853" t="s">
        <v>4442</v>
      </c>
      <c r="D4" s="131" t="s">
        <v>195</v>
      </c>
      <c r="E4" s="132" t="s">
        <v>1447</v>
      </c>
      <c r="F4" s="132"/>
      <c r="G4" s="132"/>
      <c r="H4" s="137"/>
      <c r="I4" s="1847" t="s">
        <v>43</v>
      </c>
      <c r="J4" s="1847" t="s">
        <v>4141</v>
      </c>
      <c r="K4" s="137"/>
      <c r="L4" s="1864" t="s">
        <v>4443</v>
      </c>
      <c r="M4" s="1864" t="s">
        <v>4444</v>
      </c>
      <c r="N4" s="223">
        <v>1000000</v>
      </c>
      <c r="O4" s="593" t="s">
        <v>68</v>
      </c>
      <c r="P4" s="225" t="s">
        <v>68</v>
      </c>
      <c r="Q4" s="1865" t="s">
        <v>4445</v>
      </c>
      <c r="R4" s="1851" t="s">
        <v>4446</v>
      </c>
      <c r="S4" s="1867" t="s">
        <v>710</v>
      </c>
      <c r="T4" s="277"/>
    </row>
    <row r="5" spans="1:21" s="87" customFormat="1" ht="74">
      <c r="A5" s="121">
        <v>2</v>
      </c>
      <c r="B5" s="572">
        <v>6.4</v>
      </c>
      <c r="C5" s="1853" t="s">
        <v>4447</v>
      </c>
      <c r="D5" s="131" t="s">
        <v>149</v>
      </c>
      <c r="E5" s="132" t="s">
        <v>68</v>
      </c>
      <c r="F5" s="132"/>
      <c r="G5" s="132"/>
      <c r="H5" s="137"/>
      <c r="I5" s="1847" t="s">
        <v>43</v>
      </c>
      <c r="J5" s="1847" t="s">
        <v>4141</v>
      </c>
      <c r="K5" s="137"/>
      <c r="L5" s="1848" t="s">
        <v>4448</v>
      </c>
      <c r="M5" s="1848" t="s">
        <v>4449</v>
      </c>
      <c r="N5" s="223">
        <v>1500000</v>
      </c>
      <c r="O5" s="224">
        <v>0.05</v>
      </c>
      <c r="P5" s="225">
        <v>0.32</v>
      </c>
      <c r="Q5" s="1865" t="s">
        <v>4450</v>
      </c>
      <c r="R5" s="1855" t="s">
        <v>49</v>
      </c>
      <c r="S5" s="1867" t="s">
        <v>4451</v>
      </c>
      <c r="T5" s="277"/>
    </row>
    <row r="6" spans="1:21" s="87" customFormat="1" ht="74">
      <c r="A6" s="121">
        <v>3</v>
      </c>
      <c r="B6" s="122">
        <v>32.06</v>
      </c>
      <c r="C6" s="1846" t="s">
        <v>4452</v>
      </c>
      <c r="D6" s="131" t="s">
        <v>149</v>
      </c>
      <c r="E6" s="132" t="s">
        <v>68</v>
      </c>
      <c r="F6" s="124"/>
      <c r="G6" s="124"/>
      <c r="H6" s="125"/>
      <c r="I6" s="1847" t="s">
        <v>43</v>
      </c>
      <c r="J6" s="1847" t="s">
        <v>4141</v>
      </c>
      <c r="K6" s="212"/>
      <c r="L6" s="1848" t="s">
        <v>4453</v>
      </c>
      <c r="M6" s="1848" t="s">
        <v>4454</v>
      </c>
      <c r="N6" s="213">
        <v>5706978</v>
      </c>
      <c r="O6" s="224" t="s">
        <v>68</v>
      </c>
      <c r="P6" s="1933" t="s">
        <v>68</v>
      </c>
      <c r="Q6" s="1934" t="s">
        <v>34</v>
      </c>
      <c r="R6" s="1855" t="s">
        <v>49</v>
      </c>
      <c r="S6" s="1857" t="s">
        <v>907</v>
      </c>
      <c r="T6" s="276"/>
    </row>
    <row r="7" spans="1:21" s="87" customFormat="1" ht="44.5">
      <c r="A7" s="573" t="s">
        <v>104</v>
      </c>
      <c r="B7" s="574">
        <f>SUM(B5:B6)</f>
        <v>38.46</v>
      </c>
      <c r="C7" s="575"/>
      <c r="D7" s="576"/>
      <c r="E7" s="576"/>
      <c r="F7" s="576"/>
      <c r="G7" s="576"/>
      <c r="H7" s="577"/>
      <c r="I7" s="594"/>
      <c r="J7" s="594"/>
      <c r="K7" s="577"/>
      <c r="L7" s="577"/>
      <c r="M7" s="577"/>
      <c r="N7" s="595">
        <f>SUM(N5:N6)</f>
        <v>7206978</v>
      </c>
      <c r="O7" s="596"/>
      <c r="P7" s="597">
        <f>SUM(P5:P6)</f>
        <v>0.32</v>
      </c>
      <c r="Q7" s="612"/>
      <c r="R7" s="613"/>
      <c r="S7" s="614"/>
      <c r="T7" s="615"/>
    </row>
    <row r="8" spans="1:21" s="95" customFormat="1" ht="103.5">
      <c r="A8" s="578">
        <v>4</v>
      </c>
      <c r="B8" s="1935" t="s">
        <v>19</v>
      </c>
      <c r="C8" s="579">
        <v>1.5</v>
      </c>
      <c r="D8" s="1936" t="s">
        <v>4455</v>
      </c>
      <c r="E8" s="580" t="s">
        <v>195</v>
      </c>
      <c r="F8" s="581" t="s">
        <v>486</v>
      </c>
      <c r="G8" s="1937" t="s">
        <v>43</v>
      </c>
      <c r="H8" s="1937" t="s">
        <v>43</v>
      </c>
      <c r="I8" s="1937" t="s">
        <v>4456</v>
      </c>
      <c r="J8" s="1937" t="s">
        <v>4457</v>
      </c>
      <c r="K8" s="598">
        <v>450000</v>
      </c>
      <c r="L8" s="599">
        <v>0.05</v>
      </c>
      <c r="M8" s="582">
        <f>C8*3%</f>
        <v>4.4999999999999998E-2</v>
      </c>
      <c r="N8" s="1938" t="s">
        <v>4458</v>
      </c>
      <c r="O8" s="1938" t="s">
        <v>4459</v>
      </c>
      <c r="P8" s="1938" t="s">
        <v>4460</v>
      </c>
      <c r="Q8" s="1939" t="s">
        <v>4461</v>
      </c>
      <c r="R8" s="1940" t="s">
        <v>4462</v>
      </c>
      <c r="S8" s="616"/>
      <c r="T8" s="616"/>
      <c r="U8" s="616"/>
    </row>
    <row r="9" spans="1:21" s="91" customFormat="1" ht="103.5">
      <c r="A9" s="578">
        <v>12</v>
      </c>
      <c r="B9" s="1935" t="s">
        <v>19</v>
      </c>
      <c r="C9" s="579">
        <v>0.33</v>
      </c>
      <c r="D9" s="1939" t="s">
        <v>4463</v>
      </c>
      <c r="E9" s="580" t="s">
        <v>195</v>
      </c>
      <c r="F9" s="1938" t="s">
        <v>486</v>
      </c>
      <c r="G9" s="1941" t="s">
        <v>43</v>
      </c>
      <c r="H9" s="1941" t="s">
        <v>43</v>
      </c>
      <c r="I9" s="1937" t="s">
        <v>4464</v>
      </c>
      <c r="J9" s="1937" t="s">
        <v>4465</v>
      </c>
      <c r="K9" s="598">
        <v>100000</v>
      </c>
      <c r="L9" s="600"/>
      <c r="M9" s="582"/>
      <c r="N9" s="1942" t="s">
        <v>34</v>
      </c>
      <c r="O9" s="1938" t="s">
        <v>49</v>
      </c>
      <c r="P9" s="1938" t="s">
        <v>4466</v>
      </c>
      <c r="Q9" s="1943" t="s">
        <v>1314</v>
      </c>
      <c r="R9" s="291"/>
    </row>
    <row r="10" spans="1:21" s="95" customFormat="1" ht="409.5">
      <c r="A10" s="578">
        <v>7</v>
      </c>
      <c r="B10" s="1935" t="s">
        <v>19</v>
      </c>
      <c r="C10" s="579">
        <v>0.87</v>
      </c>
      <c r="D10" s="1939" t="s">
        <v>4467</v>
      </c>
      <c r="E10" s="580" t="s">
        <v>195</v>
      </c>
      <c r="F10" s="581" t="s">
        <v>486</v>
      </c>
      <c r="G10" s="1937" t="s">
        <v>43</v>
      </c>
      <c r="H10" s="1937" t="s">
        <v>43</v>
      </c>
      <c r="I10" s="1937" t="s">
        <v>4468</v>
      </c>
      <c r="J10" s="1937" t="s">
        <v>4469</v>
      </c>
      <c r="K10" s="598">
        <v>262585</v>
      </c>
      <c r="L10" s="599">
        <v>0.05</v>
      </c>
      <c r="M10" s="582">
        <f>C10*3%</f>
        <v>2.6100000000000002E-2</v>
      </c>
      <c r="N10" s="1938" t="s">
        <v>4470</v>
      </c>
      <c r="O10" s="1938" t="s">
        <v>49</v>
      </c>
      <c r="P10" s="1938" t="s">
        <v>4471</v>
      </c>
      <c r="Q10" s="1939" t="s">
        <v>4461</v>
      </c>
      <c r="R10" s="1944" t="s">
        <v>4472</v>
      </c>
      <c r="S10" s="616"/>
      <c r="T10" s="616"/>
      <c r="U10" s="616"/>
    </row>
    <row r="11" spans="1:21" s="95" customFormat="1" ht="138">
      <c r="A11" s="578">
        <v>9</v>
      </c>
      <c r="B11" s="1935" t="s">
        <v>19</v>
      </c>
      <c r="C11" s="581">
        <v>41.93</v>
      </c>
      <c r="D11" s="1939" t="s">
        <v>4473</v>
      </c>
      <c r="E11" s="580" t="s">
        <v>195</v>
      </c>
      <c r="F11" s="581" t="s">
        <v>486</v>
      </c>
      <c r="G11" s="1937" t="s">
        <v>43</v>
      </c>
      <c r="H11" s="1937" t="s">
        <v>43</v>
      </c>
      <c r="I11" s="1937" t="s">
        <v>4474</v>
      </c>
      <c r="J11" s="1937" t="s">
        <v>4475</v>
      </c>
      <c r="K11" s="598">
        <v>8387500</v>
      </c>
      <c r="L11" s="599">
        <v>0.05</v>
      </c>
      <c r="M11" s="582">
        <f>C11*3%</f>
        <v>1.2579</v>
      </c>
      <c r="N11" s="1938" t="s">
        <v>4476</v>
      </c>
      <c r="O11" s="1938" t="s">
        <v>49</v>
      </c>
      <c r="P11" s="1938" t="s">
        <v>4466</v>
      </c>
      <c r="Q11" s="1939" t="s">
        <v>1314</v>
      </c>
      <c r="R11" s="1940" t="s">
        <v>4477</v>
      </c>
      <c r="S11" s="616"/>
      <c r="T11" s="616"/>
      <c r="U11" s="616"/>
    </row>
    <row r="12" spans="1:21" s="91" customFormat="1" ht="138">
      <c r="A12" s="578">
        <v>11</v>
      </c>
      <c r="B12" s="1935" t="s">
        <v>19</v>
      </c>
      <c r="C12" s="579">
        <v>1.79</v>
      </c>
      <c r="D12" s="1939" t="s">
        <v>4478</v>
      </c>
      <c r="E12" s="580" t="s">
        <v>195</v>
      </c>
      <c r="F12" s="1938" t="s">
        <v>486</v>
      </c>
      <c r="G12" s="1937" t="s">
        <v>43</v>
      </c>
      <c r="H12" s="1937" t="s">
        <v>43</v>
      </c>
      <c r="I12" s="1937" t="s">
        <v>4479</v>
      </c>
      <c r="J12" s="1937" t="s">
        <v>4480</v>
      </c>
      <c r="K12" s="598">
        <v>360000</v>
      </c>
      <c r="L12" s="600">
        <v>0.05</v>
      </c>
      <c r="M12" s="582">
        <f>C12*3%</f>
        <v>5.3699999999999998E-2</v>
      </c>
      <c r="N12" s="1938" t="s">
        <v>4481</v>
      </c>
      <c r="O12" s="1938" t="s">
        <v>49</v>
      </c>
      <c r="P12" s="581"/>
      <c r="Q12" s="1945" t="s">
        <v>4482</v>
      </c>
      <c r="R12" s="291" t="s">
        <v>4483</v>
      </c>
    </row>
    <row r="13" spans="1:21" s="91" customFormat="1" ht="138">
      <c r="A13" s="578">
        <v>14</v>
      </c>
      <c r="B13" s="1935" t="s">
        <v>19</v>
      </c>
      <c r="C13" s="581">
        <v>0</v>
      </c>
      <c r="D13" s="1939" t="s">
        <v>4484</v>
      </c>
      <c r="E13" s="580" t="s">
        <v>195</v>
      </c>
      <c r="F13" s="1938" t="s">
        <v>486</v>
      </c>
      <c r="G13" s="1941" t="s">
        <v>43</v>
      </c>
      <c r="H13" s="1941" t="s">
        <v>43</v>
      </c>
      <c r="I13" s="1937" t="s">
        <v>4485</v>
      </c>
      <c r="J13" s="1937" t="s">
        <v>4486</v>
      </c>
      <c r="K13" s="598">
        <v>0</v>
      </c>
      <c r="L13" s="600">
        <v>0</v>
      </c>
      <c r="M13" s="601">
        <v>5.4000000000000003E-3</v>
      </c>
      <c r="N13" s="1942" t="s">
        <v>4487</v>
      </c>
      <c r="O13" s="1946" t="s">
        <v>49</v>
      </c>
      <c r="P13" s="1938" t="s">
        <v>4488</v>
      </c>
      <c r="Q13" s="1945" t="s">
        <v>1314</v>
      </c>
      <c r="R13" s="291"/>
    </row>
    <row r="14" spans="1:21" s="414" customFormat="1" ht="44.5">
      <c r="A14" s="583"/>
      <c r="B14" s="584"/>
      <c r="C14" s="469"/>
      <c r="D14" s="438"/>
      <c r="E14" s="438"/>
      <c r="F14" s="438"/>
      <c r="G14" s="438"/>
      <c r="H14" s="585"/>
      <c r="I14" s="602"/>
      <c r="J14" s="602"/>
      <c r="K14" s="585"/>
      <c r="L14" s="585"/>
      <c r="M14" s="585"/>
      <c r="N14" s="603"/>
      <c r="O14" s="604"/>
      <c r="P14" s="605"/>
      <c r="Q14" s="617"/>
      <c r="R14" s="618"/>
      <c r="S14" s="619"/>
    </row>
    <row r="15" spans="1:21" s="87" customFormat="1" ht="44.5">
      <c r="A15" s="583"/>
      <c r="B15" s="584"/>
      <c r="C15" s="469"/>
      <c r="D15" s="438"/>
      <c r="E15" s="438"/>
      <c r="F15" s="438"/>
      <c r="G15" s="438"/>
      <c r="H15" s="585"/>
      <c r="I15" s="602"/>
      <c r="J15" s="602"/>
      <c r="K15" s="585"/>
      <c r="L15" s="585"/>
      <c r="M15" s="585"/>
      <c r="N15" s="603"/>
      <c r="O15" s="604"/>
      <c r="P15" s="605"/>
      <c r="Q15" s="620"/>
      <c r="R15" s="621"/>
      <c r="S15" s="622"/>
    </row>
    <row r="16" spans="1:21" s="552" customFormat="1" ht="75">
      <c r="A16" s="586">
        <v>21</v>
      </c>
      <c r="B16" s="1424" t="s">
        <v>45</v>
      </c>
      <c r="C16" s="587"/>
      <c r="D16" s="1484" t="s">
        <v>4489</v>
      </c>
      <c r="E16" s="20" t="s">
        <v>149</v>
      </c>
      <c r="F16" s="1418" t="s">
        <v>486</v>
      </c>
      <c r="G16" s="588"/>
      <c r="H16" s="588"/>
      <c r="I16" s="588"/>
      <c r="J16" s="588"/>
      <c r="K16" s="50" t="s">
        <v>68</v>
      </c>
      <c r="L16" s="606" t="s">
        <v>68</v>
      </c>
      <c r="M16" s="32"/>
      <c r="N16" s="607"/>
      <c r="O16" s="43"/>
      <c r="P16" s="608"/>
      <c r="Q16" s="623"/>
    </row>
    <row r="17" spans="1:17" s="552" customFormat="1" ht="50">
      <c r="A17" s="586">
        <v>18</v>
      </c>
      <c r="B17" s="1424" t="s">
        <v>45</v>
      </c>
      <c r="C17" s="587"/>
      <c r="D17" s="1484" t="s">
        <v>1936</v>
      </c>
      <c r="E17" s="20" t="s">
        <v>149</v>
      </c>
      <c r="F17" s="1418" t="s">
        <v>486</v>
      </c>
      <c r="G17" s="588"/>
      <c r="H17" s="588"/>
      <c r="I17" s="588"/>
      <c r="J17" s="588"/>
      <c r="K17" s="50">
        <v>250000</v>
      </c>
      <c r="L17" s="606">
        <v>0.05</v>
      </c>
      <c r="M17" s="32"/>
      <c r="N17" s="607"/>
      <c r="O17" s="43"/>
      <c r="P17" s="608"/>
      <c r="Q17" s="623"/>
    </row>
    <row r="20" spans="1:17" ht="44.5">
      <c r="M20" s="609"/>
    </row>
  </sheetData>
  <mergeCells count="2">
    <mergeCell ref="A1:S1"/>
    <mergeCell ref="A2:S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3"/>
  <sheetViews>
    <sheetView zoomScale="70" zoomScaleNormal="70" workbookViewId="0">
      <selection activeCell="N17" sqref="N17"/>
    </sheetView>
  </sheetViews>
  <sheetFormatPr defaultColWidth="9" defaultRowHeight="14.5"/>
  <cols>
    <col min="1" max="1" width="9" customWidth="1"/>
    <col min="2" max="2" width="23.81640625" customWidth="1"/>
    <col min="3" max="3" width="70" customWidth="1"/>
    <col min="4" max="4" width="16.7265625" customWidth="1"/>
    <col min="5" max="5" width="13.26953125" customWidth="1"/>
    <col min="6" max="6" width="17.7265625" customWidth="1"/>
    <col min="7" max="7" width="17.1796875" customWidth="1"/>
    <col min="8" max="8" width="16.26953125" customWidth="1"/>
    <col min="9" max="9" width="19.81640625" customWidth="1"/>
    <col min="10" max="10" width="17.453125" customWidth="1"/>
    <col min="11" max="11" width="11.81640625" customWidth="1"/>
    <col min="12" max="12" width="14.453125" customWidth="1"/>
    <col min="13" max="13" width="20.7265625" customWidth="1"/>
    <col min="14" max="14" width="41.1796875" customWidth="1"/>
    <col min="15" max="15" width="13.1796875" customWidth="1"/>
    <col min="16" max="16" width="16.26953125" customWidth="1"/>
    <col min="17" max="17" width="14.7265625" customWidth="1"/>
    <col min="18" max="18" width="38.1796875" customWidth="1"/>
    <col min="19" max="19" width="27.1796875" customWidth="1"/>
    <col min="20" max="20" width="29.26953125" customWidth="1"/>
  </cols>
  <sheetData>
    <row r="1" spans="1:20" s="528" customFormat="1" ht="20">
      <c r="A1" s="3015" t="s">
        <v>0</v>
      </c>
      <c r="B1" s="3016"/>
      <c r="C1" s="3016"/>
      <c r="D1" s="3016"/>
      <c r="E1" s="3016"/>
      <c r="F1" s="3016"/>
      <c r="G1" s="3016"/>
      <c r="H1" s="3016"/>
      <c r="I1" s="3016"/>
      <c r="J1" s="3016"/>
      <c r="K1" s="3016"/>
      <c r="L1" s="3016"/>
      <c r="M1" s="3016"/>
      <c r="N1" s="3016"/>
      <c r="O1" s="3016"/>
      <c r="P1" s="3016"/>
      <c r="Q1" s="3016"/>
      <c r="R1" s="3016"/>
      <c r="S1" s="3017"/>
    </row>
    <row r="2" spans="1:20" s="529" customFormat="1" ht="66" customHeight="1">
      <c r="A2" s="530" t="s">
        <v>1</v>
      </c>
      <c r="B2" s="531" t="s">
        <v>4439</v>
      </c>
      <c r="C2" s="532" t="s">
        <v>5</v>
      </c>
      <c r="D2" s="532" t="s">
        <v>680</v>
      </c>
      <c r="E2" s="532" t="s">
        <v>681</v>
      </c>
      <c r="F2" s="532" t="s">
        <v>4126</v>
      </c>
      <c r="G2" s="532" t="s">
        <v>4127</v>
      </c>
      <c r="H2" s="533" t="s">
        <v>4128</v>
      </c>
      <c r="I2" s="532" t="s">
        <v>6</v>
      </c>
      <c r="J2" s="532" t="s">
        <v>7</v>
      </c>
      <c r="K2" s="533" t="s">
        <v>4440</v>
      </c>
      <c r="L2" s="539" t="s">
        <v>682</v>
      </c>
      <c r="M2" s="540" t="s">
        <v>683</v>
      </c>
      <c r="N2" s="532" t="s">
        <v>684</v>
      </c>
      <c r="O2" s="541" t="s">
        <v>685</v>
      </c>
      <c r="P2" s="542" t="s">
        <v>12</v>
      </c>
      <c r="Q2" s="1459" t="s">
        <v>13</v>
      </c>
      <c r="R2" s="532" t="s">
        <v>14</v>
      </c>
      <c r="S2" s="547" t="s">
        <v>15</v>
      </c>
      <c r="T2" s="548" t="s">
        <v>4441</v>
      </c>
    </row>
    <row r="3" spans="1:20" s="528" customFormat="1" ht="91.9" customHeight="1">
      <c r="A3" s="534">
        <v>4</v>
      </c>
      <c r="B3" s="535">
        <v>25</v>
      </c>
      <c r="C3" s="1947" t="s">
        <v>4490</v>
      </c>
      <c r="D3" s="536" t="s">
        <v>149</v>
      </c>
      <c r="E3" s="537" t="s">
        <v>1447</v>
      </c>
      <c r="F3" s="537"/>
      <c r="G3" s="537"/>
      <c r="H3" s="538"/>
      <c r="I3" s="1948" t="s">
        <v>4491</v>
      </c>
      <c r="J3" s="1948" t="s">
        <v>4492</v>
      </c>
      <c r="K3" s="543"/>
      <c r="L3" s="1949" t="s">
        <v>4493</v>
      </c>
      <c r="M3" s="1949" t="s">
        <v>4494</v>
      </c>
      <c r="N3" s="544">
        <v>5000000</v>
      </c>
      <c r="O3" s="545">
        <v>0.08</v>
      </c>
      <c r="P3" s="546">
        <v>2</v>
      </c>
      <c r="Q3" s="1950" t="s">
        <v>4495</v>
      </c>
      <c r="R3" s="1951" t="s">
        <v>4496</v>
      </c>
      <c r="S3" s="1952" t="s">
        <v>4497</v>
      </c>
      <c r="T3" s="549" t="s">
        <v>68</v>
      </c>
    </row>
  </sheetData>
  <mergeCells count="1">
    <mergeCell ref="A1:S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09"/>
  <sheetViews>
    <sheetView zoomScale="25" zoomScaleNormal="25" workbookViewId="0">
      <selection activeCell="P13" sqref="P13"/>
    </sheetView>
  </sheetViews>
  <sheetFormatPr defaultColWidth="9" defaultRowHeight="14.5"/>
  <cols>
    <col min="1" max="1" width="14.81640625" customWidth="1"/>
    <col min="2" max="2" width="43.54296875" customWidth="1"/>
    <col min="3" max="3" width="108.453125" style="435" customWidth="1"/>
    <col min="4" max="4" width="29.1796875" customWidth="1"/>
    <col min="5" max="5" width="29.7265625" customWidth="1"/>
    <col min="6" max="6" width="33" hidden="1" customWidth="1"/>
    <col min="7" max="7" width="22.54296875" hidden="1" customWidth="1"/>
    <col min="8" max="8" width="45.54296875" customWidth="1"/>
    <col min="9" max="10" width="37.26953125" customWidth="1"/>
    <col min="11" max="11" width="37.26953125" hidden="1" customWidth="1"/>
    <col min="12" max="13" width="37.26953125" customWidth="1"/>
    <col min="14" max="15" width="42.1796875" customWidth="1"/>
    <col min="16" max="16" width="50.7265625" customWidth="1"/>
    <col min="17" max="17" width="27.453125" customWidth="1"/>
    <col min="18" max="18" width="79.26953125" customWidth="1"/>
    <col min="19" max="19" width="165.7265625" customWidth="1"/>
  </cols>
  <sheetData>
    <row r="1" spans="1:20" s="84" customFormat="1" ht="64.5" customHeight="1">
      <c r="A1" s="3033" t="s">
        <v>0</v>
      </c>
      <c r="B1" s="3034"/>
      <c r="C1" s="3034"/>
      <c r="D1" s="3034"/>
      <c r="E1" s="3034"/>
      <c r="F1" s="3034"/>
      <c r="G1" s="3034"/>
      <c r="H1" s="3034"/>
      <c r="I1" s="3034"/>
      <c r="J1" s="3034"/>
      <c r="K1" s="3034"/>
      <c r="L1" s="3034"/>
      <c r="M1" s="3034"/>
      <c r="N1" s="3034"/>
      <c r="O1" s="3034"/>
      <c r="P1" s="3034"/>
      <c r="Q1" s="3034"/>
      <c r="R1" s="3034"/>
      <c r="S1" s="3035"/>
    </row>
    <row r="2" spans="1:20" s="85" customFormat="1" ht="210" customHeight="1">
      <c r="A2" s="436" t="s">
        <v>1</v>
      </c>
      <c r="B2" s="437" t="s">
        <v>4124</v>
      </c>
      <c r="C2" s="103" t="s">
        <v>5</v>
      </c>
      <c r="D2" s="104" t="s">
        <v>4125</v>
      </c>
      <c r="E2" s="102" t="s">
        <v>681</v>
      </c>
      <c r="F2" s="102" t="s">
        <v>4126</v>
      </c>
      <c r="G2" s="102" t="s">
        <v>4127</v>
      </c>
      <c r="H2" s="105" t="s">
        <v>4128</v>
      </c>
      <c r="I2" s="102" t="s">
        <v>4129</v>
      </c>
      <c r="J2" s="102" t="s">
        <v>7</v>
      </c>
      <c r="K2" s="105" t="s">
        <v>4440</v>
      </c>
      <c r="L2" s="198" t="s">
        <v>682</v>
      </c>
      <c r="M2" s="199" t="s">
        <v>683</v>
      </c>
      <c r="N2" s="200" t="s">
        <v>4498</v>
      </c>
      <c r="O2" s="202" t="s">
        <v>12</v>
      </c>
      <c r="P2" s="1953" t="s">
        <v>13</v>
      </c>
      <c r="Q2" s="1953" t="s">
        <v>13</v>
      </c>
      <c r="R2" s="102" t="s">
        <v>14</v>
      </c>
      <c r="S2" s="274" t="s">
        <v>15</v>
      </c>
    </row>
    <row r="3" spans="1:20" s="413" customFormat="1" ht="153.65" customHeight="1">
      <c r="A3" s="438">
        <v>4</v>
      </c>
      <c r="B3" s="439">
        <v>0.6</v>
      </c>
      <c r="C3" s="1853" t="s">
        <v>637</v>
      </c>
      <c r="D3" s="132" t="s">
        <v>149</v>
      </c>
      <c r="E3" s="132" t="s">
        <v>1447</v>
      </c>
      <c r="F3" s="1954" t="s">
        <v>486</v>
      </c>
      <c r="G3" s="1847" t="s">
        <v>43</v>
      </c>
      <c r="H3" s="132"/>
      <c r="I3" s="1847" t="s">
        <v>43</v>
      </c>
      <c r="J3" s="1847" t="s">
        <v>43</v>
      </c>
      <c r="K3" s="453">
        <v>120000</v>
      </c>
      <c r="L3" s="1955" t="s">
        <v>1032</v>
      </c>
      <c r="M3" s="1955" t="s">
        <v>4499</v>
      </c>
      <c r="N3" s="454"/>
      <c r="O3" s="224" t="s">
        <v>1155</v>
      </c>
      <c r="P3" s="1956" t="s">
        <v>68</v>
      </c>
      <c r="Q3" s="1954" t="s">
        <v>68</v>
      </c>
      <c r="R3" s="1865" t="s">
        <v>49</v>
      </c>
      <c r="S3" s="1957" t="s">
        <v>972</v>
      </c>
      <c r="T3" s="469"/>
    </row>
    <row r="4" spans="1:20" s="413" customFormat="1" ht="117" customHeight="1">
      <c r="A4" s="438">
        <v>27</v>
      </c>
      <c r="B4" s="132">
        <v>3.76</v>
      </c>
      <c r="C4" s="1853" t="s">
        <v>625</v>
      </c>
      <c r="D4" s="132" t="s">
        <v>149</v>
      </c>
      <c r="E4" s="132" t="s">
        <v>1447</v>
      </c>
      <c r="F4" s="1954" t="s">
        <v>486</v>
      </c>
      <c r="G4" s="1847" t="s">
        <v>804</v>
      </c>
      <c r="H4" s="132"/>
      <c r="I4" s="1847" t="s">
        <v>75</v>
      </c>
      <c r="J4" s="1847" t="s">
        <v>4372</v>
      </c>
      <c r="K4" s="453">
        <v>754000</v>
      </c>
      <c r="L4" s="1955" t="s">
        <v>4500</v>
      </c>
      <c r="M4" s="1955" t="s">
        <v>4501</v>
      </c>
      <c r="N4" s="454"/>
      <c r="O4" s="224">
        <v>0.1</v>
      </c>
      <c r="P4" s="456">
        <v>0.37</v>
      </c>
      <c r="Q4" s="1954" t="s">
        <v>34</v>
      </c>
      <c r="R4" s="1865" t="s">
        <v>49</v>
      </c>
      <c r="S4" s="1957" t="s">
        <v>4502</v>
      </c>
      <c r="T4" s="469"/>
    </row>
    <row r="5" spans="1:20" s="413" customFormat="1" ht="95.5" customHeight="1">
      <c r="A5" s="438">
        <v>7</v>
      </c>
      <c r="B5" s="132" t="s">
        <v>68</v>
      </c>
      <c r="C5" s="1853" t="s">
        <v>1852</v>
      </c>
      <c r="D5" s="132" t="s">
        <v>149</v>
      </c>
      <c r="E5" s="132"/>
      <c r="F5" s="1954" t="s">
        <v>486</v>
      </c>
      <c r="G5" s="1847" t="s">
        <v>43</v>
      </c>
      <c r="H5" s="132"/>
      <c r="I5" s="1847" t="s">
        <v>43</v>
      </c>
      <c r="J5" s="1847" t="s">
        <v>43</v>
      </c>
      <c r="K5" s="453" t="s">
        <v>68</v>
      </c>
      <c r="L5" s="1955" t="s">
        <v>4503</v>
      </c>
      <c r="M5" s="1955" t="s">
        <v>4503</v>
      </c>
      <c r="N5" s="454"/>
      <c r="O5" s="224" t="s">
        <v>68</v>
      </c>
      <c r="P5" s="1958" t="s">
        <v>68</v>
      </c>
      <c r="Q5" s="1954" t="s">
        <v>68</v>
      </c>
      <c r="R5" s="1865" t="s">
        <v>4504</v>
      </c>
      <c r="S5" s="1957" t="s">
        <v>4505</v>
      </c>
      <c r="T5" s="470"/>
    </row>
    <row r="6" spans="1:20" s="413" customFormat="1" ht="133.15" customHeight="1">
      <c r="A6" s="438">
        <v>6</v>
      </c>
      <c r="B6" s="439">
        <v>19.440000000000001</v>
      </c>
      <c r="C6" s="1853" t="s">
        <v>1952</v>
      </c>
      <c r="D6" s="132" t="s">
        <v>149</v>
      </c>
      <c r="E6" s="132" t="s">
        <v>1447</v>
      </c>
      <c r="F6" s="1954" t="s">
        <v>486</v>
      </c>
      <c r="G6" s="1847" t="s">
        <v>4506</v>
      </c>
      <c r="H6" s="132"/>
      <c r="I6" s="1847" t="s">
        <v>75</v>
      </c>
      <c r="J6" s="1847" t="s">
        <v>1208</v>
      </c>
      <c r="K6" s="457">
        <v>1944772</v>
      </c>
      <c r="L6" s="1955" t="s">
        <v>4507</v>
      </c>
      <c r="M6" s="1955" t="s">
        <v>4508</v>
      </c>
      <c r="N6" s="454"/>
      <c r="O6" s="224">
        <v>0.03</v>
      </c>
      <c r="P6" s="455">
        <v>0.57999999999999996</v>
      </c>
      <c r="Q6" s="1954" t="s">
        <v>34</v>
      </c>
      <c r="R6" s="1865" t="s">
        <v>49</v>
      </c>
      <c r="S6" s="1959" t="s">
        <v>1077</v>
      </c>
      <c r="T6" s="471"/>
    </row>
    <row r="7" spans="1:20" s="414" customFormat="1" ht="117.75" customHeight="1">
      <c r="A7" s="438">
        <v>5</v>
      </c>
      <c r="B7" s="440">
        <v>2.4300000000000002</v>
      </c>
      <c r="C7" s="1960" t="s">
        <v>2193</v>
      </c>
      <c r="D7" s="144" t="s">
        <v>149</v>
      </c>
      <c r="E7" s="141" t="s">
        <v>1447</v>
      </c>
      <c r="F7" s="141"/>
      <c r="G7" s="141"/>
      <c r="H7" s="142"/>
      <c r="I7" s="1961" t="s">
        <v>43</v>
      </c>
      <c r="J7" s="1961" t="s">
        <v>4141</v>
      </c>
      <c r="K7" s="226"/>
      <c r="L7" s="1961" t="s">
        <v>4509</v>
      </c>
      <c r="M7" s="1961" t="s">
        <v>4510</v>
      </c>
      <c r="N7" s="231">
        <v>413500</v>
      </c>
      <c r="O7" s="229">
        <v>0.05</v>
      </c>
      <c r="P7" s="230">
        <v>0.12</v>
      </c>
      <c r="Q7" s="1962" t="s">
        <v>34</v>
      </c>
      <c r="R7" s="1963" t="s">
        <v>49</v>
      </c>
      <c r="S7" s="1964" t="s">
        <v>3924</v>
      </c>
      <c r="T7" s="472"/>
    </row>
    <row r="8" spans="1:20" s="415" customFormat="1" ht="161.5" customHeight="1">
      <c r="A8" s="438">
        <v>10</v>
      </c>
      <c r="B8" s="441">
        <v>0.25</v>
      </c>
      <c r="C8" s="1965" t="s">
        <v>2195</v>
      </c>
      <c r="D8" s="144" t="s">
        <v>149</v>
      </c>
      <c r="E8" s="141" t="s">
        <v>1447</v>
      </c>
      <c r="F8" s="141"/>
      <c r="G8" s="141"/>
      <c r="H8" s="142"/>
      <c r="I8" s="1961" t="s">
        <v>43</v>
      </c>
      <c r="J8" s="1961" t="s">
        <v>4141</v>
      </c>
      <c r="K8" s="142"/>
      <c r="L8" s="1966" t="s">
        <v>4511</v>
      </c>
      <c r="M8" s="1966" t="s">
        <v>4512</v>
      </c>
      <c r="N8" s="231">
        <v>100000</v>
      </c>
      <c r="O8" s="229" t="s">
        <v>68</v>
      </c>
      <c r="P8" s="230" t="s">
        <v>68</v>
      </c>
      <c r="Q8" s="1962" t="s">
        <v>34</v>
      </c>
      <c r="R8" s="1967" t="s">
        <v>4513</v>
      </c>
      <c r="S8" s="1968" t="s">
        <v>4514</v>
      </c>
      <c r="T8" s="472"/>
    </row>
    <row r="9" spans="1:20" s="414" customFormat="1" ht="88.5" customHeight="1">
      <c r="A9" s="438">
        <v>15</v>
      </c>
      <c r="B9" s="440">
        <v>12.68</v>
      </c>
      <c r="C9" s="1960" t="s">
        <v>2209</v>
      </c>
      <c r="D9" s="144" t="s">
        <v>195</v>
      </c>
      <c r="E9" s="141" t="s">
        <v>1447</v>
      </c>
      <c r="F9" s="141"/>
      <c r="G9" s="141"/>
      <c r="H9" s="142"/>
      <c r="I9" s="1961" t="s">
        <v>75</v>
      </c>
      <c r="J9" s="1961" t="s">
        <v>4515</v>
      </c>
      <c r="K9" s="226"/>
      <c r="L9" s="1961" t="s">
        <v>4516</v>
      </c>
      <c r="M9" s="1961" t="s">
        <v>4517</v>
      </c>
      <c r="N9" s="231">
        <v>2500000</v>
      </c>
      <c r="O9" s="229">
        <v>0.05</v>
      </c>
      <c r="P9" s="230">
        <v>0.62</v>
      </c>
      <c r="Q9" s="1962" t="s">
        <v>4518</v>
      </c>
      <c r="R9" s="1963" t="s">
        <v>49</v>
      </c>
      <c r="S9" s="1964" t="s">
        <v>3924</v>
      </c>
      <c r="T9" s="472"/>
    </row>
    <row r="10" spans="1:20" s="414" customFormat="1" ht="93" customHeight="1">
      <c r="A10" s="438">
        <v>9</v>
      </c>
      <c r="B10" s="441">
        <v>0.42</v>
      </c>
      <c r="C10" s="1960" t="s">
        <v>2203</v>
      </c>
      <c r="D10" s="144" t="s">
        <v>195</v>
      </c>
      <c r="E10" s="141" t="s">
        <v>1447</v>
      </c>
      <c r="F10" s="141"/>
      <c r="G10" s="141"/>
      <c r="H10" s="142"/>
      <c r="I10" s="1961" t="s">
        <v>4131</v>
      </c>
      <c r="J10" s="1961" t="s">
        <v>4132</v>
      </c>
      <c r="K10" s="226"/>
      <c r="L10" s="1961" t="s">
        <v>4519</v>
      </c>
      <c r="M10" s="1961" t="s">
        <v>4520</v>
      </c>
      <c r="N10" s="231">
        <v>85000</v>
      </c>
      <c r="O10" s="229">
        <v>0.05</v>
      </c>
      <c r="P10" s="230">
        <v>0.02</v>
      </c>
      <c r="Q10" s="1962" t="s">
        <v>34</v>
      </c>
      <c r="R10" s="1963" t="s">
        <v>49</v>
      </c>
      <c r="S10" s="1964" t="s">
        <v>3924</v>
      </c>
      <c r="T10" s="472"/>
    </row>
    <row r="11" spans="1:20" s="414" customFormat="1" ht="123" customHeight="1">
      <c r="A11" s="438">
        <v>3</v>
      </c>
      <c r="B11" s="441">
        <v>25</v>
      </c>
      <c r="C11" s="1960" t="s">
        <v>2205</v>
      </c>
      <c r="D11" s="144" t="s">
        <v>149</v>
      </c>
      <c r="E11" s="141" t="s">
        <v>1447</v>
      </c>
      <c r="F11" s="141"/>
      <c r="G11" s="141"/>
      <c r="H11" s="142"/>
      <c r="I11" s="1961" t="s">
        <v>4521</v>
      </c>
      <c r="J11" s="1961" t="s">
        <v>4522</v>
      </c>
      <c r="K11" s="226"/>
      <c r="L11" s="1961" t="s">
        <v>4523</v>
      </c>
      <c r="M11" s="1961" t="s">
        <v>4524</v>
      </c>
      <c r="N11" s="231">
        <v>5000000</v>
      </c>
      <c r="O11" s="229">
        <v>0.1</v>
      </c>
      <c r="P11" s="230">
        <v>2.5</v>
      </c>
      <c r="Q11" s="1962" t="s">
        <v>54</v>
      </c>
      <c r="R11" s="1967" t="s">
        <v>4525</v>
      </c>
      <c r="S11" s="1969" t="s">
        <v>4526</v>
      </c>
      <c r="T11" s="473" t="s">
        <v>4527</v>
      </c>
    </row>
    <row r="12" spans="1:20" s="414" customFormat="1" ht="123" customHeight="1">
      <c r="A12" s="438">
        <v>4</v>
      </c>
      <c r="B12" s="176">
        <v>9.35</v>
      </c>
      <c r="C12" s="1970" t="s">
        <v>2211</v>
      </c>
      <c r="D12" s="158" t="s">
        <v>149</v>
      </c>
      <c r="E12" s="168" t="s">
        <v>823</v>
      </c>
      <c r="F12" s="168"/>
      <c r="G12" s="168"/>
      <c r="H12" s="169"/>
      <c r="I12" s="1971" t="s">
        <v>4528</v>
      </c>
      <c r="J12" s="1971" t="s">
        <v>4141</v>
      </c>
      <c r="K12" s="250"/>
      <c r="L12" s="1971" t="s">
        <v>4529</v>
      </c>
      <c r="M12" s="1971" t="s">
        <v>4530</v>
      </c>
      <c r="N12" s="251">
        <v>1600000</v>
      </c>
      <c r="O12" s="252">
        <v>0.05</v>
      </c>
      <c r="P12" s="241">
        <v>0.46</v>
      </c>
      <c r="Q12" s="1972" t="s">
        <v>68</v>
      </c>
      <c r="R12" s="1973" t="s">
        <v>49</v>
      </c>
      <c r="S12" s="1974" t="s">
        <v>4531</v>
      </c>
      <c r="T12" s="472"/>
    </row>
    <row r="13" spans="1:20" s="414" customFormat="1" ht="123.75" customHeight="1">
      <c r="A13" s="438">
        <v>5</v>
      </c>
      <c r="B13" s="176">
        <v>37</v>
      </c>
      <c r="C13" s="1975" t="s">
        <v>2207</v>
      </c>
      <c r="D13" s="158" t="s">
        <v>149</v>
      </c>
      <c r="E13" s="168" t="s">
        <v>823</v>
      </c>
      <c r="F13" s="168"/>
      <c r="G13" s="168"/>
      <c r="H13" s="169"/>
      <c r="I13" s="1971" t="s">
        <v>75</v>
      </c>
      <c r="J13" s="1971" t="s">
        <v>4532</v>
      </c>
      <c r="K13" s="169"/>
      <c r="L13" s="1976" t="s">
        <v>4533</v>
      </c>
      <c r="M13" s="1976" t="s">
        <v>4534</v>
      </c>
      <c r="N13" s="251">
        <v>500000</v>
      </c>
      <c r="O13" s="252">
        <v>0.1</v>
      </c>
      <c r="P13" s="241">
        <v>3.7</v>
      </c>
      <c r="Q13" s="1972" t="s">
        <v>34</v>
      </c>
      <c r="R13" s="1977" t="s">
        <v>4535</v>
      </c>
      <c r="S13" s="1974" t="s">
        <v>4536</v>
      </c>
      <c r="T13" s="472" t="s">
        <v>68</v>
      </c>
    </row>
    <row r="14" spans="1:20" s="416" customFormat="1">
      <c r="C14" s="442"/>
    </row>
    <row r="15" spans="1:20" s="414" customFormat="1" ht="85.5" customHeight="1">
      <c r="A15" s="438">
        <v>13</v>
      </c>
      <c r="B15" s="182">
        <v>14.87</v>
      </c>
      <c r="C15" s="1978" t="s">
        <v>4537</v>
      </c>
      <c r="D15" s="161" t="s">
        <v>195</v>
      </c>
      <c r="E15" s="162" t="s">
        <v>1447</v>
      </c>
      <c r="F15" s="162"/>
      <c r="G15" s="162"/>
      <c r="H15" s="163"/>
      <c r="I15" s="1979" t="s">
        <v>4538</v>
      </c>
      <c r="J15" s="1979" t="s">
        <v>4141</v>
      </c>
      <c r="K15" s="242"/>
      <c r="L15" s="1979" t="s">
        <v>4539</v>
      </c>
      <c r="M15" s="1979" t="s">
        <v>4540</v>
      </c>
      <c r="N15" s="243">
        <v>2975000</v>
      </c>
      <c r="O15" s="244">
        <v>0.05</v>
      </c>
      <c r="P15" s="246">
        <v>0.74</v>
      </c>
      <c r="Q15" s="1980" t="s">
        <v>34</v>
      </c>
      <c r="R15" s="1981" t="s">
        <v>49</v>
      </c>
      <c r="S15" s="1982" t="s">
        <v>907</v>
      </c>
      <c r="T15" s="472"/>
    </row>
    <row r="16" spans="1:20" s="414" customFormat="1" ht="90.75" customHeight="1">
      <c r="A16" s="438">
        <v>2</v>
      </c>
      <c r="B16" s="443">
        <v>0.3</v>
      </c>
      <c r="C16" s="1983" t="s">
        <v>2227</v>
      </c>
      <c r="D16" s="161" t="s">
        <v>195</v>
      </c>
      <c r="E16" s="162" t="s">
        <v>1447</v>
      </c>
      <c r="F16" s="162"/>
      <c r="G16" s="162"/>
      <c r="H16" s="163"/>
      <c r="I16" s="1979" t="s">
        <v>75</v>
      </c>
      <c r="J16" s="1979" t="s">
        <v>4541</v>
      </c>
      <c r="K16" s="242"/>
      <c r="L16" s="1979" t="s">
        <v>4542</v>
      </c>
      <c r="M16" s="1979" t="s">
        <v>4543</v>
      </c>
      <c r="N16" s="458">
        <v>60000</v>
      </c>
      <c r="O16" s="244">
        <v>0.03</v>
      </c>
      <c r="P16" s="246">
        <v>0.9</v>
      </c>
      <c r="Q16" s="1980" t="s">
        <v>34</v>
      </c>
      <c r="R16" s="1984" t="s">
        <v>4544</v>
      </c>
      <c r="S16" s="1985" t="s">
        <v>4145</v>
      </c>
      <c r="T16" s="472"/>
    </row>
    <row r="17" spans="1:20" s="414" customFormat="1" ht="93" customHeight="1">
      <c r="A17" s="438">
        <v>1</v>
      </c>
      <c r="B17" s="192">
        <v>25</v>
      </c>
      <c r="C17" s="1970" t="s">
        <v>4545</v>
      </c>
      <c r="D17" s="158" t="s">
        <v>149</v>
      </c>
      <c r="E17" s="168" t="s">
        <v>823</v>
      </c>
      <c r="F17" s="168" t="s">
        <v>4189</v>
      </c>
      <c r="G17" s="168"/>
      <c r="H17" s="169"/>
      <c r="I17" s="1971" t="s">
        <v>75</v>
      </c>
      <c r="J17" s="1971" t="s">
        <v>4546</v>
      </c>
      <c r="K17" s="169"/>
      <c r="L17" s="1976" t="s">
        <v>4547</v>
      </c>
      <c r="M17" s="1976" t="s">
        <v>68</v>
      </c>
      <c r="N17" s="251">
        <v>5000000</v>
      </c>
      <c r="O17" s="459">
        <v>0.1</v>
      </c>
      <c r="P17" s="241">
        <f>B17*O17</f>
        <v>2.5</v>
      </c>
      <c r="Q17" s="1972" t="s">
        <v>68</v>
      </c>
      <c r="R17" s="1986" t="s">
        <v>4548</v>
      </c>
      <c r="S17" s="1987" t="s">
        <v>4549</v>
      </c>
      <c r="T17" s="474" t="s">
        <v>68</v>
      </c>
    </row>
    <row r="18" spans="1:20" s="417" customFormat="1" ht="125.25" customHeight="1">
      <c r="A18" s="438">
        <v>4</v>
      </c>
      <c r="B18" s="299">
        <v>250</v>
      </c>
      <c r="C18" s="1970" t="s">
        <v>2225</v>
      </c>
      <c r="D18" s="158" t="s">
        <v>149</v>
      </c>
      <c r="E18" s="168" t="s">
        <v>823</v>
      </c>
      <c r="F18" s="158"/>
      <c r="G18" s="158"/>
      <c r="H18" s="159"/>
      <c r="I18" s="1988" t="s">
        <v>4550</v>
      </c>
      <c r="J18" s="1988" t="s">
        <v>4551</v>
      </c>
      <c r="K18" s="159"/>
      <c r="L18" s="1989" t="s">
        <v>4552</v>
      </c>
      <c r="M18" s="1989" t="s">
        <v>4553</v>
      </c>
      <c r="N18" s="239">
        <v>2500000</v>
      </c>
      <c r="O18" s="240">
        <v>0.05</v>
      </c>
      <c r="P18" s="241">
        <v>12.5</v>
      </c>
      <c r="Q18" s="1973" t="s">
        <v>34</v>
      </c>
      <c r="R18" s="1973" t="s">
        <v>49</v>
      </c>
      <c r="S18" s="1974" t="s">
        <v>1135</v>
      </c>
    </row>
    <row r="19" spans="1:20" s="414" customFormat="1" ht="96" customHeight="1">
      <c r="A19" s="438">
        <v>1</v>
      </c>
      <c r="B19" s="182">
        <v>28.09</v>
      </c>
      <c r="C19" s="1983" t="s">
        <v>4554</v>
      </c>
      <c r="D19" s="161" t="s">
        <v>195</v>
      </c>
      <c r="E19" s="162" t="s">
        <v>1447</v>
      </c>
      <c r="F19" s="162"/>
      <c r="G19" s="162"/>
      <c r="H19" s="163"/>
      <c r="I19" s="1979" t="s">
        <v>75</v>
      </c>
      <c r="J19" s="1979" t="s">
        <v>4555</v>
      </c>
      <c r="K19" s="163"/>
      <c r="L19" s="1990" t="s">
        <v>4556</v>
      </c>
      <c r="M19" s="1990" t="s">
        <v>68</v>
      </c>
      <c r="N19" s="243">
        <v>1553300</v>
      </c>
      <c r="O19" s="244">
        <v>0.05</v>
      </c>
      <c r="P19" s="246">
        <v>1.4</v>
      </c>
      <c r="Q19" s="1980" t="s">
        <v>34</v>
      </c>
      <c r="R19" s="1991" t="s">
        <v>4557</v>
      </c>
      <c r="S19" s="1982" t="s">
        <v>907</v>
      </c>
      <c r="T19" s="472"/>
    </row>
    <row r="20" spans="1:20" s="414" customFormat="1" ht="85.5" customHeight="1">
      <c r="A20" s="438">
        <v>9</v>
      </c>
      <c r="B20" s="182">
        <v>7.52</v>
      </c>
      <c r="C20" s="1983" t="s">
        <v>2242</v>
      </c>
      <c r="D20" s="161" t="s">
        <v>195</v>
      </c>
      <c r="E20" s="162" t="s">
        <v>1447</v>
      </c>
      <c r="F20" s="162"/>
      <c r="G20" s="162"/>
      <c r="H20" s="163"/>
      <c r="I20" s="1979" t="s">
        <v>4558</v>
      </c>
      <c r="J20" s="1979" t="s">
        <v>4559</v>
      </c>
      <c r="K20" s="242"/>
      <c r="L20" s="1979" t="s">
        <v>4560</v>
      </c>
      <c r="M20" s="1979" t="s">
        <v>4561</v>
      </c>
      <c r="N20" s="243">
        <v>1504000</v>
      </c>
      <c r="O20" s="244">
        <v>0.05</v>
      </c>
      <c r="P20" s="246">
        <v>0.37</v>
      </c>
      <c r="Q20" s="1980" t="s">
        <v>4562</v>
      </c>
      <c r="R20" s="1981" t="s">
        <v>49</v>
      </c>
      <c r="S20" s="1985" t="s">
        <v>4563</v>
      </c>
      <c r="T20" s="472"/>
    </row>
    <row r="21" spans="1:20" s="414" customFormat="1" ht="87" customHeight="1">
      <c r="A21" s="438">
        <v>11</v>
      </c>
      <c r="B21" s="192">
        <v>62.5</v>
      </c>
      <c r="C21" s="1970" t="s">
        <v>2246</v>
      </c>
      <c r="D21" s="158" t="s">
        <v>149</v>
      </c>
      <c r="E21" s="168" t="s">
        <v>823</v>
      </c>
      <c r="F21" s="168"/>
      <c r="G21" s="168"/>
      <c r="H21" s="169"/>
      <c r="I21" s="1971" t="s">
        <v>75</v>
      </c>
      <c r="J21" s="1971" t="s">
        <v>4564</v>
      </c>
      <c r="K21" s="169"/>
      <c r="L21" s="1976" t="s">
        <v>4565</v>
      </c>
      <c r="M21" s="1976" t="s">
        <v>4566</v>
      </c>
      <c r="N21" s="251">
        <v>12500000</v>
      </c>
      <c r="O21" s="459">
        <v>0.1</v>
      </c>
      <c r="P21" s="241">
        <v>6.25</v>
      </c>
      <c r="Q21" s="1972" t="s">
        <v>1318</v>
      </c>
      <c r="R21" s="1973" t="s">
        <v>49</v>
      </c>
      <c r="S21" s="1987" t="s">
        <v>1425</v>
      </c>
    </row>
    <row r="22" spans="1:20" s="414" customFormat="1" ht="123.75" customHeight="1">
      <c r="A22" s="438">
        <v>8</v>
      </c>
      <c r="B22" s="443">
        <v>1.36</v>
      </c>
      <c r="C22" s="1983" t="s">
        <v>2248</v>
      </c>
      <c r="D22" s="161" t="s">
        <v>195</v>
      </c>
      <c r="E22" s="162" t="s">
        <v>1447</v>
      </c>
      <c r="F22" s="162"/>
      <c r="G22" s="162"/>
      <c r="H22" s="163"/>
      <c r="I22" s="1979" t="s">
        <v>75</v>
      </c>
      <c r="J22" s="1979" t="s">
        <v>4567</v>
      </c>
      <c r="K22" s="163"/>
      <c r="L22" s="1990" t="s">
        <v>4568</v>
      </c>
      <c r="M22" s="1990" t="s">
        <v>4569</v>
      </c>
      <c r="N22" s="243">
        <v>273900</v>
      </c>
      <c r="O22" s="244">
        <v>0.03</v>
      </c>
      <c r="P22" s="246">
        <v>0.04</v>
      </c>
      <c r="Q22" s="1980" t="s">
        <v>34</v>
      </c>
      <c r="R22" s="1981" t="s">
        <v>49</v>
      </c>
      <c r="S22" s="1982" t="s">
        <v>4570</v>
      </c>
      <c r="T22" s="472"/>
    </row>
    <row r="23" spans="1:20" s="414" customFormat="1" ht="130.5" customHeight="1">
      <c r="A23" s="438">
        <v>7</v>
      </c>
      <c r="B23" s="182">
        <v>10.44</v>
      </c>
      <c r="C23" s="1983" t="s">
        <v>2266</v>
      </c>
      <c r="D23" s="161" t="s">
        <v>195</v>
      </c>
      <c r="E23" s="162" t="s">
        <v>1447</v>
      </c>
      <c r="F23" s="162"/>
      <c r="G23" s="162"/>
      <c r="H23" s="163"/>
      <c r="I23" s="1979" t="s">
        <v>75</v>
      </c>
      <c r="J23" s="1979" t="s">
        <v>4571</v>
      </c>
      <c r="K23" s="163"/>
      <c r="L23" s="1990" t="s">
        <v>1503</v>
      </c>
      <c r="M23" s="1990" t="s">
        <v>4572</v>
      </c>
      <c r="N23" s="243">
        <v>2089090</v>
      </c>
      <c r="O23" s="244">
        <v>0.05</v>
      </c>
      <c r="P23" s="246">
        <v>0.52</v>
      </c>
      <c r="Q23" s="1980" t="s">
        <v>4573</v>
      </c>
      <c r="R23" s="1981" t="s">
        <v>4574</v>
      </c>
      <c r="S23" s="1982" t="s">
        <v>4575</v>
      </c>
      <c r="T23" s="472"/>
    </row>
    <row r="24" spans="1:20" s="414" customFormat="1" ht="130.5" customHeight="1">
      <c r="A24" s="438">
        <v>1</v>
      </c>
      <c r="B24" s="443">
        <v>4.68</v>
      </c>
      <c r="C24" s="1983" t="s">
        <v>2272</v>
      </c>
      <c r="D24" s="161" t="s">
        <v>195</v>
      </c>
      <c r="E24" s="162" t="s">
        <v>1447</v>
      </c>
      <c r="F24" s="162"/>
      <c r="G24" s="162"/>
      <c r="H24" s="163"/>
      <c r="I24" s="1979" t="s">
        <v>75</v>
      </c>
      <c r="J24" s="1979" t="s">
        <v>4576</v>
      </c>
      <c r="K24" s="163"/>
      <c r="L24" s="1990" t="s">
        <v>4577</v>
      </c>
      <c r="M24" s="1990" t="s">
        <v>4578</v>
      </c>
      <c r="N24" s="243">
        <v>936300</v>
      </c>
      <c r="O24" s="244">
        <v>0.05</v>
      </c>
      <c r="P24" s="246">
        <v>0.23</v>
      </c>
      <c r="Q24" s="1980" t="s">
        <v>4579</v>
      </c>
      <c r="R24" s="1981" t="s">
        <v>49</v>
      </c>
      <c r="S24" s="1982" t="s">
        <v>4563</v>
      </c>
      <c r="T24" s="472"/>
    </row>
    <row r="25" spans="1:20" s="414" customFormat="1" ht="97.5" customHeight="1">
      <c r="A25" s="438">
        <v>2</v>
      </c>
      <c r="B25" s="443">
        <v>3.5</v>
      </c>
      <c r="C25" s="1983" t="s">
        <v>2278</v>
      </c>
      <c r="D25" s="161" t="s">
        <v>195</v>
      </c>
      <c r="E25" s="162" t="s">
        <v>1447</v>
      </c>
      <c r="F25" s="162"/>
      <c r="G25" s="162"/>
      <c r="H25" s="163"/>
      <c r="I25" s="1979" t="s">
        <v>75</v>
      </c>
      <c r="J25" s="1979" t="s">
        <v>4580</v>
      </c>
      <c r="K25" s="163"/>
      <c r="L25" s="1990" t="s">
        <v>4581</v>
      </c>
      <c r="M25" s="1990" t="s">
        <v>4582</v>
      </c>
      <c r="N25" s="243">
        <v>700000</v>
      </c>
      <c r="O25" s="244">
        <v>0.05</v>
      </c>
      <c r="P25" s="246">
        <v>0.17</v>
      </c>
      <c r="Q25" s="1980" t="s">
        <v>4583</v>
      </c>
      <c r="R25" s="1981" t="s">
        <v>49</v>
      </c>
      <c r="S25" s="1982" t="s">
        <v>4150</v>
      </c>
      <c r="T25" s="472"/>
    </row>
    <row r="26" spans="1:20" s="414" customFormat="1" ht="97.5" customHeight="1">
      <c r="A26" s="438">
        <v>1</v>
      </c>
      <c r="B26" s="182">
        <v>6</v>
      </c>
      <c r="C26" s="1983" t="s">
        <v>2280</v>
      </c>
      <c r="D26" s="162" t="s">
        <v>195</v>
      </c>
      <c r="E26" s="162" t="s">
        <v>1447</v>
      </c>
      <c r="F26" s="162"/>
      <c r="G26" s="162"/>
      <c r="H26" s="163"/>
      <c r="I26" s="1979" t="s">
        <v>43</v>
      </c>
      <c r="J26" s="1979" t="s">
        <v>43</v>
      </c>
      <c r="K26" s="163"/>
      <c r="L26" s="1990" t="s">
        <v>4584</v>
      </c>
      <c r="M26" s="1990" t="s">
        <v>4585</v>
      </c>
      <c r="N26" s="243">
        <v>1200000</v>
      </c>
      <c r="O26" s="244">
        <v>0.05</v>
      </c>
      <c r="P26" s="246">
        <v>0.3</v>
      </c>
      <c r="Q26" s="1980" t="s">
        <v>4586</v>
      </c>
      <c r="R26" s="1991" t="s">
        <v>4587</v>
      </c>
      <c r="S26" s="1982" t="s">
        <v>4588</v>
      </c>
      <c r="T26" s="472"/>
    </row>
    <row r="27" spans="1:20" s="418" customFormat="1" ht="118.5" customHeight="1">
      <c r="A27" s="444">
        <v>10</v>
      </c>
      <c r="B27" s="443">
        <v>3.48</v>
      </c>
      <c r="C27" s="1992" t="s">
        <v>2292</v>
      </c>
      <c r="D27" s="173" t="s">
        <v>195</v>
      </c>
      <c r="E27" s="174" t="s">
        <v>1447</v>
      </c>
      <c r="F27" s="174"/>
      <c r="G27" s="174"/>
      <c r="H27" s="175"/>
      <c r="I27" s="1993" t="s">
        <v>75</v>
      </c>
      <c r="J27" s="1993" t="s">
        <v>4589</v>
      </c>
      <c r="K27" s="175"/>
      <c r="L27" s="1994" t="s">
        <v>4590</v>
      </c>
      <c r="M27" s="1994" t="s">
        <v>4591</v>
      </c>
      <c r="N27" s="256">
        <v>696000</v>
      </c>
      <c r="O27" s="257">
        <v>0.03</v>
      </c>
      <c r="P27" s="258">
        <v>0.01</v>
      </c>
      <c r="Q27" s="1995" t="s">
        <v>68</v>
      </c>
      <c r="R27" s="1996" t="s">
        <v>4592</v>
      </c>
      <c r="S27" s="1997" t="s">
        <v>4563</v>
      </c>
      <c r="T27" s="475"/>
    </row>
    <row r="28" spans="1:20" s="419" customFormat="1" ht="111.75" customHeight="1">
      <c r="A28" s="444">
        <v>3</v>
      </c>
      <c r="B28" s="443">
        <v>2</v>
      </c>
      <c r="C28" s="1998" t="s">
        <v>4593</v>
      </c>
      <c r="D28" s="173" t="s">
        <v>195</v>
      </c>
      <c r="E28" s="174" t="s">
        <v>1447</v>
      </c>
      <c r="F28" s="174"/>
      <c r="G28" s="174"/>
      <c r="H28" s="175"/>
      <c r="I28" s="1993" t="s">
        <v>68</v>
      </c>
      <c r="J28" s="1993" t="s">
        <v>4594</v>
      </c>
      <c r="K28" s="175"/>
      <c r="L28" s="1994" t="s">
        <v>4595</v>
      </c>
      <c r="M28" s="1994" t="s">
        <v>4596</v>
      </c>
      <c r="N28" s="256">
        <v>400000</v>
      </c>
      <c r="O28" s="257">
        <v>0.03</v>
      </c>
      <c r="P28" s="258" t="s">
        <v>68</v>
      </c>
      <c r="Q28" s="1995" t="s">
        <v>34</v>
      </c>
      <c r="R28" s="1999" t="s">
        <v>4597</v>
      </c>
      <c r="S28" s="2000" t="s">
        <v>4598</v>
      </c>
      <c r="T28" s="475"/>
    </row>
    <row r="29" spans="1:20" s="420" customFormat="1" ht="115.5" customHeight="1">
      <c r="A29" s="444">
        <v>1</v>
      </c>
      <c r="B29" s="445">
        <v>6</v>
      </c>
      <c r="C29" s="2001" t="s">
        <v>4599</v>
      </c>
      <c r="D29" s="174" t="s">
        <v>195</v>
      </c>
      <c r="E29" s="174" t="s">
        <v>1447</v>
      </c>
      <c r="F29" s="173"/>
      <c r="G29" s="173"/>
      <c r="H29" s="313"/>
      <c r="I29" s="2002" t="s">
        <v>4600</v>
      </c>
      <c r="J29" s="2002" t="s">
        <v>4601</v>
      </c>
      <c r="K29" s="313"/>
      <c r="L29" s="2003" t="s">
        <v>4602</v>
      </c>
      <c r="M29" s="2003" t="s">
        <v>4603</v>
      </c>
      <c r="N29" s="460">
        <v>600000</v>
      </c>
      <c r="O29" s="266">
        <v>0.05</v>
      </c>
      <c r="P29" s="258">
        <v>0.3</v>
      </c>
      <c r="Q29" s="2004" t="s">
        <v>878</v>
      </c>
      <c r="R29" s="1999" t="s">
        <v>4604</v>
      </c>
      <c r="S29" s="2000" t="s">
        <v>4605</v>
      </c>
      <c r="T29" s="475"/>
    </row>
    <row r="30" spans="1:20" s="419" customFormat="1" ht="151.5" customHeight="1">
      <c r="A30" s="444">
        <v>8</v>
      </c>
      <c r="B30" s="192">
        <v>1.5</v>
      </c>
      <c r="C30" s="2005" t="s">
        <v>2290</v>
      </c>
      <c r="D30" s="184" t="s">
        <v>4606</v>
      </c>
      <c r="E30" s="179" t="s">
        <v>823</v>
      </c>
      <c r="F30" s="179"/>
      <c r="G30" s="179"/>
      <c r="H30" s="180"/>
      <c r="I30" s="2006" t="s">
        <v>75</v>
      </c>
      <c r="J30" s="2006" t="s">
        <v>4607</v>
      </c>
      <c r="K30" s="180"/>
      <c r="L30" s="2007" t="s">
        <v>4608</v>
      </c>
      <c r="M30" s="2007" t="s">
        <v>4609</v>
      </c>
      <c r="N30" s="260">
        <v>300000</v>
      </c>
      <c r="O30" s="261">
        <v>0.05</v>
      </c>
      <c r="P30" s="262">
        <v>7.0000000000000007E-2</v>
      </c>
      <c r="Q30" s="2008" t="s">
        <v>34</v>
      </c>
      <c r="R30" s="2009" t="s">
        <v>49</v>
      </c>
      <c r="S30" s="2010" t="s">
        <v>4610</v>
      </c>
      <c r="T30" s="476"/>
    </row>
    <row r="31" spans="1:20" s="421" customFormat="1" ht="113.25" customHeight="1">
      <c r="A31" s="444">
        <v>2</v>
      </c>
      <c r="B31" s="443">
        <v>5</v>
      </c>
      <c r="C31" s="2001" t="s">
        <v>2313</v>
      </c>
      <c r="D31" s="174" t="s">
        <v>195</v>
      </c>
      <c r="E31" s="174" t="s">
        <v>1447</v>
      </c>
      <c r="F31" s="174"/>
      <c r="G31" s="174"/>
      <c r="H31" s="175"/>
      <c r="I31" s="1993" t="s">
        <v>75</v>
      </c>
      <c r="J31" s="1993" t="s">
        <v>4611</v>
      </c>
      <c r="K31" s="175"/>
      <c r="L31" s="1994" t="s">
        <v>4612</v>
      </c>
      <c r="M31" s="1994" t="s">
        <v>4613</v>
      </c>
      <c r="N31" s="256">
        <v>1000000</v>
      </c>
      <c r="O31" s="266">
        <v>0.05</v>
      </c>
      <c r="P31" s="258">
        <v>0.25</v>
      </c>
      <c r="Q31" s="1995" t="s">
        <v>878</v>
      </c>
      <c r="R31" s="2004" t="s">
        <v>49</v>
      </c>
      <c r="S31" s="2000" t="s">
        <v>4614</v>
      </c>
      <c r="T31" s="475"/>
    </row>
    <row r="32" spans="1:20" s="421" customFormat="1" ht="113.25" customHeight="1">
      <c r="A32" s="444">
        <v>6</v>
      </c>
      <c r="B32" s="443">
        <v>5.22</v>
      </c>
      <c r="C32" s="2001" t="s">
        <v>2325</v>
      </c>
      <c r="D32" s="174" t="s">
        <v>195</v>
      </c>
      <c r="E32" s="174" t="s">
        <v>1447</v>
      </c>
      <c r="F32" s="174"/>
      <c r="G32" s="174"/>
      <c r="H32" s="175"/>
      <c r="I32" s="1993" t="s">
        <v>43</v>
      </c>
      <c r="J32" s="1993" t="s">
        <v>43</v>
      </c>
      <c r="K32" s="175"/>
      <c r="L32" s="1994" t="s">
        <v>4615</v>
      </c>
      <c r="M32" s="1994" t="s">
        <v>4616</v>
      </c>
      <c r="N32" s="256">
        <v>1044300</v>
      </c>
      <c r="O32" s="266">
        <v>0.05</v>
      </c>
      <c r="P32" s="258">
        <v>0.26</v>
      </c>
      <c r="Q32" s="1995" t="s">
        <v>68</v>
      </c>
      <c r="R32" s="2004" t="s">
        <v>49</v>
      </c>
      <c r="S32" s="2000" t="s">
        <v>4617</v>
      </c>
      <c r="T32" s="475"/>
    </row>
    <row r="33" spans="1:20" s="421" customFormat="1" ht="113.25" customHeight="1">
      <c r="A33" s="444">
        <v>7</v>
      </c>
      <c r="B33" s="443">
        <v>5.05</v>
      </c>
      <c r="C33" s="2001" t="s">
        <v>2327</v>
      </c>
      <c r="D33" s="174" t="s">
        <v>195</v>
      </c>
      <c r="E33" s="174" t="s">
        <v>1447</v>
      </c>
      <c r="F33" s="174"/>
      <c r="G33" s="174"/>
      <c r="H33" s="175"/>
      <c r="I33" s="1993" t="s">
        <v>43</v>
      </c>
      <c r="J33" s="1993" t="s">
        <v>43</v>
      </c>
      <c r="K33" s="175"/>
      <c r="L33" s="1994" t="s">
        <v>4615</v>
      </c>
      <c r="M33" s="1994" t="s">
        <v>4616</v>
      </c>
      <c r="N33" s="256">
        <v>1011000</v>
      </c>
      <c r="O33" s="266">
        <v>0.05</v>
      </c>
      <c r="P33" s="258">
        <v>0.25</v>
      </c>
      <c r="Q33" s="1995" t="s">
        <v>68</v>
      </c>
      <c r="R33" s="2004" t="s">
        <v>49</v>
      </c>
      <c r="S33" s="2000" t="s">
        <v>4617</v>
      </c>
      <c r="T33" s="475"/>
    </row>
    <row r="34" spans="1:20" s="421" customFormat="1" ht="120.75" customHeight="1">
      <c r="A34" s="444">
        <v>1</v>
      </c>
      <c r="B34" s="446">
        <v>0.75</v>
      </c>
      <c r="C34" s="2011" t="s">
        <v>2357</v>
      </c>
      <c r="D34" s="308" t="s">
        <v>1788</v>
      </c>
      <c r="E34" s="309" t="s">
        <v>1447</v>
      </c>
      <c r="F34" s="309"/>
      <c r="G34" s="309"/>
      <c r="H34" s="310"/>
      <c r="I34" s="2012" t="s">
        <v>43</v>
      </c>
      <c r="J34" s="2012" t="s">
        <v>43</v>
      </c>
      <c r="K34" s="310"/>
      <c r="L34" s="2013" t="s">
        <v>4618</v>
      </c>
      <c r="M34" s="2013" t="s">
        <v>4205</v>
      </c>
      <c r="N34" s="461">
        <v>75000</v>
      </c>
      <c r="O34" s="462">
        <v>0.05</v>
      </c>
      <c r="P34" s="463">
        <v>0.03</v>
      </c>
      <c r="Q34" s="2014" t="s">
        <v>34</v>
      </c>
      <c r="R34" s="2015" t="s">
        <v>49</v>
      </c>
      <c r="S34" s="2016" t="s">
        <v>4619</v>
      </c>
    </row>
    <row r="35" spans="1:20" s="421" customFormat="1" ht="120.75" customHeight="1">
      <c r="A35" s="444">
        <v>3</v>
      </c>
      <c r="B35" s="446">
        <v>3.75</v>
      </c>
      <c r="C35" s="2011" t="s">
        <v>2359</v>
      </c>
      <c r="D35" s="308" t="s">
        <v>1788</v>
      </c>
      <c r="E35" s="309" t="s">
        <v>1447</v>
      </c>
      <c r="F35" s="309"/>
      <c r="G35" s="309"/>
      <c r="H35" s="310"/>
      <c r="I35" s="2012" t="s">
        <v>43</v>
      </c>
      <c r="J35" s="2012" t="s">
        <v>43</v>
      </c>
      <c r="K35" s="310"/>
      <c r="L35" s="2013" t="s">
        <v>4620</v>
      </c>
      <c r="M35" s="2013" t="s">
        <v>4621</v>
      </c>
      <c r="N35" s="461">
        <v>375000</v>
      </c>
      <c r="O35" s="462">
        <v>0.05</v>
      </c>
      <c r="P35" s="463">
        <v>0.18</v>
      </c>
      <c r="Q35" s="2014" t="s">
        <v>34</v>
      </c>
      <c r="R35" s="2015" t="s">
        <v>49</v>
      </c>
      <c r="S35" s="2016" t="s">
        <v>4619</v>
      </c>
      <c r="T35" s="475"/>
    </row>
    <row r="36" spans="1:20" s="421" customFormat="1" ht="120.75" customHeight="1">
      <c r="A36" s="444">
        <v>4</v>
      </c>
      <c r="B36" s="446">
        <v>6.8</v>
      </c>
      <c r="C36" s="2011" t="s">
        <v>2361</v>
      </c>
      <c r="D36" s="308" t="s">
        <v>1788</v>
      </c>
      <c r="E36" s="309" t="s">
        <v>1447</v>
      </c>
      <c r="F36" s="309"/>
      <c r="G36" s="309"/>
      <c r="H36" s="310"/>
      <c r="I36" s="2012" t="s">
        <v>43</v>
      </c>
      <c r="J36" s="2012" t="s">
        <v>43</v>
      </c>
      <c r="K36" s="310"/>
      <c r="L36" s="2013" t="s">
        <v>4620</v>
      </c>
      <c r="M36" s="2013" t="s">
        <v>4621</v>
      </c>
      <c r="N36" s="461">
        <v>680000</v>
      </c>
      <c r="O36" s="462">
        <v>0.05</v>
      </c>
      <c r="P36" s="463">
        <v>0.34</v>
      </c>
      <c r="Q36" s="2014" t="s">
        <v>34</v>
      </c>
      <c r="R36" s="2015" t="s">
        <v>49</v>
      </c>
      <c r="S36" s="2016" t="s">
        <v>4619</v>
      </c>
      <c r="T36" s="475"/>
    </row>
    <row r="37" spans="1:20" s="419" customFormat="1" ht="111.75" customHeight="1">
      <c r="A37" s="444">
        <v>5</v>
      </c>
      <c r="B37" s="446">
        <v>4.25</v>
      </c>
      <c r="C37" s="2011" t="s">
        <v>2363</v>
      </c>
      <c r="D37" s="308" t="s">
        <v>1788</v>
      </c>
      <c r="E37" s="309" t="s">
        <v>1447</v>
      </c>
      <c r="F37" s="309"/>
      <c r="G37" s="309"/>
      <c r="H37" s="310"/>
      <c r="I37" s="2012" t="s">
        <v>43</v>
      </c>
      <c r="J37" s="2012" t="s">
        <v>43</v>
      </c>
      <c r="K37" s="310"/>
      <c r="L37" s="2013" t="s">
        <v>4620</v>
      </c>
      <c r="M37" s="2013" t="s">
        <v>4621</v>
      </c>
      <c r="N37" s="461">
        <v>425000</v>
      </c>
      <c r="O37" s="462">
        <v>0.05</v>
      </c>
      <c r="P37" s="463">
        <v>0.21</v>
      </c>
      <c r="Q37" s="2014" t="s">
        <v>34</v>
      </c>
      <c r="R37" s="2015" t="s">
        <v>49</v>
      </c>
      <c r="S37" s="2016" t="s">
        <v>4619</v>
      </c>
      <c r="T37" s="476"/>
    </row>
    <row r="38" spans="1:20" s="421" customFormat="1" ht="120.75" customHeight="1">
      <c r="A38" s="444">
        <v>1</v>
      </c>
      <c r="B38" s="443">
        <v>27.91</v>
      </c>
      <c r="C38" s="2001" t="s">
        <v>4622</v>
      </c>
      <c r="D38" s="173" t="s">
        <v>4606</v>
      </c>
      <c r="E38" s="174" t="s">
        <v>1447</v>
      </c>
      <c r="F38" s="174"/>
      <c r="G38" s="174"/>
      <c r="H38" s="175"/>
      <c r="I38" s="1994" t="s">
        <v>43</v>
      </c>
      <c r="J38" s="1993" t="s">
        <v>43</v>
      </c>
      <c r="K38" s="175"/>
      <c r="L38" s="1994" t="s">
        <v>4623</v>
      </c>
      <c r="M38" s="1994" t="s">
        <v>68</v>
      </c>
      <c r="N38" s="464">
        <v>1545800</v>
      </c>
      <c r="O38" s="392" t="s">
        <v>68</v>
      </c>
      <c r="P38" s="258" t="s">
        <v>68</v>
      </c>
      <c r="Q38" s="1995" t="s">
        <v>34</v>
      </c>
      <c r="R38" s="2004" t="s">
        <v>49</v>
      </c>
      <c r="S38" s="2000" t="s">
        <v>4624</v>
      </c>
    </row>
    <row r="39" spans="1:20" s="421" customFormat="1" ht="120.75" customHeight="1">
      <c r="A39" s="444">
        <v>1</v>
      </c>
      <c r="B39" s="182">
        <v>7.51</v>
      </c>
      <c r="C39" s="2001" t="s">
        <v>2388</v>
      </c>
      <c r="D39" s="173" t="s">
        <v>195</v>
      </c>
      <c r="E39" s="174" t="s">
        <v>1447</v>
      </c>
      <c r="F39" s="174"/>
      <c r="G39" s="174"/>
      <c r="H39" s="175"/>
      <c r="I39" s="1993" t="s">
        <v>4625</v>
      </c>
      <c r="J39" s="1993" t="s">
        <v>43</v>
      </c>
      <c r="K39" s="175"/>
      <c r="L39" s="1994" t="s">
        <v>4626</v>
      </c>
      <c r="M39" s="1994" t="s">
        <v>4627</v>
      </c>
      <c r="N39" s="464">
        <v>2253000</v>
      </c>
      <c r="O39" s="392">
        <v>0.03</v>
      </c>
      <c r="P39" s="258">
        <v>0.22</v>
      </c>
      <c r="Q39" s="1995" t="s">
        <v>34</v>
      </c>
      <c r="R39" s="1996" t="s">
        <v>4628</v>
      </c>
      <c r="S39" s="2000" t="s">
        <v>4629</v>
      </c>
    </row>
    <row r="40" spans="1:20" s="421" customFormat="1" ht="120.75" customHeight="1">
      <c r="A40" s="444">
        <v>9</v>
      </c>
      <c r="B40" s="443">
        <v>2.4</v>
      </c>
      <c r="C40" s="2001" t="s">
        <v>2390</v>
      </c>
      <c r="D40" s="173" t="s">
        <v>195</v>
      </c>
      <c r="E40" s="174" t="s">
        <v>1447</v>
      </c>
      <c r="F40" s="174"/>
      <c r="G40" s="174"/>
      <c r="H40" s="175"/>
      <c r="I40" s="1993" t="s">
        <v>75</v>
      </c>
      <c r="J40" s="1993" t="s">
        <v>4630</v>
      </c>
      <c r="K40" s="175"/>
      <c r="L40" s="1994" t="s">
        <v>4631</v>
      </c>
      <c r="M40" s="1994" t="s">
        <v>4632</v>
      </c>
      <c r="N40" s="464">
        <v>480000</v>
      </c>
      <c r="O40" s="392">
        <v>0.03</v>
      </c>
      <c r="P40" s="258">
        <v>7.0000000000000007E-2</v>
      </c>
      <c r="Q40" s="1995" t="s">
        <v>34</v>
      </c>
      <c r="R40" s="2004" t="s">
        <v>49</v>
      </c>
      <c r="S40" s="2000" t="s">
        <v>4633</v>
      </c>
    </row>
    <row r="41" spans="1:20" s="421" customFormat="1" ht="120.75" customHeight="1">
      <c r="A41" s="444">
        <v>10</v>
      </c>
      <c r="B41" s="443">
        <v>1.21</v>
      </c>
      <c r="C41" s="2001" t="s">
        <v>2392</v>
      </c>
      <c r="D41" s="173" t="s">
        <v>195</v>
      </c>
      <c r="E41" s="174" t="s">
        <v>1447</v>
      </c>
      <c r="F41" s="174"/>
      <c r="G41" s="174"/>
      <c r="H41" s="175"/>
      <c r="I41" s="1993" t="s">
        <v>75</v>
      </c>
      <c r="J41" s="1993" t="s">
        <v>4630</v>
      </c>
      <c r="K41" s="175"/>
      <c r="L41" s="1994" t="s">
        <v>4631</v>
      </c>
      <c r="M41" s="1994" t="s">
        <v>4632</v>
      </c>
      <c r="N41" s="464">
        <v>243000</v>
      </c>
      <c r="O41" s="392">
        <v>0.03</v>
      </c>
      <c r="P41" s="258">
        <v>0.03</v>
      </c>
      <c r="Q41" s="1995" t="s">
        <v>34</v>
      </c>
      <c r="R41" s="2004" t="s">
        <v>49</v>
      </c>
      <c r="S41" s="2000" t="s">
        <v>4633</v>
      </c>
    </row>
    <row r="42" spans="1:20" s="421" customFormat="1" ht="120.75" customHeight="1">
      <c r="A42" s="444">
        <v>11</v>
      </c>
      <c r="B42" s="443">
        <v>0.63</v>
      </c>
      <c r="C42" s="2001" t="s">
        <v>2394</v>
      </c>
      <c r="D42" s="173" t="s">
        <v>195</v>
      </c>
      <c r="E42" s="174" t="s">
        <v>1447</v>
      </c>
      <c r="F42" s="174"/>
      <c r="G42" s="174"/>
      <c r="H42" s="175"/>
      <c r="I42" s="1993" t="s">
        <v>75</v>
      </c>
      <c r="J42" s="1993" t="s">
        <v>4630</v>
      </c>
      <c r="K42" s="175"/>
      <c r="L42" s="1994" t="s">
        <v>4631</v>
      </c>
      <c r="M42" s="1994" t="s">
        <v>4632</v>
      </c>
      <c r="N42" s="464">
        <v>127500</v>
      </c>
      <c r="O42" s="392">
        <v>0.03</v>
      </c>
      <c r="P42" s="258">
        <v>0.01</v>
      </c>
      <c r="Q42" s="1995" t="s">
        <v>34</v>
      </c>
      <c r="R42" s="2004" t="s">
        <v>49</v>
      </c>
      <c r="S42" s="2000" t="s">
        <v>4633</v>
      </c>
    </row>
    <row r="43" spans="1:20" s="421" customFormat="1" ht="120.75" customHeight="1">
      <c r="A43" s="444">
        <v>12</v>
      </c>
      <c r="B43" s="443">
        <v>0.3</v>
      </c>
      <c r="C43" s="2001" t="s">
        <v>2396</v>
      </c>
      <c r="D43" s="173" t="s">
        <v>195</v>
      </c>
      <c r="E43" s="174" t="s">
        <v>1447</v>
      </c>
      <c r="F43" s="174"/>
      <c r="G43" s="174"/>
      <c r="H43" s="175"/>
      <c r="I43" s="1993" t="s">
        <v>75</v>
      </c>
      <c r="J43" s="1993" t="s">
        <v>4634</v>
      </c>
      <c r="K43" s="175"/>
      <c r="L43" s="1994" t="s">
        <v>4631</v>
      </c>
      <c r="M43" s="1994" t="s">
        <v>4632</v>
      </c>
      <c r="N43" s="464">
        <v>60000</v>
      </c>
      <c r="O43" s="392">
        <v>0.03</v>
      </c>
      <c r="P43" s="258">
        <v>8.9999999999999993E-3</v>
      </c>
      <c r="Q43" s="1995" t="s">
        <v>34</v>
      </c>
      <c r="R43" s="2004" t="s">
        <v>49</v>
      </c>
      <c r="S43" s="2000" t="s">
        <v>4633</v>
      </c>
    </row>
    <row r="44" spans="1:20" s="420" customFormat="1" ht="144.75" customHeight="1">
      <c r="A44" s="447">
        <v>1</v>
      </c>
      <c r="B44" s="312">
        <v>10</v>
      </c>
      <c r="C44" s="2001" t="s">
        <v>4635</v>
      </c>
      <c r="D44" s="173" t="s">
        <v>195</v>
      </c>
      <c r="E44" s="174" t="s">
        <v>1447</v>
      </c>
      <c r="F44" s="173" t="s">
        <v>4270</v>
      </c>
      <c r="G44" s="173"/>
      <c r="H44" s="313"/>
      <c r="I44" s="2002" t="s">
        <v>75</v>
      </c>
      <c r="J44" s="2002" t="s">
        <v>4636</v>
      </c>
      <c r="K44" s="313"/>
      <c r="L44" s="2003" t="s">
        <v>4637</v>
      </c>
      <c r="M44" s="2003" t="s">
        <v>4638</v>
      </c>
      <c r="N44" s="258">
        <v>2000000</v>
      </c>
      <c r="O44" s="392">
        <v>0.05</v>
      </c>
      <c r="P44" s="258">
        <f>B44*O44</f>
        <v>0.5</v>
      </c>
      <c r="Q44" s="2004" t="s">
        <v>34</v>
      </c>
      <c r="R44" s="1996" t="s">
        <v>4639</v>
      </c>
      <c r="S44" s="2000" t="s">
        <v>4640</v>
      </c>
    </row>
    <row r="45" spans="1:20" s="420" customFormat="1" ht="209.25" customHeight="1">
      <c r="A45" s="447">
        <v>1</v>
      </c>
      <c r="B45" s="445">
        <v>8.4700000000000006</v>
      </c>
      <c r="C45" s="2001" t="s">
        <v>2422</v>
      </c>
      <c r="D45" s="173" t="s">
        <v>195</v>
      </c>
      <c r="E45" s="174" t="s">
        <v>1447</v>
      </c>
      <c r="F45" s="173" t="s">
        <v>4641</v>
      </c>
      <c r="G45" s="173"/>
      <c r="H45" s="313"/>
      <c r="I45" s="2002" t="s">
        <v>4642</v>
      </c>
      <c r="J45" s="2002" t="s">
        <v>4643</v>
      </c>
      <c r="K45" s="313"/>
      <c r="L45" s="2003" t="s">
        <v>4644</v>
      </c>
      <c r="M45" s="2003" t="s">
        <v>4645</v>
      </c>
      <c r="N45" s="258">
        <v>423560</v>
      </c>
      <c r="O45" s="465">
        <v>0.03</v>
      </c>
      <c r="P45" s="258">
        <f>B45*O45</f>
        <v>0.25409999999999999</v>
      </c>
      <c r="Q45" s="2004" t="s">
        <v>34</v>
      </c>
      <c r="R45" s="1996" t="s">
        <v>4646</v>
      </c>
      <c r="S45" s="2000" t="s">
        <v>4647</v>
      </c>
    </row>
    <row r="46" spans="1:20" s="421" customFormat="1" ht="144.75" customHeight="1">
      <c r="A46" s="447">
        <v>3</v>
      </c>
      <c r="B46" s="448">
        <v>45</v>
      </c>
      <c r="C46" s="2001" t="s">
        <v>2424</v>
      </c>
      <c r="D46" s="174" t="s">
        <v>195</v>
      </c>
      <c r="E46" s="174" t="s">
        <v>1447</v>
      </c>
      <c r="F46" s="174" t="s">
        <v>4189</v>
      </c>
      <c r="G46" s="174"/>
      <c r="H46" s="175"/>
      <c r="I46" s="255">
        <v>45369</v>
      </c>
      <c r="J46" s="1993" t="s">
        <v>43</v>
      </c>
      <c r="K46" s="175"/>
      <c r="L46" s="1994" t="s">
        <v>4648</v>
      </c>
      <c r="M46" s="1994" t="s">
        <v>4649</v>
      </c>
      <c r="N46" s="464">
        <v>1000000</v>
      </c>
      <c r="O46" s="392">
        <v>0.05</v>
      </c>
      <c r="P46" s="258">
        <f>B46*O46</f>
        <v>2.25</v>
      </c>
      <c r="Q46" s="1995" t="s">
        <v>34</v>
      </c>
      <c r="R46" s="1999" t="s">
        <v>4650</v>
      </c>
      <c r="S46" s="2000" t="s">
        <v>4651</v>
      </c>
    </row>
    <row r="47" spans="1:20" s="421" customFormat="1" ht="112.5" customHeight="1">
      <c r="A47" s="447">
        <v>8</v>
      </c>
      <c r="B47" s="448">
        <v>45</v>
      </c>
      <c r="C47" s="2001" t="s">
        <v>2424</v>
      </c>
      <c r="D47" s="174" t="s">
        <v>195</v>
      </c>
      <c r="E47" s="174" t="s">
        <v>1447</v>
      </c>
      <c r="F47" s="174" t="s">
        <v>4189</v>
      </c>
      <c r="G47" s="174"/>
      <c r="H47" s="175"/>
      <c r="I47" s="1993" t="s">
        <v>4652</v>
      </c>
      <c r="J47" s="1993" t="s">
        <v>43</v>
      </c>
      <c r="K47" s="175"/>
      <c r="L47" s="1994" t="s">
        <v>4648</v>
      </c>
      <c r="M47" s="1994" t="s">
        <v>4649</v>
      </c>
      <c r="N47" s="464">
        <v>1000000</v>
      </c>
      <c r="O47" s="392">
        <v>0.05</v>
      </c>
      <c r="P47" s="258">
        <f>B47*O47</f>
        <v>2.25</v>
      </c>
      <c r="Q47" s="1995" t="s">
        <v>34</v>
      </c>
      <c r="R47" s="1996" t="s">
        <v>4653</v>
      </c>
      <c r="S47" s="2000" t="s">
        <v>4654</v>
      </c>
    </row>
    <row r="48" spans="1:20" s="420" customFormat="1" ht="141.75" customHeight="1">
      <c r="A48" s="447">
        <v>3</v>
      </c>
      <c r="B48" s="192">
        <v>150</v>
      </c>
      <c r="C48" s="2017" t="s">
        <v>2435</v>
      </c>
      <c r="D48" s="179" t="s">
        <v>4606</v>
      </c>
      <c r="E48" s="179" t="s">
        <v>1447</v>
      </c>
      <c r="F48" s="179" t="s">
        <v>4189</v>
      </c>
      <c r="G48" s="179"/>
      <c r="H48" s="180"/>
      <c r="I48" s="2006" t="s">
        <v>75</v>
      </c>
      <c r="J48" s="2006" t="s">
        <v>4655</v>
      </c>
      <c r="K48" s="180"/>
      <c r="L48" s="2007" t="s">
        <v>4656</v>
      </c>
      <c r="M48" s="2007" t="s">
        <v>4657</v>
      </c>
      <c r="N48" s="466">
        <v>3000000</v>
      </c>
      <c r="O48" s="467">
        <v>0.05</v>
      </c>
      <c r="P48" s="262">
        <f>B48*O48</f>
        <v>7.5</v>
      </c>
      <c r="Q48" s="2008" t="s">
        <v>150</v>
      </c>
      <c r="R48" s="2018" t="s">
        <v>4658</v>
      </c>
      <c r="S48" s="2010" t="s">
        <v>4659</v>
      </c>
    </row>
    <row r="49" spans="1:19" s="420" customFormat="1" ht="214.5" customHeight="1">
      <c r="A49" s="447">
        <v>5</v>
      </c>
      <c r="B49" s="299">
        <v>246.84</v>
      </c>
      <c r="C49" s="2017" t="s">
        <v>4660</v>
      </c>
      <c r="D49" s="184" t="s">
        <v>4606</v>
      </c>
      <c r="E49" s="179" t="s">
        <v>823</v>
      </c>
      <c r="F49" s="184" t="s">
        <v>4189</v>
      </c>
      <c r="G49" s="184"/>
      <c r="H49" s="185"/>
      <c r="I49" s="2019" t="s">
        <v>4661</v>
      </c>
      <c r="J49" s="2019" t="s">
        <v>4662</v>
      </c>
      <c r="K49" s="185"/>
      <c r="L49" s="2020" t="s">
        <v>4663</v>
      </c>
      <c r="M49" s="2020" t="s">
        <v>4664</v>
      </c>
      <c r="N49" s="184" t="s">
        <v>4665</v>
      </c>
      <c r="O49" s="184"/>
      <c r="P49" s="184"/>
      <c r="Q49" s="2009" t="s">
        <v>34</v>
      </c>
      <c r="R49" s="2021" t="s">
        <v>4666</v>
      </c>
      <c r="S49" s="2010" t="s">
        <v>4667</v>
      </c>
    </row>
    <row r="50" spans="1:19" s="420" customFormat="1" ht="219" customHeight="1">
      <c r="A50" s="447">
        <v>17</v>
      </c>
      <c r="B50" s="449">
        <v>217</v>
      </c>
      <c r="C50" s="2017" t="s">
        <v>2429</v>
      </c>
      <c r="D50" s="184" t="s">
        <v>4606</v>
      </c>
      <c r="E50" s="179" t="s">
        <v>823</v>
      </c>
      <c r="F50" s="184" t="s">
        <v>4641</v>
      </c>
      <c r="G50" s="184"/>
      <c r="H50" s="185"/>
      <c r="I50" s="2019" t="s">
        <v>4668</v>
      </c>
      <c r="J50" s="2019" t="s">
        <v>4669</v>
      </c>
      <c r="K50" s="185"/>
      <c r="L50" s="2020" t="s">
        <v>4670</v>
      </c>
      <c r="M50" s="2020" t="s">
        <v>4671</v>
      </c>
      <c r="N50" s="184" t="s">
        <v>4672</v>
      </c>
      <c r="O50" s="184"/>
      <c r="P50" s="184"/>
      <c r="Q50" s="2009" t="s">
        <v>34</v>
      </c>
      <c r="R50" s="2018" t="s">
        <v>4673</v>
      </c>
      <c r="S50" s="2010" t="s">
        <v>4674</v>
      </c>
    </row>
    <row r="51" spans="1:19" s="420" customFormat="1" ht="186.75" customHeight="1">
      <c r="A51" s="447">
        <v>4</v>
      </c>
      <c r="B51" s="306">
        <v>0.5</v>
      </c>
      <c r="C51" s="2017" t="s">
        <v>2427</v>
      </c>
      <c r="D51" s="184" t="s">
        <v>4606</v>
      </c>
      <c r="E51" s="179" t="s">
        <v>823</v>
      </c>
      <c r="F51" s="184" t="s">
        <v>4189</v>
      </c>
      <c r="G51" s="184"/>
      <c r="H51" s="185"/>
      <c r="I51" s="2019" t="s">
        <v>75</v>
      </c>
      <c r="J51" s="2019" t="s">
        <v>4675</v>
      </c>
      <c r="K51" s="185"/>
      <c r="L51" s="2020" t="s">
        <v>4676</v>
      </c>
      <c r="M51" s="2020" t="s">
        <v>4677</v>
      </c>
      <c r="N51" s="184" t="s">
        <v>4678</v>
      </c>
      <c r="O51" s="184"/>
      <c r="P51" s="184"/>
      <c r="Q51" s="2009" t="s">
        <v>34</v>
      </c>
      <c r="R51" s="2021" t="s">
        <v>4679</v>
      </c>
      <c r="S51" s="2010" t="s">
        <v>4680</v>
      </c>
    </row>
    <row r="52" spans="1:19" s="420" customFormat="1" ht="170.25" customHeight="1">
      <c r="A52" s="447">
        <v>19</v>
      </c>
      <c r="B52" s="306">
        <v>788.8</v>
      </c>
      <c r="C52" s="2017" t="s">
        <v>4681</v>
      </c>
      <c r="D52" s="184" t="s">
        <v>1788</v>
      </c>
      <c r="E52" s="184" t="s">
        <v>823</v>
      </c>
      <c r="F52" s="184"/>
      <c r="G52" s="184"/>
      <c r="H52" s="185"/>
      <c r="I52" s="185">
        <v>45453</v>
      </c>
      <c r="J52" s="185">
        <v>45450</v>
      </c>
      <c r="K52" s="185">
        <v>45473</v>
      </c>
      <c r="L52" s="185">
        <v>45474</v>
      </c>
      <c r="M52" s="185">
        <v>45475</v>
      </c>
      <c r="N52" s="184" t="s">
        <v>4682</v>
      </c>
      <c r="O52" s="184"/>
      <c r="P52" s="184"/>
      <c r="Q52" s="2009" t="s">
        <v>83</v>
      </c>
      <c r="R52" s="2021" t="s">
        <v>4683</v>
      </c>
      <c r="S52" s="2008" t="s">
        <v>1481</v>
      </c>
    </row>
    <row r="53" spans="1:19" s="421" customFormat="1" ht="186" customHeight="1">
      <c r="A53" s="447">
        <v>11</v>
      </c>
      <c r="B53" s="450">
        <v>7.16</v>
      </c>
      <c r="C53" s="2022" t="s">
        <v>4684</v>
      </c>
      <c r="D53" s="308" t="s">
        <v>4606</v>
      </c>
      <c r="E53" s="309" t="s">
        <v>1447</v>
      </c>
      <c r="F53" s="309" t="s">
        <v>4641</v>
      </c>
      <c r="G53" s="309"/>
      <c r="H53" s="310"/>
      <c r="I53" s="2012" t="s">
        <v>43</v>
      </c>
      <c r="J53" s="2012" t="s">
        <v>43</v>
      </c>
      <c r="K53" s="310"/>
      <c r="L53" s="2013" t="s">
        <v>4685</v>
      </c>
      <c r="M53" s="2013" t="s">
        <v>4686</v>
      </c>
      <c r="N53" s="309" t="s">
        <v>4687</v>
      </c>
      <c r="O53" s="309"/>
      <c r="P53" s="309"/>
      <c r="Q53" s="2014" t="s">
        <v>34</v>
      </c>
      <c r="R53" s="2015" t="s">
        <v>49</v>
      </c>
      <c r="S53" s="2016" t="s">
        <v>4688</v>
      </c>
    </row>
    <row r="54" spans="1:19" s="420" customFormat="1" ht="182.25" customHeight="1">
      <c r="A54" s="447">
        <v>15</v>
      </c>
      <c r="B54" s="346">
        <v>16.52</v>
      </c>
      <c r="C54" s="2022" t="s">
        <v>4689</v>
      </c>
      <c r="D54" s="308" t="s">
        <v>4606</v>
      </c>
      <c r="E54" s="309" t="s">
        <v>1447</v>
      </c>
      <c r="F54" s="308" t="s">
        <v>4641</v>
      </c>
      <c r="G54" s="308"/>
      <c r="H54" s="321"/>
      <c r="I54" s="2023" t="s">
        <v>4690</v>
      </c>
      <c r="J54" s="2023" t="s">
        <v>43</v>
      </c>
      <c r="K54" s="321"/>
      <c r="L54" s="2024" t="s">
        <v>4691</v>
      </c>
      <c r="M54" s="2024" t="s">
        <v>4692</v>
      </c>
      <c r="N54" s="308" t="s">
        <v>4693</v>
      </c>
      <c r="O54" s="308"/>
      <c r="P54" s="308"/>
      <c r="Q54" s="2015" t="s">
        <v>4694</v>
      </c>
      <c r="R54" s="2015" t="s">
        <v>49</v>
      </c>
      <c r="S54" s="2016" t="s">
        <v>4695</v>
      </c>
    </row>
    <row r="55" spans="1:19" s="420" customFormat="1" ht="178.5" customHeight="1">
      <c r="A55" s="447">
        <v>2</v>
      </c>
      <c r="B55" s="306">
        <v>0.4</v>
      </c>
      <c r="C55" s="2017" t="s">
        <v>2460</v>
      </c>
      <c r="D55" s="184" t="s">
        <v>4696</v>
      </c>
      <c r="E55" s="179" t="s">
        <v>1447</v>
      </c>
      <c r="F55" s="184" t="s">
        <v>4295</v>
      </c>
      <c r="G55" s="184"/>
      <c r="H55" s="185"/>
      <c r="I55" s="2019" t="s">
        <v>4697</v>
      </c>
      <c r="J55" s="2019" t="s">
        <v>4698</v>
      </c>
      <c r="K55" s="185"/>
      <c r="L55" s="2020" t="s">
        <v>4699</v>
      </c>
      <c r="M55" s="2020" t="s">
        <v>4700</v>
      </c>
      <c r="N55" s="468">
        <v>80000</v>
      </c>
      <c r="O55" s="468"/>
      <c r="P55" s="468"/>
      <c r="Q55" s="2009" t="s">
        <v>4701</v>
      </c>
      <c r="R55" s="2009" t="s">
        <v>49</v>
      </c>
      <c r="S55" s="2010" t="s">
        <v>4702</v>
      </c>
    </row>
    <row r="56" spans="1:19" s="420" customFormat="1" ht="219" customHeight="1">
      <c r="A56" s="447">
        <v>10</v>
      </c>
      <c r="B56" s="346">
        <v>6</v>
      </c>
      <c r="C56" s="2022" t="s">
        <v>2458</v>
      </c>
      <c r="D56" s="308" t="s">
        <v>4606</v>
      </c>
      <c r="E56" s="309" t="s">
        <v>1447</v>
      </c>
      <c r="F56" s="308" t="s">
        <v>4189</v>
      </c>
      <c r="G56" s="308"/>
      <c r="H56" s="321"/>
      <c r="I56" s="2023" t="s">
        <v>43</v>
      </c>
      <c r="J56" s="2023" t="s">
        <v>43</v>
      </c>
      <c r="K56" s="321"/>
      <c r="L56" s="2024" t="s">
        <v>4703</v>
      </c>
      <c r="M56" s="2024" t="s">
        <v>4704</v>
      </c>
      <c r="N56" s="308" t="s">
        <v>4705</v>
      </c>
      <c r="O56" s="308"/>
      <c r="P56" s="308"/>
      <c r="Q56" s="2015" t="s">
        <v>34</v>
      </c>
      <c r="R56" s="2015" t="s">
        <v>49</v>
      </c>
      <c r="S56" s="2016" t="s">
        <v>4706</v>
      </c>
    </row>
    <row r="57" spans="1:19" s="422" customFormat="1" ht="252" customHeight="1">
      <c r="A57" s="447">
        <v>1</v>
      </c>
      <c r="B57" s="451">
        <v>37.5</v>
      </c>
      <c r="C57" s="2022" t="s">
        <v>2463</v>
      </c>
      <c r="D57" s="309" t="s">
        <v>4707</v>
      </c>
      <c r="E57" s="309" t="s">
        <v>1447</v>
      </c>
      <c r="F57" s="309" t="s">
        <v>4189</v>
      </c>
      <c r="G57" s="399"/>
      <c r="H57" s="310"/>
      <c r="I57" s="2014" t="s">
        <v>4708</v>
      </c>
      <c r="J57" s="2013" t="s">
        <v>4709</v>
      </c>
      <c r="K57" s="310"/>
      <c r="L57" s="2013" t="s">
        <v>4710</v>
      </c>
      <c r="M57" s="2013" t="s">
        <v>68</v>
      </c>
      <c r="N57" s="309" t="s">
        <v>4711</v>
      </c>
      <c r="O57" s="309"/>
      <c r="P57" s="309"/>
      <c r="Q57" s="2014" t="s">
        <v>4712</v>
      </c>
      <c r="R57" s="2025" t="s">
        <v>4713</v>
      </c>
      <c r="S57" s="2016" t="s">
        <v>4714</v>
      </c>
    </row>
    <row r="58" spans="1:19" s="420" customFormat="1" ht="215.25" customHeight="1">
      <c r="A58" s="447">
        <v>7</v>
      </c>
      <c r="B58" s="299">
        <v>12.04</v>
      </c>
      <c r="C58" s="2017" t="s">
        <v>2464</v>
      </c>
      <c r="D58" s="184" t="s">
        <v>195</v>
      </c>
      <c r="E58" s="179" t="s">
        <v>823</v>
      </c>
      <c r="F58" s="184" t="s">
        <v>4189</v>
      </c>
      <c r="G58" s="184"/>
      <c r="H58" s="185"/>
      <c r="I58" s="2019" t="s">
        <v>4715</v>
      </c>
      <c r="J58" s="2019" t="s">
        <v>4716</v>
      </c>
      <c r="K58" s="185"/>
      <c r="L58" s="2020" t="s">
        <v>4717</v>
      </c>
      <c r="M58" s="2020" t="s">
        <v>4718</v>
      </c>
      <c r="N58" s="184" t="s">
        <v>4719</v>
      </c>
      <c r="O58" s="184"/>
      <c r="P58" s="184"/>
      <c r="Q58" s="2009" t="s">
        <v>34</v>
      </c>
      <c r="R58" s="2018" t="s">
        <v>4720</v>
      </c>
      <c r="S58" s="2010" t="s">
        <v>4721</v>
      </c>
    </row>
    <row r="59" spans="1:19" s="420" customFormat="1" ht="222" customHeight="1">
      <c r="A59" s="447">
        <v>3</v>
      </c>
      <c r="B59" s="306">
        <v>2.5</v>
      </c>
      <c r="C59" s="2017" t="s">
        <v>2472</v>
      </c>
      <c r="D59" s="179" t="s">
        <v>4696</v>
      </c>
      <c r="E59" s="179" t="s">
        <v>823</v>
      </c>
      <c r="F59" s="184" t="s">
        <v>4641</v>
      </c>
      <c r="G59" s="184"/>
      <c r="H59" s="185"/>
      <c r="I59" s="2019" t="s">
        <v>4722</v>
      </c>
      <c r="J59" s="2019" t="s">
        <v>4723</v>
      </c>
      <c r="K59" s="185"/>
      <c r="L59" s="2020" t="s">
        <v>4724</v>
      </c>
      <c r="M59" s="2020" t="s">
        <v>4725</v>
      </c>
      <c r="N59" s="184" t="s">
        <v>4726</v>
      </c>
      <c r="O59" s="184"/>
      <c r="P59" s="184"/>
      <c r="Q59" s="2009" t="s">
        <v>34</v>
      </c>
      <c r="R59" s="2018" t="s">
        <v>4727</v>
      </c>
      <c r="S59" s="2010" t="s">
        <v>4728</v>
      </c>
    </row>
    <row r="60" spans="1:19" s="420" customFormat="1" ht="186.75" customHeight="1">
      <c r="A60" s="447">
        <v>10</v>
      </c>
      <c r="B60" s="299">
        <v>25.97</v>
      </c>
      <c r="C60" s="2017" t="s">
        <v>2474</v>
      </c>
      <c r="D60" s="184" t="s">
        <v>1788</v>
      </c>
      <c r="E60" s="179"/>
      <c r="F60" s="184"/>
      <c r="G60" s="184"/>
      <c r="H60" s="185"/>
      <c r="I60" s="2019" t="s">
        <v>4643</v>
      </c>
      <c r="J60" s="2019" t="s">
        <v>4729</v>
      </c>
      <c r="K60" s="185"/>
      <c r="L60" s="2020" t="s">
        <v>4730</v>
      </c>
      <c r="M60" s="2020" t="s">
        <v>4731</v>
      </c>
      <c r="N60" s="184" t="s">
        <v>4732</v>
      </c>
      <c r="O60" s="184"/>
      <c r="P60" s="184"/>
      <c r="Q60" s="2009" t="s">
        <v>34</v>
      </c>
      <c r="R60" s="2021" t="s">
        <v>4733</v>
      </c>
      <c r="S60" s="2010" t="s">
        <v>4734</v>
      </c>
    </row>
    <row r="61" spans="1:19" s="420" customFormat="1" ht="144" customHeight="1">
      <c r="A61" s="447">
        <v>5</v>
      </c>
      <c r="B61" s="306">
        <v>0.95</v>
      </c>
      <c r="C61" s="2017" t="s">
        <v>2478</v>
      </c>
      <c r="D61" s="179" t="s">
        <v>4606</v>
      </c>
      <c r="E61" s="179" t="s">
        <v>1447</v>
      </c>
      <c r="F61" s="184" t="s">
        <v>4641</v>
      </c>
      <c r="G61" s="184"/>
      <c r="H61" s="185"/>
      <c r="I61" s="2019" t="s">
        <v>43</v>
      </c>
      <c r="J61" s="2019" t="s">
        <v>43</v>
      </c>
      <c r="K61" s="185"/>
      <c r="L61" s="2020" t="s">
        <v>4735</v>
      </c>
      <c r="M61" s="2020" t="s">
        <v>4736</v>
      </c>
      <c r="N61" s="184" t="s">
        <v>4678</v>
      </c>
      <c r="O61" s="184"/>
      <c r="P61" s="184"/>
      <c r="Q61" s="2009" t="s">
        <v>34</v>
      </c>
      <c r="R61" s="2009" t="s">
        <v>49</v>
      </c>
      <c r="S61" s="2010" t="s">
        <v>4737</v>
      </c>
    </row>
    <row r="62" spans="1:19" s="420" customFormat="1" ht="182.25" customHeight="1">
      <c r="A62" s="447">
        <v>14</v>
      </c>
      <c r="B62" s="452">
        <v>1.5</v>
      </c>
      <c r="C62" s="2022" t="s">
        <v>2480</v>
      </c>
      <c r="D62" s="308" t="s">
        <v>817</v>
      </c>
      <c r="E62" s="309" t="s">
        <v>1447</v>
      </c>
      <c r="F62" s="308" t="s">
        <v>4641</v>
      </c>
      <c r="G62" s="308"/>
      <c r="H62" s="321"/>
      <c r="I62" s="2023" t="s">
        <v>4738</v>
      </c>
      <c r="J62" s="2023" t="s">
        <v>4739</v>
      </c>
      <c r="K62" s="321"/>
      <c r="L62" s="2024" t="s">
        <v>4740</v>
      </c>
      <c r="M62" s="2024" t="s">
        <v>4741</v>
      </c>
      <c r="N62" s="308" t="s">
        <v>4280</v>
      </c>
      <c r="O62" s="308"/>
      <c r="P62" s="308"/>
      <c r="Q62" s="2015" t="s">
        <v>34</v>
      </c>
      <c r="R62" s="2026" t="s">
        <v>4742</v>
      </c>
      <c r="S62" s="2016" t="s">
        <v>4743</v>
      </c>
    </row>
    <row r="63" spans="1:19" s="420" customFormat="1" ht="184.5" customHeight="1">
      <c r="A63" s="447">
        <v>4</v>
      </c>
      <c r="B63" s="452">
        <v>50</v>
      </c>
      <c r="C63" s="2022" t="s">
        <v>2476</v>
      </c>
      <c r="D63" s="308" t="s">
        <v>4606</v>
      </c>
      <c r="E63" s="309" t="s">
        <v>1447</v>
      </c>
      <c r="F63" s="308" t="s">
        <v>4189</v>
      </c>
      <c r="G63" s="308"/>
      <c r="H63" s="321"/>
      <c r="I63" s="2023" t="s">
        <v>4744</v>
      </c>
      <c r="J63" s="2023" t="s">
        <v>4745</v>
      </c>
      <c r="K63" s="321"/>
      <c r="L63" s="2024" t="s">
        <v>4746</v>
      </c>
      <c r="M63" s="2024" t="s">
        <v>4747</v>
      </c>
      <c r="N63" s="308" t="s">
        <v>4748</v>
      </c>
      <c r="O63" s="308"/>
      <c r="P63" s="308"/>
      <c r="Q63" s="2015" t="s">
        <v>34</v>
      </c>
      <c r="R63" s="2026" t="s">
        <v>4749</v>
      </c>
      <c r="S63" s="2016" t="s">
        <v>4750</v>
      </c>
    </row>
    <row r="64" spans="1:19" s="420" customFormat="1" ht="219" customHeight="1">
      <c r="A64" s="447">
        <v>7</v>
      </c>
      <c r="B64" s="306">
        <v>35</v>
      </c>
      <c r="C64" s="2017" t="s">
        <v>2486</v>
      </c>
      <c r="D64" s="184" t="s">
        <v>4606</v>
      </c>
      <c r="E64" s="179" t="s">
        <v>1447</v>
      </c>
      <c r="F64" s="184" t="s">
        <v>4189</v>
      </c>
      <c r="G64" s="184"/>
      <c r="H64" s="185"/>
      <c r="I64" s="2019" t="s">
        <v>4751</v>
      </c>
      <c r="J64" s="2019" t="s">
        <v>4752</v>
      </c>
      <c r="K64" s="185"/>
      <c r="L64" s="2020" t="s">
        <v>4739</v>
      </c>
      <c r="M64" s="2020" t="s">
        <v>4753</v>
      </c>
      <c r="N64" s="184" t="s">
        <v>4754</v>
      </c>
      <c r="O64" s="184"/>
      <c r="P64" s="184"/>
      <c r="Q64" s="2009" t="s">
        <v>34</v>
      </c>
      <c r="R64" s="2021" t="s">
        <v>4755</v>
      </c>
      <c r="S64" s="2010" t="s">
        <v>4756</v>
      </c>
    </row>
    <row r="65" spans="1:19" s="420" customFormat="1" ht="183.75" customHeight="1">
      <c r="A65" s="447">
        <v>11</v>
      </c>
      <c r="B65" s="299">
        <v>22.6</v>
      </c>
      <c r="C65" s="2017" t="s">
        <v>2488</v>
      </c>
      <c r="D65" s="179" t="s">
        <v>4606</v>
      </c>
      <c r="E65" s="179" t="s">
        <v>1447</v>
      </c>
      <c r="F65" s="184" t="s">
        <v>4641</v>
      </c>
      <c r="G65" s="184"/>
      <c r="H65" s="185"/>
      <c r="I65" s="2019" t="s">
        <v>4757</v>
      </c>
      <c r="J65" s="2019" t="s">
        <v>4758</v>
      </c>
      <c r="K65" s="185"/>
      <c r="L65" s="2020" t="s">
        <v>4759</v>
      </c>
      <c r="M65" s="2020" t="s">
        <v>4760</v>
      </c>
      <c r="N65" s="184" t="s">
        <v>4761</v>
      </c>
      <c r="O65" s="184"/>
      <c r="P65" s="184"/>
      <c r="Q65" s="2009" t="s">
        <v>150</v>
      </c>
      <c r="R65" s="2009" t="s">
        <v>49</v>
      </c>
      <c r="S65" s="2010" t="s">
        <v>4762</v>
      </c>
    </row>
    <row r="66" spans="1:19" s="420" customFormat="1" ht="147" customHeight="1">
      <c r="A66" s="447">
        <v>6</v>
      </c>
      <c r="B66" s="328">
        <v>25</v>
      </c>
      <c r="C66" s="2022" t="s">
        <v>2493</v>
      </c>
      <c r="D66" s="308" t="s">
        <v>4606</v>
      </c>
      <c r="E66" s="309" t="s">
        <v>1447</v>
      </c>
      <c r="F66" s="308"/>
      <c r="G66" s="308"/>
      <c r="H66" s="321"/>
      <c r="I66" s="2023" t="s">
        <v>4763</v>
      </c>
      <c r="J66" s="2023" t="s">
        <v>4764</v>
      </c>
      <c r="K66" s="2023" t="s">
        <v>4765</v>
      </c>
      <c r="L66" s="2023" t="s">
        <v>4766</v>
      </c>
      <c r="M66" s="2024" t="s">
        <v>68</v>
      </c>
      <c r="N66" s="308" t="s">
        <v>4767</v>
      </c>
      <c r="O66" s="308"/>
      <c r="P66" s="308"/>
      <c r="Q66" s="2015" t="s">
        <v>68</v>
      </c>
      <c r="R66" s="2015" t="s">
        <v>49</v>
      </c>
      <c r="S66" s="2016" t="s">
        <v>4768</v>
      </c>
    </row>
    <row r="67" spans="1:19" s="420" customFormat="1" ht="181.5" customHeight="1">
      <c r="A67" s="447">
        <v>4</v>
      </c>
      <c r="B67" s="346">
        <v>6.47</v>
      </c>
      <c r="C67" s="2022" t="s">
        <v>2507</v>
      </c>
      <c r="D67" s="308" t="s">
        <v>4606</v>
      </c>
      <c r="E67" s="309" t="s">
        <v>1447</v>
      </c>
      <c r="F67" s="308"/>
      <c r="G67" s="308"/>
      <c r="H67" s="321"/>
      <c r="I67" s="2023" t="s">
        <v>4769</v>
      </c>
      <c r="J67" s="2023" t="s">
        <v>4770</v>
      </c>
      <c r="K67" s="321"/>
      <c r="L67" s="2024" t="s">
        <v>4771</v>
      </c>
      <c r="M67" s="2024" t="s">
        <v>4772</v>
      </c>
      <c r="N67" s="308" t="s">
        <v>4773</v>
      </c>
      <c r="O67" s="308"/>
      <c r="P67" s="308"/>
      <c r="Q67" s="2015" t="s">
        <v>34</v>
      </c>
      <c r="R67" s="2026" t="s">
        <v>4774</v>
      </c>
      <c r="S67" s="2016" t="s">
        <v>4775</v>
      </c>
    </row>
    <row r="68" spans="1:19" s="423" customFormat="1" ht="229.5" customHeight="1">
      <c r="A68" s="447">
        <v>9</v>
      </c>
      <c r="B68" s="477">
        <v>213.09</v>
      </c>
      <c r="C68" s="2017" t="s">
        <v>2501</v>
      </c>
      <c r="D68" s="184" t="s">
        <v>4606</v>
      </c>
      <c r="E68" s="179" t="s">
        <v>823</v>
      </c>
      <c r="F68" s="184" t="s">
        <v>4641</v>
      </c>
      <c r="G68" s="179"/>
      <c r="H68" s="180"/>
      <c r="I68" s="2027" t="s">
        <v>4776</v>
      </c>
      <c r="J68" s="2028" t="s">
        <v>4777</v>
      </c>
      <c r="K68" s="180"/>
      <c r="L68" s="2007" t="s">
        <v>4778</v>
      </c>
      <c r="M68" s="2007" t="s">
        <v>4779</v>
      </c>
      <c r="N68" s="179" t="s">
        <v>4780</v>
      </c>
      <c r="O68" s="179"/>
      <c r="P68" s="179"/>
      <c r="Q68" s="2008" t="s">
        <v>34</v>
      </c>
      <c r="R68" s="2029" t="s">
        <v>4781</v>
      </c>
      <c r="S68" s="2010" t="s">
        <v>4782</v>
      </c>
    </row>
    <row r="69" spans="1:19" s="423" customFormat="1" ht="216.75" customHeight="1">
      <c r="A69" s="447">
        <v>10</v>
      </c>
      <c r="B69" s="477">
        <v>310</v>
      </c>
      <c r="C69" s="2017" t="s">
        <v>2503</v>
      </c>
      <c r="D69" s="184" t="s">
        <v>4606</v>
      </c>
      <c r="E69" s="179" t="s">
        <v>823</v>
      </c>
      <c r="F69" s="184" t="s">
        <v>4641</v>
      </c>
      <c r="G69" s="179"/>
      <c r="H69" s="180"/>
      <c r="I69" s="2027" t="s">
        <v>4776</v>
      </c>
      <c r="J69" s="2028" t="s">
        <v>4783</v>
      </c>
      <c r="K69" s="180"/>
      <c r="L69" s="2007" t="s">
        <v>4778</v>
      </c>
      <c r="M69" s="2007" t="s">
        <v>4784</v>
      </c>
      <c r="N69" s="179" t="s">
        <v>4785</v>
      </c>
      <c r="O69" s="179"/>
      <c r="P69" s="179"/>
      <c r="Q69" s="2008" t="s">
        <v>34</v>
      </c>
      <c r="R69" s="2021" t="s">
        <v>4786</v>
      </c>
      <c r="S69" s="2010" t="s">
        <v>4782</v>
      </c>
    </row>
    <row r="70" spans="1:19" s="423" customFormat="1" ht="216.75" customHeight="1">
      <c r="A70" s="447">
        <v>11</v>
      </c>
      <c r="B70" s="477">
        <v>285</v>
      </c>
      <c r="C70" s="2017" t="s">
        <v>2505</v>
      </c>
      <c r="D70" s="184" t="s">
        <v>4606</v>
      </c>
      <c r="E70" s="179" t="s">
        <v>823</v>
      </c>
      <c r="F70" s="184" t="s">
        <v>4641</v>
      </c>
      <c r="G70" s="179"/>
      <c r="H70" s="180"/>
      <c r="I70" s="2027" t="s">
        <v>4776</v>
      </c>
      <c r="J70" s="2028" t="s">
        <v>4787</v>
      </c>
      <c r="K70" s="180"/>
      <c r="L70" s="2007" t="s">
        <v>4778</v>
      </c>
      <c r="M70" s="2007" t="s">
        <v>4788</v>
      </c>
      <c r="N70" s="179" t="s">
        <v>4785</v>
      </c>
      <c r="O70" s="179"/>
      <c r="P70" s="179"/>
      <c r="Q70" s="2008" t="s">
        <v>34</v>
      </c>
      <c r="R70" s="2021" t="s">
        <v>4789</v>
      </c>
      <c r="S70" s="2010" t="s">
        <v>4782</v>
      </c>
    </row>
    <row r="71" spans="1:19" s="422" customFormat="1" ht="143.25" customHeight="1">
      <c r="A71" s="447">
        <v>2</v>
      </c>
      <c r="B71" s="478">
        <v>2.5</v>
      </c>
      <c r="C71" s="2017" t="s">
        <v>4790</v>
      </c>
      <c r="D71" s="184" t="s">
        <v>1794</v>
      </c>
      <c r="E71" s="179" t="s">
        <v>4791</v>
      </c>
      <c r="F71" s="179" t="s">
        <v>4641</v>
      </c>
      <c r="G71" s="283"/>
      <c r="H71" s="180"/>
      <c r="I71" s="2028" t="s">
        <v>4792</v>
      </c>
      <c r="J71" s="2007" t="s">
        <v>4793</v>
      </c>
      <c r="K71" s="180"/>
      <c r="L71" s="2007" t="s">
        <v>4794</v>
      </c>
      <c r="M71" s="2007" t="s">
        <v>4795</v>
      </c>
      <c r="N71" s="518" t="s">
        <v>4726</v>
      </c>
      <c r="O71" s="518"/>
      <c r="P71" s="518"/>
      <c r="Q71" s="2008" t="s">
        <v>34</v>
      </c>
      <c r="R71" s="2030" t="s">
        <v>4796</v>
      </c>
      <c r="S71" s="2031" t="s">
        <v>4797</v>
      </c>
    </row>
    <row r="72" spans="1:19" s="423" customFormat="1" ht="143.25" customHeight="1">
      <c r="A72" s="447">
        <v>6</v>
      </c>
      <c r="B72" s="2032" t="s">
        <v>4798</v>
      </c>
      <c r="C72" s="2017" t="s">
        <v>4799</v>
      </c>
      <c r="D72" s="184" t="s">
        <v>1794</v>
      </c>
      <c r="E72" s="179" t="s">
        <v>4791</v>
      </c>
      <c r="F72" s="179" t="s">
        <v>4641</v>
      </c>
      <c r="G72" s="179"/>
      <c r="H72" s="180">
        <v>45294</v>
      </c>
      <c r="I72" s="2028" t="s">
        <v>4800</v>
      </c>
      <c r="J72" s="2028" t="s">
        <v>4801</v>
      </c>
      <c r="K72" s="2007" t="s">
        <v>4802</v>
      </c>
      <c r="L72" s="2007" t="s">
        <v>4803</v>
      </c>
      <c r="M72" s="2007" t="s">
        <v>4804</v>
      </c>
      <c r="N72" s="179" t="s">
        <v>4726</v>
      </c>
      <c r="O72" s="179"/>
      <c r="P72" s="179"/>
      <c r="Q72" s="2008" t="s">
        <v>34</v>
      </c>
      <c r="R72" s="2010" t="s">
        <v>4805</v>
      </c>
      <c r="S72" s="2031" t="s">
        <v>4797</v>
      </c>
    </row>
    <row r="73" spans="1:19" s="422" customFormat="1" ht="215.25" customHeight="1">
      <c r="A73" s="447">
        <v>8</v>
      </c>
      <c r="B73" s="478">
        <v>2.5</v>
      </c>
      <c r="C73" s="2017" t="s">
        <v>4806</v>
      </c>
      <c r="D73" s="184" t="s">
        <v>1794</v>
      </c>
      <c r="E73" s="179" t="s">
        <v>4791</v>
      </c>
      <c r="F73" s="179" t="s">
        <v>4641</v>
      </c>
      <c r="G73" s="283"/>
      <c r="H73" s="180"/>
      <c r="I73" s="2028" t="s">
        <v>4807</v>
      </c>
      <c r="J73" s="2007" t="s">
        <v>4808</v>
      </c>
      <c r="K73" s="180"/>
      <c r="L73" s="2007" t="s">
        <v>4809</v>
      </c>
      <c r="M73" s="2007" t="s">
        <v>4810</v>
      </c>
      <c r="N73" s="179" t="s">
        <v>4726</v>
      </c>
      <c r="O73" s="179"/>
      <c r="P73" s="179"/>
      <c r="Q73" s="2008" t="s">
        <v>34</v>
      </c>
      <c r="R73" s="2033" t="s">
        <v>4811</v>
      </c>
      <c r="S73" s="2010" t="s">
        <v>4812</v>
      </c>
    </row>
    <row r="74" spans="1:19" s="423" customFormat="1" ht="197.25" customHeight="1">
      <c r="A74" s="447">
        <v>9</v>
      </c>
      <c r="B74" s="2032" t="s">
        <v>4798</v>
      </c>
      <c r="C74" s="2017" t="s">
        <v>4813</v>
      </c>
      <c r="D74" s="184" t="s">
        <v>1794</v>
      </c>
      <c r="E74" s="179" t="s">
        <v>4791</v>
      </c>
      <c r="F74" s="179" t="s">
        <v>4641</v>
      </c>
      <c r="G74" s="179"/>
      <c r="H74" s="180"/>
      <c r="I74" s="2028" t="s">
        <v>4814</v>
      </c>
      <c r="J74" s="2028" t="s">
        <v>4815</v>
      </c>
      <c r="K74" s="180"/>
      <c r="L74" s="2007" t="s">
        <v>4810</v>
      </c>
      <c r="M74" s="2007" t="s">
        <v>4816</v>
      </c>
      <c r="N74" s="179" t="s">
        <v>4726</v>
      </c>
      <c r="O74" s="179"/>
      <c r="P74" s="179"/>
      <c r="Q74" s="2008" t="s">
        <v>34</v>
      </c>
      <c r="R74" s="2029" t="s">
        <v>4817</v>
      </c>
      <c r="S74" s="2034" t="s">
        <v>4818</v>
      </c>
    </row>
    <row r="75" spans="1:19" s="420" customFormat="1" ht="187.5" customHeight="1">
      <c r="A75" s="447">
        <v>15</v>
      </c>
      <c r="B75" s="299">
        <v>2.4300000000000002</v>
      </c>
      <c r="C75" s="2017" t="s">
        <v>2517</v>
      </c>
      <c r="D75" s="184" t="s">
        <v>4819</v>
      </c>
      <c r="E75" s="179" t="s">
        <v>4820</v>
      </c>
      <c r="F75" s="184" t="s">
        <v>4641</v>
      </c>
      <c r="G75" s="184"/>
      <c r="H75" s="185"/>
      <c r="I75" s="2019" t="s">
        <v>4821</v>
      </c>
      <c r="J75" s="2019" t="s">
        <v>4822</v>
      </c>
      <c r="K75" s="185"/>
      <c r="L75" s="2020" t="s">
        <v>4823</v>
      </c>
      <c r="M75" s="2020" t="s">
        <v>4824</v>
      </c>
      <c r="N75" s="184" t="s">
        <v>4825</v>
      </c>
      <c r="O75" s="184"/>
      <c r="P75" s="184"/>
      <c r="Q75" s="2009" t="s">
        <v>34</v>
      </c>
      <c r="R75" s="2009" t="s">
        <v>49</v>
      </c>
      <c r="S75" s="2010" t="s">
        <v>4826</v>
      </c>
    </row>
    <row r="76" spans="1:19" s="422" customFormat="1" ht="156" customHeight="1">
      <c r="A76" s="447">
        <v>6</v>
      </c>
      <c r="B76" s="478">
        <v>5</v>
      </c>
      <c r="C76" s="2017" t="s">
        <v>2519</v>
      </c>
      <c r="D76" s="179" t="s">
        <v>1788</v>
      </c>
      <c r="E76" s="179" t="s">
        <v>1447</v>
      </c>
      <c r="F76" s="179"/>
      <c r="G76" s="283"/>
      <c r="H76" s="180"/>
      <c r="I76" s="2028" t="s">
        <v>4827</v>
      </c>
      <c r="J76" s="2007" t="s">
        <v>4828</v>
      </c>
      <c r="K76" s="180"/>
      <c r="L76" s="2007" t="s">
        <v>4829</v>
      </c>
      <c r="M76" s="2007" t="s">
        <v>4830</v>
      </c>
      <c r="N76" s="518" t="s">
        <v>4831</v>
      </c>
      <c r="O76" s="518"/>
      <c r="P76" s="518"/>
      <c r="Q76" s="2008" t="s">
        <v>34</v>
      </c>
      <c r="R76" s="2009" t="s">
        <v>49</v>
      </c>
      <c r="S76" s="2010" t="s">
        <v>4832</v>
      </c>
    </row>
    <row r="77" spans="1:19" s="420" customFormat="1" ht="183.75" customHeight="1">
      <c r="A77" s="447">
        <v>9</v>
      </c>
      <c r="B77" s="299">
        <v>0.45</v>
      </c>
      <c r="C77" s="2035" t="s">
        <v>2521</v>
      </c>
      <c r="D77" s="184" t="s">
        <v>4833</v>
      </c>
      <c r="E77" s="179" t="s">
        <v>1447</v>
      </c>
      <c r="F77" s="184"/>
      <c r="G77" s="184"/>
      <c r="H77" s="185"/>
      <c r="I77" s="2019" t="s">
        <v>43</v>
      </c>
      <c r="J77" s="2019" t="s">
        <v>43</v>
      </c>
      <c r="K77" s="185"/>
      <c r="L77" s="2020" t="s">
        <v>4834</v>
      </c>
      <c r="M77" s="2020" t="s">
        <v>4835</v>
      </c>
      <c r="N77" s="468">
        <v>50000</v>
      </c>
      <c r="O77" s="468"/>
      <c r="P77" s="468"/>
      <c r="Q77" s="2009" t="s">
        <v>34</v>
      </c>
      <c r="R77" s="2018" t="s">
        <v>4836</v>
      </c>
      <c r="S77" s="2010" t="s">
        <v>4837</v>
      </c>
    </row>
    <row r="78" spans="1:19" s="424" customFormat="1" ht="115.5" customHeight="1">
      <c r="A78" s="479">
        <v>7</v>
      </c>
      <c r="B78" s="480">
        <v>10</v>
      </c>
      <c r="C78" s="2035" t="s">
        <v>2531</v>
      </c>
      <c r="D78" s="481" t="s">
        <v>1788</v>
      </c>
      <c r="E78" s="481"/>
      <c r="F78" s="481"/>
      <c r="G78" s="482"/>
      <c r="H78" s="483"/>
      <c r="I78" s="2036" t="s">
        <v>43</v>
      </c>
      <c r="J78" s="2036" t="s">
        <v>43</v>
      </c>
      <c r="K78" s="483"/>
      <c r="L78" s="2037" t="s">
        <v>4838</v>
      </c>
      <c r="M78" s="2037" t="s">
        <v>4839</v>
      </c>
      <c r="N78" s="481" t="s">
        <v>4840</v>
      </c>
      <c r="O78" s="481"/>
      <c r="P78" s="481"/>
      <c r="Q78" s="482"/>
      <c r="R78" s="2038" t="s">
        <v>49</v>
      </c>
      <c r="S78" s="2039" t="s">
        <v>1481</v>
      </c>
    </row>
    <row r="79" spans="1:19" s="423" customFormat="1" ht="169.5" customHeight="1">
      <c r="A79" s="447">
        <v>2</v>
      </c>
      <c r="B79" s="349">
        <v>53</v>
      </c>
      <c r="C79" s="2022" t="s">
        <v>4841</v>
      </c>
      <c r="D79" s="308" t="s">
        <v>4842</v>
      </c>
      <c r="E79" s="309" t="s">
        <v>1447</v>
      </c>
      <c r="F79" s="308" t="s">
        <v>4641</v>
      </c>
      <c r="G79" s="308"/>
      <c r="H79" s="321"/>
      <c r="I79" s="2040" t="s">
        <v>43</v>
      </c>
      <c r="J79" s="2040" t="s">
        <v>43</v>
      </c>
      <c r="K79" s="321"/>
      <c r="L79" s="2024" t="s">
        <v>4843</v>
      </c>
      <c r="M79" s="2024" t="s">
        <v>4844</v>
      </c>
      <c r="N79" s="308" t="s">
        <v>4845</v>
      </c>
      <c r="O79" s="308"/>
      <c r="P79" s="308"/>
      <c r="Q79" s="2015" t="s">
        <v>4846</v>
      </c>
      <c r="R79" s="2041" t="s">
        <v>4847</v>
      </c>
      <c r="S79" s="2042" t="s">
        <v>4848</v>
      </c>
    </row>
    <row r="80" spans="1:19" s="420" customFormat="1" ht="177.75" customHeight="1">
      <c r="A80" s="447">
        <v>12</v>
      </c>
      <c r="B80" s="306">
        <v>0.5</v>
      </c>
      <c r="C80" s="2017" t="s">
        <v>2537</v>
      </c>
      <c r="D80" s="184" t="s">
        <v>1788</v>
      </c>
      <c r="E80" s="179"/>
      <c r="F80" s="184"/>
      <c r="G80" s="184"/>
      <c r="H80" s="185"/>
      <c r="I80" s="2019" t="s">
        <v>4849</v>
      </c>
      <c r="J80" s="2043" t="s">
        <v>43</v>
      </c>
      <c r="K80" s="185"/>
      <c r="L80" s="2020" t="s">
        <v>4850</v>
      </c>
      <c r="M80" s="2020" t="s">
        <v>4851</v>
      </c>
      <c r="N80" s="184" t="s">
        <v>4678</v>
      </c>
      <c r="O80" s="184"/>
      <c r="P80" s="184"/>
      <c r="Q80" s="2009" t="s">
        <v>34</v>
      </c>
      <c r="R80" s="2009" t="s">
        <v>49</v>
      </c>
      <c r="S80" s="2008" t="s">
        <v>1481</v>
      </c>
    </row>
    <row r="81" spans="1:19" s="420" customFormat="1" ht="177.75" customHeight="1">
      <c r="A81" s="447">
        <v>13</v>
      </c>
      <c r="B81" s="306">
        <v>5</v>
      </c>
      <c r="C81" s="2017" t="s">
        <v>2539</v>
      </c>
      <c r="D81" s="184" t="s">
        <v>1788</v>
      </c>
      <c r="E81" s="179"/>
      <c r="F81" s="184"/>
      <c r="G81" s="184"/>
      <c r="H81" s="185"/>
      <c r="I81" s="2019" t="s">
        <v>4852</v>
      </c>
      <c r="J81" s="2043" t="s">
        <v>4853</v>
      </c>
      <c r="K81" s="185"/>
      <c r="L81" s="2020" t="s">
        <v>4834</v>
      </c>
      <c r="M81" s="2020" t="s">
        <v>4854</v>
      </c>
      <c r="N81" s="184" t="s">
        <v>4831</v>
      </c>
      <c r="O81" s="184"/>
      <c r="P81" s="184"/>
      <c r="Q81" s="2009" t="s">
        <v>34</v>
      </c>
      <c r="R81" s="2009" t="s">
        <v>49</v>
      </c>
      <c r="S81" s="2008" t="s">
        <v>1481</v>
      </c>
    </row>
    <row r="82" spans="1:19" s="422" customFormat="1" ht="185.25" customHeight="1">
      <c r="A82" s="447">
        <v>6</v>
      </c>
      <c r="B82" s="478">
        <v>20</v>
      </c>
      <c r="C82" s="2035" t="s">
        <v>4855</v>
      </c>
      <c r="D82" s="179" t="s">
        <v>4856</v>
      </c>
      <c r="E82" s="179" t="s">
        <v>823</v>
      </c>
      <c r="F82" s="179" t="s">
        <v>4641</v>
      </c>
      <c r="G82" s="283"/>
      <c r="H82" s="180">
        <v>45294</v>
      </c>
      <c r="I82" s="2027" t="s">
        <v>4857</v>
      </c>
      <c r="J82" s="2007" t="s">
        <v>4858</v>
      </c>
      <c r="K82" s="2007" t="s">
        <v>4859</v>
      </c>
      <c r="L82" s="2007" t="s">
        <v>4860</v>
      </c>
      <c r="M82" s="2007" t="s">
        <v>4861</v>
      </c>
      <c r="N82" s="179" t="s">
        <v>4862</v>
      </c>
      <c r="O82" s="179"/>
      <c r="P82" s="179"/>
      <c r="Q82" s="2008" t="s">
        <v>34</v>
      </c>
      <c r="R82" s="2010" t="s">
        <v>4863</v>
      </c>
      <c r="S82" s="2010" t="s">
        <v>4864</v>
      </c>
    </row>
    <row r="83" spans="1:19" s="423" customFormat="1" ht="117.75" customHeight="1">
      <c r="A83" s="447">
        <v>19</v>
      </c>
      <c r="B83" s="299">
        <v>36.700000000000003</v>
      </c>
      <c r="C83" s="2035" t="s">
        <v>4865</v>
      </c>
      <c r="D83" s="184" t="s">
        <v>1788</v>
      </c>
      <c r="E83" s="184" t="s">
        <v>1788</v>
      </c>
      <c r="F83" s="184" t="s">
        <v>1788</v>
      </c>
      <c r="G83" s="184"/>
      <c r="H83" s="185"/>
      <c r="I83" s="2043" t="s">
        <v>4866</v>
      </c>
      <c r="J83" s="2043" t="s">
        <v>4867</v>
      </c>
      <c r="K83" s="185"/>
      <c r="L83" s="2020" t="s">
        <v>4868</v>
      </c>
      <c r="M83" s="2020" t="s">
        <v>4869</v>
      </c>
      <c r="N83" s="184" t="s">
        <v>4870</v>
      </c>
      <c r="O83" s="184"/>
      <c r="P83" s="184"/>
      <c r="Q83" s="2009" t="s">
        <v>1318</v>
      </c>
      <c r="R83" s="2044" t="s">
        <v>4871</v>
      </c>
      <c r="S83" s="2045" t="s">
        <v>1481</v>
      </c>
    </row>
    <row r="84" spans="1:19" s="423" customFormat="1" ht="105.75" customHeight="1">
      <c r="A84" s="447">
        <v>18</v>
      </c>
      <c r="B84" s="484">
        <v>5</v>
      </c>
      <c r="C84" s="2035" t="s">
        <v>4872</v>
      </c>
      <c r="D84" s="184" t="s">
        <v>1788</v>
      </c>
      <c r="E84" s="184" t="s">
        <v>1788</v>
      </c>
      <c r="F84" s="184" t="s">
        <v>1788</v>
      </c>
      <c r="G84" s="184"/>
      <c r="H84" s="185"/>
      <c r="I84" s="2043" t="s">
        <v>43</v>
      </c>
      <c r="J84" s="2043" t="s">
        <v>43</v>
      </c>
      <c r="K84" s="185"/>
      <c r="L84" s="2020" t="s">
        <v>4873</v>
      </c>
      <c r="M84" s="2020" t="s">
        <v>4873</v>
      </c>
      <c r="N84" s="184" t="s">
        <v>4874</v>
      </c>
      <c r="O84" s="184"/>
      <c r="P84" s="184"/>
      <c r="Q84" s="2009" t="s">
        <v>878</v>
      </c>
      <c r="R84" s="2044" t="s">
        <v>49</v>
      </c>
      <c r="S84" s="2046" t="s">
        <v>4875</v>
      </c>
    </row>
    <row r="85" spans="1:19" s="423" customFormat="1" ht="152.25" customHeight="1">
      <c r="A85" s="447">
        <v>15</v>
      </c>
      <c r="B85" s="485">
        <v>82</v>
      </c>
      <c r="C85" s="2035" t="s">
        <v>4876</v>
      </c>
      <c r="D85" s="184" t="s">
        <v>1788</v>
      </c>
      <c r="E85" s="184" t="s">
        <v>1788</v>
      </c>
      <c r="F85" s="184" t="s">
        <v>1788</v>
      </c>
      <c r="G85" s="184"/>
      <c r="H85" s="185"/>
      <c r="I85" s="2043" t="s">
        <v>4877</v>
      </c>
      <c r="J85" s="2047" t="s">
        <v>4878</v>
      </c>
      <c r="K85" s="185"/>
      <c r="L85" s="2020" t="s">
        <v>4879</v>
      </c>
      <c r="M85" s="2020" t="s">
        <v>4880</v>
      </c>
      <c r="N85" s="184" t="s">
        <v>4881</v>
      </c>
      <c r="O85" s="184"/>
      <c r="P85" s="184"/>
      <c r="Q85" s="284"/>
      <c r="R85" s="2044" t="s">
        <v>49</v>
      </c>
      <c r="S85" s="2045" t="s">
        <v>1481</v>
      </c>
    </row>
    <row r="86" spans="1:19" s="423" customFormat="1" ht="185.25" customHeight="1">
      <c r="A86" s="447">
        <v>8</v>
      </c>
      <c r="B86" s="468" t="s">
        <v>4882</v>
      </c>
      <c r="C86" s="2035" t="s">
        <v>2567</v>
      </c>
      <c r="D86" s="184" t="s">
        <v>4819</v>
      </c>
      <c r="E86" s="179" t="s">
        <v>823</v>
      </c>
      <c r="F86" s="184" t="s">
        <v>4883</v>
      </c>
      <c r="G86" s="184"/>
      <c r="H86" s="185"/>
      <c r="I86" s="2043" t="s">
        <v>68</v>
      </c>
      <c r="J86" s="2043" t="s">
        <v>68</v>
      </c>
      <c r="K86" s="185"/>
      <c r="L86" s="2020" t="s">
        <v>4884</v>
      </c>
      <c r="M86" s="2020" t="s">
        <v>4885</v>
      </c>
      <c r="N86" s="184" t="s">
        <v>4886</v>
      </c>
      <c r="O86" s="184"/>
      <c r="P86" s="184"/>
      <c r="Q86" s="2009" t="s">
        <v>68</v>
      </c>
      <c r="R86" s="2018" t="s">
        <v>4887</v>
      </c>
      <c r="S86" s="2010" t="s">
        <v>4888</v>
      </c>
    </row>
    <row r="87" spans="1:19" s="423" customFormat="1" ht="219.75" customHeight="1">
      <c r="A87" s="447">
        <v>16</v>
      </c>
      <c r="B87" s="308">
        <v>2.1</v>
      </c>
      <c r="C87" s="2048" t="s">
        <v>2577</v>
      </c>
      <c r="D87" s="308" t="s">
        <v>4856</v>
      </c>
      <c r="E87" s="309" t="s">
        <v>1447</v>
      </c>
      <c r="F87" s="308" t="s">
        <v>4889</v>
      </c>
      <c r="G87" s="308"/>
      <c r="H87" s="321"/>
      <c r="I87" s="2040" t="s">
        <v>4877</v>
      </c>
      <c r="J87" s="2049" t="s">
        <v>4890</v>
      </c>
      <c r="K87" s="321"/>
      <c r="L87" s="2024" t="s">
        <v>4891</v>
      </c>
      <c r="M87" s="2024" t="s">
        <v>4892</v>
      </c>
      <c r="N87" s="308" t="s">
        <v>4726</v>
      </c>
      <c r="O87" s="308"/>
      <c r="P87" s="308"/>
      <c r="Q87" s="2050" t="s">
        <v>34</v>
      </c>
      <c r="R87" s="2015" t="s">
        <v>49</v>
      </c>
      <c r="S87" s="2016" t="s">
        <v>4893</v>
      </c>
    </row>
    <row r="88" spans="1:19" s="422" customFormat="1" ht="152.25" customHeight="1">
      <c r="A88" s="447">
        <v>2</v>
      </c>
      <c r="B88" s="173" t="s">
        <v>4894</v>
      </c>
      <c r="C88" s="2051" t="s">
        <v>2573</v>
      </c>
      <c r="D88" s="173" t="s">
        <v>195</v>
      </c>
      <c r="E88" s="174" t="s">
        <v>1447</v>
      </c>
      <c r="F88" s="173" t="s">
        <v>4189</v>
      </c>
      <c r="G88" s="288"/>
      <c r="H88" s="313"/>
      <c r="I88" s="2052" t="s">
        <v>43</v>
      </c>
      <c r="J88" s="2052" t="s">
        <v>43</v>
      </c>
      <c r="K88" s="313"/>
      <c r="L88" s="2003" t="s">
        <v>4895</v>
      </c>
      <c r="M88" s="2003" t="s">
        <v>4896</v>
      </c>
      <c r="N88" s="173" t="s">
        <v>4897</v>
      </c>
      <c r="O88" s="173"/>
      <c r="P88" s="173"/>
      <c r="Q88" s="2053" t="s">
        <v>1106</v>
      </c>
      <c r="R88" s="2004" t="s">
        <v>49</v>
      </c>
      <c r="S88" s="2000" t="s">
        <v>4898</v>
      </c>
    </row>
    <row r="89" spans="1:19" s="422" customFormat="1" ht="205.5" customHeight="1">
      <c r="A89" s="184">
        <v>19</v>
      </c>
      <c r="B89" s="184">
        <v>0</v>
      </c>
      <c r="C89" s="2035" t="s">
        <v>2583</v>
      </c>
      <c r="D89" s="184" t="s">
        <v>1788</v>
      </c>
      <c r="E89" s="179" t="s">
        <v>823</v>
      </c>
      <c r="F89" s="184" t="s">
        <v>4883</v>
      </c>
      <c r="G89" s="284"/>
      <c r="H89" s="185"/>
      <c r="I89" s="2047" t="s">
        <v>4899</v>
      </c>
      <c r="J89" s="2020" t="s">
        <v>4900</v>
      </c>
      <c r="K89" s="185"/>
      <c r="L89" s="2020" t="s">
        <v>4901</v>
      </c>
      <c r="M89" s="2020" t="s">
        <v>4902</v>
      </c>
      <c r="N89" s="184" t="s">
        <v>4903</v>
      </c>
      <c r="O89" s="184"/>
      <c r="P89" s="184"/>
      <c r="Q89" s="2038" t="s">
        <v>4904</v>
      </c>
      <c r="R89" s="2054" t="s">
        <v>4905</v>
      </c>
      <c r="S89" s="2055" t="s">
        <v>4906</v>
      </c>
    </row>
    <row r="90" spans="1:19" s="425" customFormat="1" ht="151.5" customHeight="1">
      <c r="A90" s="359">
        <v>16</v>
      </c>
      <c r="B90" s="359">
        <v>0</v>
      </c>
      <c r="C90" s="2056" t="s">
        <v>2590</v>
      </c>
      <c r="D90" s="359" t="s">
        <v>817</v>
      </c>
      <c r="E90" s="486" t="s">
        <v>1447</v>
      </c>
      <c r="F90" s="359" t="s">
        <v>4889</v>
      </c>
      <c r="G90" s="359"/>
      <c r="H90" s="361"/>
      <c r="I90" s="2057" t="s">
        <v>4877</v>
      </c>
      <c r="J90" s="2057" t="s">
        <v>4907</v>
      </c>
      <c r="K90" s="361"/>
      <c r="L90" s="2058" t="s">
        <v>4908</v>
      </c>
      <c r="M90" s="2058" t="s">
        <v>4909</v>
      </c>
      <c r="N90" s="359" t="s">
        <v>4910</v>
      </c>
      <c r="O90" s="359"/>
      <c r="P90" s="359"/>
      <c r="Q90" s="2059" t="s">
        <v>4911</v>
      </c>
      <c r="R90" s="2060" t="s">
        <v>4912</v>
      </c>
      <c r="S90" s="2061" t="s">
        <v>4913</v>
      </c>
    </row>
    <row r="91" spans="1:19" s="426" customFormat="1" ht="293.25" customHeight="1">
      <c r="A91" s="487">
        <v>8</v>
      </c>
      <c r="B91" s="488">
        <v>0</v>
      </c>
      <c r="C91" s="2062" t="s">
        <v>2581</v>
      </c>
      <c r="D91" s="487" t="s">
        <v>817</v>
      </c>
      <c r="E91" s="489" t="s">
        <v>1447</v>
      </c>
      <c r="F91" s="487" t="s">
        <v>4889</v>
      </c>
      <c r="G91" s="2063" t="s">
        <v>4914</v>
      </c>
      <c r="H91" s="2064" t="s">
        <v>4915</v>
      </c>
      <c r="I91" s="2063" t="s">
        <v>4916</v>
      </c>
      <c r="J91" s="2063" t="s">
        <v>4917</v>
      </c>
      <c r="K91" s="2064" t="s">
        <v>4895</v>
      </c>
      <c r="L91" s="490"/>
      <c r="M91" s="2064" t="s">
        <v>4918</v>
      </c>
      <c r="N91" s="487">
        <v>0</v>
      </c>
      <c r="O91" s="487"/>
      <c r="P91" s="487"/>
      <c r="Q91" s="2065" t="s">
        <v>4919</v>
      </c>
      <c r="R91" s="2066" t="s">
        <v>4920</v>
      </c>
      <c r="S91" s="2067" t="s">
        <v>4921</v>
      </c>
    </row>
    <row r="92" spans="1:19" s="427" customFormat="1" ht="153" customHeight="1">
      <c r="A92" s="491">
        <v>9</v>
      </c>
      <c r="B92" s="492" t="s">
        <v>4922</v>
      </c>
      <c r="C92" s="2068" t="s">
        <v>2588</v>
      </c>
      <c r="D92" s="491" t="s">
        <v>817</v>
      </c>
      <c r="E92" s="493" t="s">
        <v>1447</v>
      </c>
      <c r="F92" s="491" t="s">
        <v>4889</v>
      </c>
      <c r="G92" s="491"/>
      <c r="H92" s="494"/>
      <c r="I92" s="2069" t="s">
        <v>68</v>
      </c>
      <c r="J92" s="2069" t="s">
        <v>68</v>
      </c>
      <c r="K92" s="494"/>
      <c r="L92" s="2070" t="s">
        <v>4923</v>
      </c>
      <c r="M92" s="2070" t="s">
        <v>4924</v>
      </c>
      <c r="N92" s="491" t="s">
        <v>4925</v>
      </c>
      <c r="O92" s="491"/>
      <c r="P92" s="491"/>
      <c r="Q92" s="2071" t="s">
        <v>34</v>
      </c>
      <c r="R92" s="2072" t="s">
        <v>4926</v>
      </c>
      <c r="S92" s="2073" t="s">
        <v>4927</v>
      </c>
    </row>
    <row r="93" spans="1:19" s="428" customFormat="1" ht="198.75" customHeight="1">
      <c r="A93" s="495">
        <v>2</v>
      </c>
      <c r="B93" s="495" t="s">
        <v>4928</v>
      </c>
      <c r="C93" s="2074" t="s">
        <v>2594</v>
      </c>
      <c r="D93" s="495"/>
      <c r="E93" s="496" t="s">
        <v>823</v>
      </c>
      <c r="F93" s="495"/>
      <c r="G93" s="497"/>
      <c r="H93" s="498"/>
      <c r="I93" s="2075" t="s">
        <v>43</v>
      </c>
      <c r="J93" s="2076" t="s">
        <v>43</v>
      </c>
      <c r="K93" s="2076" t="s">
        <v>4929</v>
      </c>
      <c r="L93" s="2076" t="s">
        <v>4930</v>
      </c>
      <c r="M93" s="498"/>
      <c r="N93" s="495" t="s">
        <v>4931</v>
      </c>
      <c r="O93" s="495"/>
      <c r="P93" s="495"/>
      <c r="Q93" s="2077" t="s">
        <v>34</v>
      </c>
      <c r="R93" s="2078" t="s">
        <v>49</v>
      </c>
      <c r="S93" s="2079" t="s">
        <v>4932</v>
      </c>
    </row>
    <row r="94" spans="1:19" s="428" customFormat="1" ht="161.25" customHeight="1">
      <c r="A94" s="495">
        <v>4</v>
      </c>
      <c r="B94" s="495" t="s">
        <v>4933</v>
      </c>
      <c r="C94" s="2074" t="s">
        <v>2592</v>
      </c>
      <c r="D94" s="495" t="s">
        <v>817</v>
      </c>
      <c r="E94" s="496" t="s">
        <v>823</v>
      </c>
      <c r="F94" s="495" t="s">
        <v>4889</v>
      </c>
      <c r="G94" s="497"/>
      <c r="H94" s="498"/>
      <c r="I94" s="2080" t="s">
        <v>4934</v>
      </c>
      <c r="J94" s="2080" t="s">
        <v>4935</v>
      </c>
      <c r="K94" s="2076" t="s">
        <v>4936</v>
      </c>
      <c r="L94" s="2076" t="s">
        <v>4937</v>
      </c>
      <c r="M94" s="498"/>
      <c r="N94" s="495" t="s">
        <v>4938</v>
      </c>
      <c r="O94" s="495"/>
      <c r="P94" s="495"/>
      <c r="Q94" s="526"/>
      <c r="R94" s="2081" t="s">
        <v>4939</v>
      </c>
      <c r="S94" s="2079" t="s">
        <v>4940</v>
      </c>
    </row>
    <row r="95" spans="1:19" s="429" customFormat="1" ht="155.25" customHeight="1">
      <c r="A95" s="499">
        <v>21</v>
      </c>
      <c r="B95" s="499">
        <v>0</v>
      </c>
      <c r="C95" s="2082" t="s">
        <v>4941</v>
      </c>
      <c r="D95" s="500" t="s">
        <v>4819</v>
      </c>
      <c r="E95" s="500" t="s">
        <v>823</v>
      </c>
      <c r="F95" s="499" t="s">
        <v>4889</v>
      </c>
      <c r="G95" s="499"/>
      <c r="H95" s="501"/>
      <c r="I95" s="2083" t="s">
        <v>68</v>
      </c>
      <c r="J95" s="2083" t="s">
        <v>68</v>
      </c>
      <c r="K95" s="2084" t="s">
        <v>4942</v>
      </c>
      <c r="L95" s="2084" t="s">
        <v>4942</v>
      </c>
      <c r="M95" s="501"/>
      <c r="N95" s="499">
        <v>0</v>
      </c>
      <c r="O95" s="499"/>
      <c r="P95" s="499"/>
      <c r="Q95" s="527"/>
      <c r="R95" s="2085" t="s">
        <v>49</v>
      </c>
      <c r="S95" s="2086" t="s">
        <v>4943</v>
      </c>
    </row>
    <row r="96" spans="1:19" s="429" customFormat="1" ht="182.25" customHeight="1">
      <c r="A96" s="499">
        <v>22</v>
      </c>
      <c r="B96" s="499" t="s">
        <v>4944</v>
      </c>
      <c r="C96" s="2082" t="s">
        <v>4945</v>
      </c>
      <c r="D96" s="500" t="s">
        <v>4819</v>
      </c>
      <c r="E96" s="500" t="s">
        <v>823</v>
      </c>
      <c r="F96" s="499" t="s">
        <v>4889</v>
      </c>
      <c r="G96" s="499"/>
      <c r="H96" s="501"/>
      <c r="I96" s="2083" t="s">
        <v>4877</v>
      </c>
      <c r="J96" s="2087" t="s">
        <v>4946</v>
      </c>
      <c r="K96" s="2084" t="s">
        <v>4947</v>
      </c>
      <c r="L96" s="2084" t="s">
        <v>4948</v>
      </c>
      <c r="M96" s="501"/>
      <c r="N96" s="499" t="s">
        <v>4726</v>
      </c>
      <c r="O96" s="499"/>
      <c r="P96" s="499"/>
      <c r="Q96" s="2088" t="s">
        <v>34</v>
      </c>
      <c r="R96" s="2085" t="s">
        <v>49</v>
      </c>
      <c r="S96" s="2086" t="s">
        <v>4949</v>
      </c>
    </row>
    <row r="97" spans="1:19" s="429" customFormat="1" ht="183" customHeight="1">
      <c r="A97" s="499">
        <v>23</v>
      </c>
      <c r="B97" s="499" t="s">
        <v>4950</v>
      </c>
      <c r="C97" s="2082" t="s">
        <v>4951</v>
      </c>
      <c r="D97" s="500" t="s">
        <v>4819</v>
      </c>
      <c r="E97" s="500" t="s">
        <v>823</v>
      </c>
      <c r="F97" s="499" t="s">
        <v>4889</v>
      </c>
      <c r="G97" s="499"/>
      <c r="H97" s="501"/>
      <c r="I97" s="2083" t="s">
        <v>4877</v>
      </c>
      <c r="J97" s="2087" t="s">
        <v>4946</v>
      </c>
      <c r="K97" s="2084" t="s">
        <v>4947</v>
      </c>
      <c r="L97" s="2084" t="s">
        <v>4948</v>
      </c>
      <c r="M97" s="501"/>
      <c r="N97" s="499" t="s">
        <v>4280</v>
      </c>
      <c r="O97" s="499"/>
      <c r="P97" s="499"/>
      <c r="Q97" s="2088" t="s">
        <v>34</v>
      </c>
      <c r="R97" s="2085" t="s">
        <v>49</v>
      </c>
      <c r="S97" s="2086" t="s">
        <v>4952</v>
      </c>
    </row>
    <row r="98" spans="1:19" s="429" customFormat="1" ht="182.25" customHeight="1">
      <c r="A98" s="499">
        <v>24</v>
      </c>
      <c r="B98" s="499" t="s">
        <v>4845</v>
      </c>
      <c r="C98" s="2082" t="s">
        <v>4953</v>
      </c>
      <c r="D98" s="500" t="s">
        <v>4819</v>
      </c>
      <c r="E98" s="500" t="s">
        <v>823</v>
      </c>
      <c r="F98" s="499" t="s">
        <v>4889</v>
      </c>
      <c r="G98" s="499"/>
      <c r="H98" s="501"/>
      <c r="I98" s="2083" t="s">
        <v>4877</v>
      </c>
      <c r="J98" s="2087" t="s">
        <v>4946</v>
      </c>
      <c r="K98" s="2084" t="s">
        <v>4947</v>
      </c>
      <c r="L98" s="2084" t="s">
        <v>4948</v>
      </c>
      <c r="M98" s="501"/>
      <c r="N98" s="499" t="s">
        <v>4678</v>
      </c>
      <c r="O98" s="499"/>
      <c r="P98" s="499"/>
      <c r="Q98" s="2088" t="s">
        <v>34</v>
      </c>
      <c r="R98" s="2085" t="s">
        <v>49</v>
      </c>
      <c r="S98" s="2086" t="s">
        <v>4949</v>
      </c>
    </row>
    <row r="99" spans="1:19" s="429" customFormat="1" ht="99.75" customHeight="1">
      <c r="A99" s="367">
        <v>4</v>
      </c>
      <c r="B99" s="372" t="s">
        <v>4954</v>
      </c>
      <c r="C99" s="2089" t="s">
        <v>2612</v>
      </c>
      <c r="D99" s="368"/>
      <c r="E99" s="369" t="s">
        <v>1788</v>
      </c>
      <c r="F99" s="367"/>
      <c r="G99" s="370"/>
      <c r="H99" s="371"/>
      <c r="I99" s="3154" t="s">
        <v>4955</v>
      </c>
      <c r="J99" s="3155"/>
      <c r="K99" s="2090" t="s">
        <v>4956</v>
      </c>
      <c r="L99" s="2090" t="s">
        <v>4957</v>
      </c>
      <c r="M99" s="405"/>
      <c r="N99" s="408">
        <v>20000</v>
      </c>
      <c r="O99" s="408"/>
      <c r="P99" s="408"/>
      <c r="Q99" s="2091" t="s">
        <v>878</v>
      </c>
      <c r="R99" s="2092" t="s">
        <v>49</v>
      </c>
      <c r="S99" s="2093" t="s">
        <v>4958</v>
      </c>
    </row>
    <row r="100" spans="1:19" s="429" customFormat="1" ht="139.5" customHeight="1">
      <c r="A100" s="367">
        <v>1</v>
      </c>
      <c r="B100" s="372">
        <v>0</v>
      </c>
      <c r="C100" s="2094" t="s">
        <v>2620</v>
      </c>
      <c r="D100" s="368" t="s">
        <v>817</v>
      </c>
      <c r="E100" s="369" t="s">
        <v>1447</v>
      </c>
      <c r="F100" s="367" t="s">
        <v>4889</v>
      </c>
      <c r="G100" s="370">
        <v>45238</v>
      </c>
      <c r="H100" s="2095" t="s">
        <v>4959</v>
      </c>
      <c r="I100" s="3154" t="s">
        <v>4955</v>
      </c>
      <c r="J100" s="3155"/>
      <c r="K100" s="2090" t="s">
        <v>4960</v>
      </c>
      <c r="L100" s="2090" t="s">
        <v>4961</v>
      </c>
      <c r="M100" s="405"/>
      <c r="N100" s="408" t="s">
        <v>4962</v>
      </c>
      <c r="O100" s="408"/>
      <c r="P100" s="408"/>
      <c r="Q100" s="2091" t="s">
        <v>878</v>
      </c>
      <c r="R100" s="2096" t="s">
        <v>4963</v>
      </c>
      <c r="S100" s="2097" t="s">
        <v>4964</v>
      </c>
    </row>
    <row r="101" spans="1:19" s="430" customFormat="1" ht="115.5" customHeight="1">
      <c r="A101" s="367">
        <v>17</v>
      </c>
      <c r="B101" s="367" t="s">
        <v>4845</v>
      </c>
      <c r="C101" s="2089" t="s">
        <v>2632</v>
      </c>
      <c r="D101" s="3157" t="s">
        <v>1788</v>
      </c>
      <c r="E101" s="3157"/>
      <c r="F101" s="3157"/>
      <c r="G101" s="370"/>
      <c r="H101" s="371"/>
      <c r="I101" s="2098" t="s">
        <v>4877</v>
      </c>
      <c r="J101" s="2099" t="s">
        <v>4965</v>
      </c>
      <c r="K101" s="2090" t="s">
        <v>4966</v>
      </c>
      <c r="L101" s="2090" t="s">
        <v>4967</v>
      </c>
      <c r="M101" s="405"/>
      <c r="N101" s="406">
        <v>0</v>
      </c>
      <c r="O101" s="406"/>
      <c r="P101" s="406"/>
      <c r="Q101" s="2091" t="s">
        <v>4968</v>
      </c>
      <c r="R101" s="2092" t="s">
        <v>49</v>
      </c>
      <c r="S101" s="2100" t="s">
        <v>4958</v>
      </c>
    </row>
    <row r="102" spans="1:19" s="430" customFormat="1" ht="138" customHeight="1">
      <c r="A102" s="367">
        <v>18</v>
      </c>
      <c r="B102" s="367" t="s">
        <v>4969</v>
      </c>
      <c r="C102" s="2089" t="s">
        <v>2634</v>
      </c>
      <c r="D102" s="502" t="s">
        <v>1788</v>
      </c>
      <c r="E102" s="369" t="s">
        <v>4970</v>
      </c>
      <c r="F102" s="502" t="s">
        <v>1788</v>
      </c>
      <c r="G102" s="370"/>
      <c r="H102" s="371"/>
      <c r="I102" s="1491" t="s">
        <v>68</v>
      </c>
      <c r="J102" s="1491" t="s">
        <v>68</v>
      </c>
      <c r="K102" s="2090" t="s">
        <v>4971</v>
      </c>
      <c r="L102" s="2090" t="s">
        <v>4972</v>
      </c>
      <c r="M102" s="405"/>
      <c r="N102" s="406" t="s">
        <v>4973</v>
      </c>
      <c r="O102" s="406"/>
      <c r="P102" s="406"/>
      <c r="Q102" s="2091" t="s">
        <v>4974</v>
      </c>
      <c r="R102" s="2092" t="s">
        <v>49</v>
      </c>
      <c r="S102" s="2101" t="s">
        <v>4975</v>
      </c>
    </row>
    <row r="103" spans="1:19" s="431" customFormat="1" ht="115.5" customHeight="1">
      <c r="A103" s="503">
        <v>2</v>
      </c>
      <c r="B103" s="504" t="s">
        <v>4976</v>
      </c>
      <c r="C103" s="2102" t="s">
        <v>2640</v>
      </c>
      <c r="D103" s="505" t="s">
        <v>4856</v>
      </c>
      <c r="E103" s="506" t="s">
        <v>1447</v>
      </c>
      <c r="F103" s="503" t="s">
        <v>4889</v>
      </c>
      <c r="G103" s="2103" t="s">
        <v>4977</v>
      </c>
      <c r="H103" s="2104" t="s">
        <v>4978</v>
      </c>
      <c r="I103" s="1518" t="s">
        <v>4979</v>
      </c>
      <c r="J103" s="1518" t="s">
        <v>4980</v>
      </c>
      <c r="K103" s="1898" t="s">
        <v>4981</v>
      </c>
      <c r="L103" s="1898" t="s">
        <v>4982</v>
      </c>
      <c r="M103" s="519"/>
      <c r="N103" s="2105" t="s">
        <v>4840</v>
      </c>
      <c r="O103" s="520"/>
      <c r="P103" s="520"/>
      <c r="Q103" s="2106" t="s">
        <v>4983</v>
      </c>
      <c r="R103" s="2107" t="s">
        <v>4984</v>
      </c>
      <c r="S103" s="2106" t="s">
        <v>4985</v>
      </c>
    </row>
    <row r="104" spans="1:19" s="432" customFormat="1" ht="90.75" customHeight="1">
      <c r="A104" s="509">
        <v>4</v>
      </c>
      <c r="B104" s="510" t="s">
        <v>4986</v>
      </c>
      <c r="C104" s="2108" t="s">
        <v>2647</v>
      </c>
      <c r="D104" s="511"/>
      <c r="E104" s="512" t="s">
        <v>1447</v>
      </c>
      <c r="F104" s="513"/>
      <c r="G104" s="2109" t="s">
        <v>4987</v>
      </c>
      <c r="H104" s="2109" t="s">
        <v>4988</v>
      </c>
      <c r="I104" s="2110" t="s">
        <v>4989</v>
      </c>
      <c r="J104" s="2110" t="s">
        <v>4990</v>
      </c>
      <c r="K104" s="2111" t="s">
        <v>4991</v>
      </c>
      <c r="L104" s="2111" t="s">
        <v>4992</v>
      </c>
      <c r="M104" s="521"/>
      <c r="N104" s="2112" t="s">
        <v>4993</v>
      </c>
      <c r="O104" s="510"/>
      <c r="P104" s="510"/>
      <c r="Q104" s="2113" t="s">
        <v>4994</v>
      </c>
      <c r="R104" s="2114" t="s">
        <v>4995</v>
      </c>
      <c r="S104" s="2115" t="s">
        <v>4996</v>
      </c>
    </row>
    <row r="105" spans="1:19" s="433" customFormat="1" ht="120" customHeight="1">
      <c r="A105" s="503">
        <v>8</v>
      </c>
      <c r="B105" s="503">
        <v>0</v>
      </c>
      <c r="C105" s="2116" t="s">
        <v>4997</v>
      </c>
      <c r="D105" s="514" t="s">
        <v>817</v>
      </c>
      <c r="E105" s="506" t="s">
        <v>1447</v>
      </c>
      <c r="F105" s="503" t="s">
        <v>4889</v>
      </c>
      <c r="G105" s="507"/>
      <c r="H105" s="508"/>
      <c r="I105" s="2117" t="s">
        <v>4998</v>
      </c>
      <c r="J105" s="2117" t="s">
        <v>4999</v>
      </c>
      <c r="K105" s="1898" t="s">
        <v>5000</v>
      </c>
      <c r="L105" s="1898" t="s">
        <v>5001</v>
      </c>
      <c r="M105" s="519"/>
      <c r="N105" s="522" t="s">
        <v>5002</v>
      </c>
      <c r="O105" s="522"/>
      <c r="P105" s="522"/>
      <c r="Q105" s="2106" t="s">
        <v>5003</v>
      </c>
      <c r="R105" s="2118" t="s">
        <v>4314</v>
      </c>
      <c r="S105" s="2119" t="s">
        <v>5004</v>
      </c>
    </row>
    <row r="106" spans="1:19" s="430" customFormat="1" ht="115.5" customHeight="1">
      <c r="A106" s="367">
        <v>16</v>
      </c>
      <c r="B106" s="367">
        <v>0</v>
      </c>
      <c r="C106" s="2089" t="s">
        <v>2630</v>
      </c>
      <c r="D106" s="3157" t="s">
        <v>1788</v>
      </c>
      <c r="E106" s="3157"/>
      <c r="F106" s="3157"/>
      <c r="G106" s="370"/>
      <c r="H106" s="371"/>
      <c r="I106" s="2098" t="s">
        <v>4877</v>
      </c>
      <c r="J106" s="2099" t="s">
        <v>5005</v>
      </c>
      <c r="K106" s="2090" t="s">
        <v>5006</v>
      </c>
      <c r="L106" s="2090" t="s">
        <v>5007</v>
      </c>
      <c r="M106" s="405"/>
      <c r="N106" s="406" t="s">
        <v>5008</v>
      </c>
      <c r="O106" s="406"/>
      <c r="P106" s="406"/>
      <c r="Q106" s="2091" t="s">
        <v>878</v>
      </c>
      <c r="R106" s="2120" t="s">
        <v>49</v>
      </c>
      <c r="S106" s="2100" t="s">
        <v>4958</v>
      </c>
    </row>
    <row r="107" spans="1:19" s="429" customFormat="1" ht="231" customHeight="1">
      <c r="A107" s="367">
        <v>1</v>
      </c>
      <c r="B107" s="367" t="s">
        <v>5009</v>
      </c>
      <c r="C107" s="2094" t="s">
        <v>5010</v>
      </c>
      <c r="D107" s="368" t="s">
        <v>817</v>
      </c>
      <c r="E107" s="369" t="s">
        <v>1447</v>
      </c>
      <c r="F107" s="367" t="s">
        <v>4189</v>
      </c>
      <c r="G107" s="2092" t="s">
        <v>5011</v>
      </c>
      <c r="H107" s="2095" t="s">
        <v>5012</v>
      </c>
      <c r="I107" s="3154" t="s">
        <v>4955</v>
      </c>
      <c r="J107" s="3155"/>
      <c r="K107" s="2090" t="s">
        <v>5013</v>
      </c>
      <c r="L107" s="2090" t="s">
        <v>5014</v>
      </c>
      <c r="M107" s="405"/>
      <c r="N107" s="408" t="s">
        <v>4693</v>
      </c>
      <c r="O107" s="408"/>
      <c r="P107" s="408"/>
      <c r="Q107" s="2091" t="s">
        <v>5015</v>
      </c>
      <c r="R107" s="2121" t="s">
        <v>5016</v>
      </c>
      <c r="S107" s="2091" t="s">
        <v>5017</v>
      </c>
    </row>
    <row r="108" spans="1:19" s="433" customFormat="1" ht="147" customHeight="1">
      <c r="A108" s="503">
        <v>10</v>
      </c>
      <c r="B108" s="504">
        <v>0</v>
      </c>
      <c r="C108" s="2102" t="s">
        <v>2642</v>
      </c>
      <c r="D108" s="514" t="s">
        <v>817</v>
      </c>
      <c r="E108" s="506" t="s">
        <v>1447</v>
      </c>
      <c r="F108" s="503" t="s">
        <v>4189</v>
      </c>
      <c r="G108" s="1518" t="s">
        <v>5018</v>
      </c>
      <c r="H108" s="2104" t="s">
        <v>5019</v>
      </c>
      <c r="I108" s="1518" t="s">
        <v>5020</v>
      </c>
      <c r="J108" s="1518" t="s">
        <v>5021</v>
      </c>
      <c r="K108" s="1898" t="s">
        <v>5022</v>
      </c>
      <c r="L108" s="1898" t="s">
        <v>5023</v>
      </c>
      <c r="M108" s="519"/>
      <c r="N108" s="2122" t="s">
        <v>4862</v>
      </c>
      <c r="O108" s="522"/>
      <c r="P108" s="522"/>
      <c r="Q108" s="2106" t="s">
        <v>5024</v>
      </c>
      <c r="R108" s="2106" t="s">
        <v>5025</v>
      </c>
      <c r="S108" s="2106" t="s">
        <v>5026</v>
      </c>
    </row>
    <row r="109" spans="1:19" s="434" customFormat="1" ht="95.25" customHeight="1">
      <c r="A109" s="509">
        <v>18</v>
      </c>
      <c r="B109" s="515">
        <v>0</v>
      </c>
      <c r="C109" s="2123" t="s">
        <v>2651</v>
      </c>
      <c r="D109" s="3156" t="s">
        <v>1788</v>
      </c>
      <c r="E109" s="3156"/>
      <c r="F109" s="3156"/>
      <c r="G109" s="516">
        <v>45260.625</v>
      </c>
      <c r="H109" s="517">
        <v>45260</v>
      </c>
      <c r="I109" s="2124" t="s">
        <v>4763</v>
      </c>
      <c r="J109" s="523">
        <v>45274.4375</v>
      </c>
      <c r="K109" s="2125" t="s">
        <v>5027</v>
      </c>
      <c r="L109" s="2125" t="s">
        <v>5028</v>
      </c>
      <c r="M109" s="524"/>
      <c r="N109" s="525" t="s">
        <v>5029</v>
      </c>
      <c r="O109" s="525"/>
      <c r="P109" s="525"/>
      <c r="Q109" s="2115" t="s">
        <v>5030</v>
      </c>
      <c r="R109" s="2126" t="s">
        <v>4314</v>
      </c>
      <c r="S109" s="2115" t="s">
        <v>5031</v>
      </c>
    </row>
  </sheetData>
  <mergeCells count="7">
    <mergeCell ref="I107:J107"/>
    <mergeCell ref="D109:F109"/>
    <mergeCell ref="A1:S1"/>
    <mergeCell ref="I99:J99"/>
    <mergeCell ref="I100:J100"/>
    <mergeCell ref="D101:F101"/>
    <mergeCell ref="D106:F10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26"/>
  <sheetViews>
    <sheetView workbookViewId="0">
      <selection activeCell="C65" sqref="C65"/>
    </sheetView>
  </sheetViews>
  <sheetFormatPr defaultColWidth="8.81640625" defaultRowHeight="13"/>
  <cols>
    <col min="1" max="1" width="8.81640625" style="957"/>
    <col min="2" max="2" width="11.26953125" style="957" customWidth="1"/>
    <col min="3" max="3" width="51.26953125" style="958" customWidth="1"/>
    <col min="4" max="4" width="37.26953125" style="957" customWidth="1"/>
    <col min="5" max="5" width="37.7265625" style="957" customWidth="1"/>
    <col min="6" max="6" width="34.26953125" style="959" customWidth="1"/>
    <col min="7" max="16384" width="8.81640625" style="957"/>
  </cols>
  <sheetData>
    <row r="1" spans="1:8">
      <c r="A1" s="960"/>
      <c r="B1" s="961"/>
      <c r="C1" s="962"/>
      <c r="D1" s="963"/>
      <c r="E1" s="964"/>
      <c r="F1" s="965"/>
    </row>
    <row r="2" spans="1:8" s="955" customFormat="1" ht="42.65" customHeight="1">
      <c r="A2" s="966" t="s">
        <v>593</v>
      </c>
      <c r="B2" s="967">
        <v>3</v>
      </c>
      <c r="C2" s="1729" t="s">
        <v>1814</v>
      </c>
      <c r="D2" s="968" t="s">
        <v>1815</v>
      </c>
      <c r="E2" s="969" t="s">
        <v>164</v>
      </c>
      <c r="F2" s="970" t="s">
        <v>412</v>
      </c>
    </row>
    <row r="3" spans="1:8" s="955" customFormat="1" ht="22.15" customHeight="1">
      <c r="A3" s="971"/>
      <c r="B3" s="972">
        <v>29</v>
      </c>
      <c r="C3" s="1730" t="s">
        <v>1548</v>
      </c>
      <c r="D3" s="968" t="s">
        <v>1816</v>
      </c>
      <c r="E3" s="973" t="s">
        <v>429</v>
      </c>
      <c r="F3" s="974"/>
    </row>
    <row r="4" spans="1:8" s="955" customFormat="1" ht="22.5" customHeight="1">
      <c r="A4" s="971"/>
      <c r="B4" s="972">
        <v>30</v>
      </c>
      <c r="C4" s="1731" t="s">
        <v>1555</v>
      </c>
      <c r="D4" s="968" t="s">
        <v>1817</v>
      </c>
      <c r="E4" s="973" t="s">
        <v>429</v>
      </c>
      <c r="F4" s="974"/>
    </row>
    <row r="5" spans="1:8" s="955" customFormat="1" ht="22.15" customHeight="1">
      <c r="A5" s="971"/>
      <c r="B5" s="972">
        <v>31</v>
      </c>
      <c r="C5" s="1731" t="s">
        <v>1818</v>
      </c>
      <c r="D5" s="968" t="s">
        <v>1819</v>
      </c>
      <c r="E5" s="973" t="s">
        <v>429</v>
      </c>
      <c r="F5" s="974"/>
    </row>
    <row r="6" spans="1:8" s="955" customFormat="1" ht="25">
      <c r="A6" s="971"/>
      <c r="B6" s="975">
        <v>50</v>
      </c>
      <c r="C6" s="1732" t="s">
        <v>1537</v>
      </c>
      <c r="D6" s="967" t="s">
        <v>1820</v>
      </c>
      <c r="E6" s="976" t="s">
        <v>429</v>
      </c>
      <c r="F6" s="967"/>
    </row>
    <row r="7" spans="1:8" s="955" customFormat="1" ht="25">
      <c r="A7" s="971"/>
      <c r="B7" s="975">
        <v>51</v>
      </c>
      <c r="C7" s="1732" t="s">
        <v>1565</v>
      </c>
      <c r="D7" s="968" t="s">
        <v>1821</v>
      </c>
      <c r="E7" s="976" t="s">
        <v>429</v>
      </c>
      <c r="F7" s="967"/>
    </row>
    <row r="8" spans="1:8" s="955" customFormat="1" ht="25">
      <c r="A8" s="971"/>
      <c r="B8" s="975">
        <v>52</v>
      </c>
      <c r="C8" s="1732" t="s">
        <v>1822</v>
      </c>
      <c r="D8" s="968" t="s">
        <v>1823</v>
      </c>
      <c r="E8" s="976" t="s">
        <v>429</v>
      </c>
      <c r="F8" s="967"/>
    </row>
    <row r="9" spans="1:8" s="955" customFormat="1" ht="25">
      <c r="A9" s="971"/>
      <c r="B9" s="975">
        <v>53</v>
      </c>
      <c r="C9" s="1732" t="s">
        <v>1824</v>
      </c>
      <c r="D9" s="968" t="s">
        <v>1825</v>
      </c>
      <c r="E9" s="976" t="s">
        <v>429</v>
      </c>
      <c r="F9" s="967"/>
    </row>
    <row r="10" spans="1:8" s="955" customFormat="1">
      <c r="A10" s="971"/>
      <c r="B10" s="975">
        <v>54</v>
      </c>
      <c r="C10" s="1733" t="s">
        <v>1583</v>
      </c>
      <c r="D10" s="968" t="s">
        <v>1826</v>
      </c>
      <c r="E10" s="976" t="s">
        <v>429</v>
      </c>
      <c r="F10" s="967"/>
    </row>
    <row r="11" spans="1:8" s="955" customFormat="1" ht="25.5" customHeight="1">
      <c r="A11" s="971"/>
      <c r="B11" s="975">
        <v>55</v>
      </c>
      <c r="C11" s="1733" t="s">
        <v>1544</v>
      </c>
      <c r="D11" s="968" t="s">
        <v>1827</v>
      </c>
      <c r="E11" s="976" t="s">
        <v>429</v>
      </c>
      <c r="F11" s="967"/>
    </row>
    <row r="12" spans="1:8" s="955" customFormat="1" ht="43.15" customHeight="1">
      <c r="A12" s="971"/>
      <c r="B12" s="975">
        <v>56</v>
      </c>
      <c r="C12" s="1730" t="s">
        <v>1828</v>
      </c>
      <c r="D12" s="968" t="s">
        <v>1829</v>
      </c>
      <c r="E12" s="976" t="s">
        <v>429</v>
      </c>
      <c r="F12" s="967"/>
    </row>
    <row r="13" spans="1:8" ht="24.65" customHeight="1">
      <c r="A13" s="977"/>
      <c r="B13" s="978"/>
      <c r="C13" s="1734" t="s">
        <v>1830</v>
      </c>
      <c r="D13" s="980" t="s">
        <v>1831</v>
      </c>
      <c r="E13" s="967" t="s">
        <v>164</v>
      </c>
      <c r="F13" s="981"/>
      <c r="G13" s="955"/>
      <c r="H13" s="955"/>
    </row>
    <row r="14" spans="1:8" ht="25">
      <c r="A14" s="977"/>
      <c r="B14" s="978">
        <v>28</v>
      </c>
      <c r="C14" s="1735" t="s">
        <v>1527</v>
      </c>
      <c r="D14" s="980" t="s">
        <v>1832</v>
      </c>
      <c r="E14" s="983" t="s">
        <v>164</v>
      </c>
      <c r="F14" s="967" t="s">
        <v>412</v>
      </c>
      <c r="G14" s="955"/>
      <c r="H14" s="955"/>
    </row>
    <row r="15" spans="1:8" s="956" customFormat="1">
      <c r="A15" s="971"/>
      <c r="B15" s="975">
        <v>63</v>
      </c>
      <c r="C15" s="1736" t="s">
        <v>1551</v>
      </c>
      <c r="D15" s="968" t="s">
        <v>1833</v>
      </c>
      <c r="E15" s="976" t="s">
        <v>429</v>
      </c>
      <c r="F15" s="967"/>
      <c r="G15" s="955"/>
      <c r="H15" s="955"/>
    </row>
    <row r="16" spans="1:8" s="956" customFormat="1">
      <c r="A16" s="971"/>
      <c r="B16" s="975">
        <v>62</v>
      </c>
      <c r="C16" s="1736" t="s">
        <v>1535</v>
      </c>
      <c r="D16" s="968" t="s">
        <v>1834</v>
      </c>
      <c r="E16" s="976" t="s">
        <v>429</v>
      </c>
      <c r="F16" s="967"/>
      <c r="G16" s="955"/>
      <c r="H16" s="955"/>
    </row>
    <row r="17" spans="1:8" s="956" customFormat="1">
      <c r="A17" s="971"/>
      <c r="B17" s="975">
        <v>61</v>
      </c>
      <c r="C17" s="1736" t="s">
        <v>1540</v>
      </c>
      <c r="D17" s="968">
        <v>94255671</v>
      </c>
      <c r="E17" s="976" t="s">
        <v>429</v>
      </c>
      <c r="F17" s="967"/>
      <c r="G17" s="955"/>
      <c r="H17" s="955"/>
    </row>
    <row r="18" spans="1:8" s="956" customFormat="1">
      <c r="A18" s="971"/>
      <c r="B18" s="975">
        <v>60</v>
      </c>
      <c r="C18" s="1736" t="s">
        <v>1542</v>
      </c>
      <c r="D18" s="968" t="s">
        <v>1835</v>
      </c>
      <c r="E18" s="976" t="s">
        <v>429</v>
      </c>
      <c r="F18" s="967"/>
      <c r="G18" s="955"/>
      <c r="H18" s="955"/>
    </row>
    <row r="19" spans="1:8" ht="21.65" customHeight="1">
      <c r="A19" s="977"/>
      <c r="B19" s="978"/>
      <c r="C19" s="979"/>
      <c r="D19" s="980"/>
      <c r="E19" s="983"/>
      <c r="F19" s="967"/>
      <c r="G19" s="955"/>
      <c r="H19" s="955"/>
    </row>
    <row r="20" spans="1:8">
      <c r="A20" s="984"/>
      <c r="B20" s="985"/>
      <c r="C20" s="986"/>
      <c r="D20" s="987"/>
      <c r="E20" s="988"/>
      <c r="F20" s="968"/>
      <c r="G20" s="955"/>
      <c r="H20" s="955"/>
    </row>
    <row r="21" spans="1:8" ht="25">
      <c r="A21" s="989"/>
      <c r="B21" s="978">
        <v>19</v>
      </c>
      <c r="C21" s="1735" t="s">
        <v>1071</v>
      </c>
      <c r="D21" s="990" t="s">
        <v>1836</v>
      </c>
      <c r="E21" s="991" t="s">
        <v>159</v>
      </c>
      <c r="F21" s="967" t="s">
        <v>356</v>
      </c>
      <c r="G21" s="955"/>
      <c r="H21" s="955"/>
    </row>
    <row r="22" spans="1:8">
      <c r="A22" s="977"/>
      <c r="B22" s="978">
        <v>26</v>
      </c>
      <c r="C22" s="1735" t="s">
        <v>1557</v>
      </c>
      <c r="D22" s="980" t="s">
        <v>1837</v>
      </c>
      <c r="E22" s="992" t="s">
        <v>164</v>
      </c>
      <c r="F22" s="967" t="s">
        <v>412</v>
      </c>
      <c r="G22" s="955"/>
      <c r="H22" s="955"/>
    </row>
    <row r="23" spans="1:8">
      <c r="A23" s="993"/>
      <c r="B23" s="978">
        <v>39</v>
      </c>
      <c r="C23" s="1735" t="s">
        <v>1838</v>
      </c>
      <c r="D23" s="980" t="s">
        <v>1839</v>
      </c>
      <c r="E23" s="992" t="s">
        <v>159</v>
      </c>
      <c r="F23" s="967"/>
      <c r="G23" s="955"/>
      <c r="H23" s="955"/>
    </row>
    <row r="24" spans="1:8">
      <c r="A24" s="989"/>
      <c r="B24" s="978">
        <v>66</v>
      </c>
      <c r="C24" s="1735" t="s">
        <v>1840</v>
      </c>
      <c r="D24" s="990" t="s">
        <v>1841</v>
      </c>
      <c r="E24" s="994"/>
      <c r="F24" s="967" t="s">
        <v>412</v>
      </c>
      <c r="G24" s="955"/>
      <c r="H24" s="955"/>
    </row>
    <row r="25" spans="1:8">
      <c r="A25" s="989"/>
      <c r="B25" s="978"/>
      <c r="C25" s="1735" t="s">
        <v>1842</v>
      </c>
      <c r="D25" s="990" t="s">
        <v>1843</v>
      </c>
      <c r="E25" s="991" t="s">
        <v>332</v>
      </c>
      <c r="F25" s="967" t="s">
        <v>412</v>
      </c>
      <c r="G25" s="955"/>
      <c r="H25" s="955"/>
    </row>
    <row r="26" spans="1:8" ht="25">
      <c r="A26" s="989"/>
      <c r="B26" s="978"/>
      <c r="C26" s="1735" t="s">
        <v>1844</v>
      </c>
      <c r="D26" s="990" t="s">
        <v>1845</v>
      </c>
      <c r="E26" s="991" t="s">
        <v>159</v>
      </c>
      <c r="F26" s="967" t="s">
        <v>412</v>
      </c>
      <c r="G26" s="955"/>
      <c r="H26" s="955"/>
    </row>
    <row r="27" spans="1:8">
      <c r="A27" s="993"/>
      <c r="B27" s="978">
        <v>37</v>
      </c>
      <c r="C27" s="1735" t="s">
        <v>1532</v>
      </c>
      <c r="D27" s="980" t="s">
        <v>1846</v>
      </c>
      <c r="E27" s="992" t="s">
        <v>159</v>
      </c>
      <c r="F27" s="967" t="s">
        <v>412</v>
      </c>
      <c r="G27" s="955"/>
      <c r="H27" s="955"/>
    </row>
    <row r="28" spans="1:8" ht="25">
      <c r="A28" s="977"/>
      <c r="B28" s="978">
        <v>29</v>
      </c>
      <c r="C28" s="1735" t="s">
        <v>1847</v>
      </c>
      <c r="D28" s="980" t="s">
        <v>1848</v>
      </c>
      <c r="E28" s="992" t="s">
        <v>164</v>
      </c>
      <c r="F28" s="967" t="s">
        <v>356</v>
      </c>
    </row>
    <row r="29" spans="1:8">
      <c r="A29" s="989"/>
      <c r="B29" s="978"/>
      <c r="C29" s="982"/>
      <c r="D29" s="990"/>
      <c r="E29" s="994"/>
      <c r="F29" s="967"/>
    </row>
    <row r="30" spans="1:8" ht="25">
      <c r="A30" s="989"/>
      <c r="B30" s="978"/>
      <c r="C30" s="1735" t="s">
        <v>1849</v>
      </c>
      <c r="D30" s="990" t="s">
        <v>1850</v>
      </c>
      <c r="E30" s="991" t="s">
        <v>1851</v>
      </c>
      <c r="F30" s="967" t="s">
        <v>412</v>
      </c>
    </row>
    <row r="31" spans="1:8">
      <c r="A31" s="993"/>
      <c r="B31" s="978">
        <v>47</v>
      </c>
      <c r="C31" s="1735" t="s">
        <v>1852</v>
      </c>
      <c r="D31" s="980" t="s">
        <v>1853</v>
      </c>
      <c r="E31" s="983" t="s">
        <v>164</v>
      </c>
      <c r="F31" s="967" t="s">
        <v>412</v>
      </c>
    </row>
    <row r="32" spans="1:8">
      <c r="A32" s="993"/>
      <c r="B32" s="978">
        <v>40</v>
      </c>
      <c r="C32" s="1735" t="s">
        <v>1521</v>
      </c>
      <c r="D32" s="980" t="s">
        <v>1854</v>
      </c>
      <c r="E32" s="992" t="s">
        <v>164</v>
      </c>
      <c r="F32" s="967" t="s">
        <v>412</v>
      </c>
    </row>
    <row r="33" spans="1:6">
      <c r="A33" s="977"/>
      <c r="B33" s="978">
        <v>38</v>
      </c>
      <c r="C33" s="995" t="s">
        <v>1570</v>
      </c>
      <c r="D33" s="980" t="s">
        <v>1855</v>
      </c>
      <c r="E33" s="983" t="s">
        <v>164</v>
      </c>
      <c r="F33" s="967"/>
    </row>
    <row r="34" spans="1:6" ht="25">
      <c r="A34" s="996"/>
      <c r="B34" s="978"/>
      <c r="C34" s="1730" t="s">
        <v>1856</v>
      </c>
      <c r="D34" s="990" t="s">
        <v>1857</v>
      </c>
      <c r="E34" s="994"/>
      <c r="F34" s="967"/>
    </row>
    <row r="35" spans="1:6" ht="25">
      <c r="A35" s="997"/>
      <c r="B35" s="978">
        <v>14</v>
      </c>
      <c r="C35" s="1731" t="s">
        <v>1067</v>
      </c>
      <c r="D35" s="990" t="s">
        <v>1858</v>
      </c>
      <c r="E35" s="994" t="s">
        <v>429</v>
      </c>
      <c r="F35" s="968"/>
    </row>
    <row r="36" spans="1:6" ht="25">
      <c r="A36" s="997"/>
      <c r="B36" s="978">
        <v>19</v>
      </c>
      <c r="C36" s="1731" t="s">
        <v>1859</v>
      </c>
      <c r="D36" s="990" t="s">
        <v>1860</v>
      </c>
      <c r="E36" s="994" t="s">
        <v>429</v>
      </c>
      <c r="F36" s="968"/>
    </row>
    <row r="37" spans="1:6" ht="25">
      <c r="A37" s="997"/>
      <c r="B37" s="978">
        <v>20</v>
      </c>
      <c r="C37" s="1731" t="s">
        <v>1861</v>
      </c>
      <c r="D37" s="990" t="s">
        <v>1862</v>
      </c>
      <c r="E37" s="994" t="s">
        <v>429</v>
      </c>
      <c r="F37" s="968"/>
    </row>
    <row r="38" spans="1:6" ht="25">
      <c r="A38" s="997"/>
      <c r="B38" s="978">
        <v>28</v>
      </c>
      <c r="C38" s="1737" t="s">
        <v>1580</v>
      </c>
      <c r="D38" s="990" t="s">
        <v>1863</v>
      </c>
      <c r="E38" s="994" t="s">
        <v>164</v>
      </c>
      <c r="F38" s="968"/>
    </row>
    <row r="39" spans="1:6">
      <c r="A39" s="996"/>
      <c r="B39" s="978">
        <v>29</v>
      </c>
      <c r="C39" s="1734" t="s">
        <v>1864</v>
      </c>
      <c r="D39" s="990" t="s">
        <v>1865</v>
      </c>
      <c r="E39" s="994" t="s">
        <v>164</v>
      </c>
      <c r="F39" s="967"/>
    </row>
    <row r="40" spans="1:6" ht="25">
      <c r="A40" s="996"/>
      <c r="B40" s="978">
        <v>32</v>
      </c>
      <c r="C40" s="1735" t="s">
        <v>1866</v>
      </c>
      <c r="D40" s="990" t="s">
        <v>1218</v>
      </c>
      <c r="E40" s="994" t="s">
        <v>164</v>
      </c>
      <c r="F40" s="967"/>
    </row>
    <row r="41" spans="1:6" ht="25">
      <c r="A41" s="996"/>
      <c r="B41" s="978">
        <v>19</v>
      </c>
      <c r="C41" s="1735" t="s">
        <v>1867</v>
      </c>
      <c r="D41" s="990" t="s">
        <v>1868</v>
      </c>
      <c r="E41" s="994" t="s">
        <v>429</v>
      </c>
      <c r="F41" s="967"/>
    </row>
    <row r="42" spans="1:6">
      <c r="A42" s="996"/>
      <c r="B42" s="978">
        <v>6</v>
      </c>
      <c r="C42" s="1735" t="s">
        <v>1109</v>
      </c>
      <c r="D42" s="990" t="s">
        <v>1869</v>
      </c>
      <c r="E42" s="994" t="s">
        <v>164</v>
      </c>
      <c r="F42" s="967"/>
    </row>
    <row r="43" spans="1:6" ht="25">
      <c r="A43" s="996"/>
      <c r="B43" s="978">
        <v>26</v>
      </c>
      <c r="C43" s="1731" t="s">
        <v>1078</v>
      </c>
      <c r="D43" s="980" t="s">
        <v>1870</v>
      </c>
      <c r="E43" s="994" t="s">
        <v>429</v>
      </c>
      <c r="F43" s="967"/>
    </row>
    <row r="44" spans="1:6">
      <c r="A44" s="996"/>
      <c r="B44" s="978">
        <v>27</v>
      </c>
      <c r="C44" s="1731" t="s">
        <v>1075</v>
      </c>
      <c r="D44" s="980" t="s">
        <v>1871</v>
      </c>
      <c r="E44" s="994" t="s">
        <v>429</v>
      </c>
      <c r="F44" s="967"/>
    </row>
    <row r="45" spans="1:6">
      <c r="A45" s="996"/>
      <c r="B45" s="978">
        <v>16</v>
      </c>
      <c r="C45" s="1738" t="s">
        <v>1872</v>
      </c>
      <c r="D45" s="990" t="s">
        <v>1873</v>
      </c>
      <c r="E45" s="991" t="s">
        <v>164</v>
      </c>
      <c r="F45" s="967"/>
    </row>
    <row r="46" spans="1:6">
      <c r="A46" s="996"/>
      <c r="B46" s="978">
        <v>7</v>
      </c>
      <c r="C46" s="1735" t="s">
        <v>1083</v>
      </c>
      <c r="D46" s="990" t="s">
        <v>1874</v>
      </c>
      <c r="E46" s="994" t="s">
        <v>164</v>
      </c>
      <c r="F46" s="967"/>
    </row>
    <row r="47" spans="1:6">
      <c r="A47" s="998"/>
      <c r="B47" s="978">
        <v>12</v>
      </c>
      <c r="C47" s="1734" t="s">
        <v>1875</v>
      </c>
      <c r="D47" s="990" t="s">
        <v>1876</v>
      </c>
      <c r="E47" s="994" t="s">
        <v>1877</v>
      </c>
      <c r="F47" s="967"/>
    </row>
    <row r="48" spans="1:6" ht="25">
      <c r="A48" s="996"/>
      <c r="B48" s="978">
        <v>32</v>
      </c>
      <c r="C48" s="1735" t="s">
        <v>1878</v>
      </c>
      <c r="D48" s="990" t="s">
        <v>1879</v>
      </c>
      <c r="E48" s="994" t="s">
        <v>164</v>
      </c>
      <c r="F48" s="967"/>
    </row>
    <row r="49" spans="1:6" ht="25">
      <c r="A49" s="996"/>
      <c r="B49" s="978">
        <v>35</v>
      </c>
      <c r="C49" s="1735" t="s">
        <v>1880</v>
      </c>
      <c r="D49" s="990">
        <v>105438</v>
      </c>
      <c r="E49" s="994" t="s">
        <v>173</v>
      </c>
      <c r="F49" s="967"/>
    </row>
    <row r="50" spans="1:6" ht="25">
      <c r="A50" s="996"/>
      <c r="B50" s="978">
        <v>5</v>
      </c>
      <c r="C50" s="1738" t="s">
        <v>1881</v>
      </c>
      <c r="D50" s="990" t="s">
        <v>1882</v>
      </c>
      <c r="E50" s="991" t="s">
        <v>192</v>
      </c>
      <c r="F50" s="967"/>
    </row>
    <row r="51" spans="1:6">
      <c r="A51" s="996"/>
      <c r="B51" s="978">
        <v>28</v>
      </c>
      <c r="C51" s="1731" t="s">
        <v>1080</v>
      </c>
      <c r="D51" s="990" t="s">
        <v>1883</v>
      </c>
      <c r="E51" s="994" t="s">
        <v>429</v>
      </c>
      <c r="F51" s="967"/>
    </row>
    <row r="52" spans="1:6">
      <c r="A52" s="996"/>
      <c r="B52" s="978">
        <v>19</v>
      </c>
      <c r="C52" s="1731" t="s">
        <v>1884</v>
      </c>
      <c r="D52" s="990" t="s">
        <v>1885</v>
      </c>
      <c r="E52" s="994" t="s">
        <v>164</v>
      </c>
      <c r="F52" s="967"/>
    </row>
    <row r="53" spans="1:6" ht="25">
      <c r="A53" s="996"/>
      <c r="B53" s="978">
        <v>36</v>
      </c>
      <c r="C53" s="1735" t="s">
        <v>1585</v>
      </c>
      <c r="D53" s="990" t="s">
        <v>1886</v>
      </c>
      <c r="E53" s="994" t="s">
        <v>164</v>
      </c>
      <c r="F53" s="967"/>
    </row>
    <row r="54" spans="1:6" ht="25">
      <c r="A54" s="996"/>
      <c r="B54" s="978">
        <v>21</v>
      </c>
      <c r="C54" s="1735" t="s">
        <v>1089</v>
      </c>
      <c r="D54" s="990" t="s">
        <v>1887</v>
      </c>
      <c r="E54" s="994" t="s">
        <v>164</v>
      </c>
      <c r="F54" s="967"/>
    </row>
    <row r="55" spans="1:6">
      <c r="A55" s="998"/>
      <c r="B55" s="978">
        <v>18</v>
      </c>
      <c r="C55" s="1735" t="s">
        <v>1589</v>
      </c>
      <c r="D55" s="990" t="s">
        <v>1888</v>
      </c>
      <c r="E55" s="994" t="s">
        <v>164</v>
      </c>
      <c r="F55" s="967"/>
    </row>
    <row r="56" spans="1:6">
      <c r="A56" s="996"/>
      <c r="B56" s="978">
        <v>8</v>
      </c>
      <c r="C56" s="1735" t="s">
        <v>1095</v>
      </c>
      <c r="D56" s="990" t="s">
        <v>1889</v>
      </c>
      <c r="E56" s="999" t="s">
        <v>159</v>
      </c>
      <c r="F56" s="967"/>
    </row>
    <row r="57" spans="1:6">
      <c r="A57" s="998"/>
      <c r="B57" s="978">
        <v>19</v>
      </c>
      <c r="C57" s="1735" t="s">
        <v>1890</v>
      </c>
      <c r="D57" s="990" t="s">
        <v>1891</v>
      </c>
      <c r="E57" s="994" t="s">
        <v>164</v>
      </c>
      <c r="F57" s="967"/>
    </row>
    <row r="58" spans="1:6">
      <c r="A58" s="998"/>
      <c r="B58" s="978">
        <v>20</v>
      </c>
      <c r="C58" s="1735" t="s">
        <v>1114</v>
      </c>
      <c r="D58" s="990" t="s">
        <v>1892</v>
      </c>
      <c r="E58" s="994" t="s">
        <v>159</v>
      </c>
      <c r="F58" s="967"/>
    </row>
    <row r="59" spans="1:6" ht="25">
      <c r="A59" s="996"/>
      <c r="B59" s="978">
        <v>5</v>
      </c>
      <c r="C59" s="1738" t="s">
        <v>1893</v>
      </c>
      <c r="D59" s="990" t="s">
        <v>1894</v>
      </c>
      <c r="E59" s="994" t="s">
        <v>192</v>
      </c>
      <c r="F59" s="967"/>
    </row>
    <row r="60" spans="1:6" ht="25">
      <c r="A60" s="996"/>
      <c r="B60" s="978">
        <v>12</v>
      </c>
      <c r="C60" s="1735" t="s">
        <v>1895</v>
      </c>
      <c r="D60" s="990" t="s">
        <v>1896</v>
      </c>
      <c r="E60" s="999" t="s">
        <v>159</v>
      </c>
      <c r="F60" s="967"/>
    </row>
    <row r="61" spans="1:6" ht="25">
      <c r="A61" s="996"/>
      <c r="B61" s="978">
        <v>8</v>
      </c>
      <c r="C61" s="1734" t="s">
        <v>1101</v>
      </c>
      <c r="D61" s="990" t="s">
        <v>1897</v>
      </c>
      <c r="E61" s="999" t="s">
        <v>159</v>
      </c>
      <c r="F61" s="967"/>
    </row>
    <row r="62" spans="1:6">
      <c r="A62" s="996"/>
      <c r="B62" s="978">
        <v>2</v>
      </c>
      <c r="C62" s="1735" t="s">
        <v>1124</v>
      </c>
      <c r="D62" s="990" t="s">
        <v>1898</v>
      </c>
      <c r="E62" s="999" t="s">
        <v>498</v>
      </c>
      <c r="F62" s="967"/>
    </row>
    <row r="63" spans="1:6" ht="25">
      <c r="A63" s="996"/>
      <c r="B63" s="978">
        <v>14</v>
      </c>
      <c r="C63" s="1735" t="s">
        <v>1119</v>
      </c>
      <c r="D63" s="990" t="s">
        <v>1899</v>
      </c>
      <c r="E63" s="991" t="s">
        <v>159</v>
      </c>
      <c r="F63" s="967"/>
    </row>
    <row r="64" spans="1:6">
      <c r="A64" s="996"/>
      <c r="B64" s="978">
        <v>13</v>
      </c>
      <c r="C64" s="1734" t="s">
        <v>1129</v>
      </c>
      <c r="D64" s="990" t="s">
        <v>1900</v>
      </c>
      <c r="E64" s="999" t="s">
        <v>159</v>
      </c>
      <c r="F64" s="967"/>
    </row>
    <row r="65" spans="1:6">
      <c r="A65" s="996"/>
      <c r="B65" s="978">
        <v>20</v>
      </c>
      <c r="C65" s="1738" t="s">
        <v>1901</v>
      </c>
      <c r="D65" s="990" t="s">
        <v>1902</v>
      </c>
      <c r="E65" s="991" t="s">
        <v>159</v>
      </c>
      <c r="F65" s="967"/>
    </row>
    <row r="66" spans="1:6" ht="25">
      <c r="A66" s="996"/>
      <c r="B66" s="978">
        <v>7</v>
      </c>
      <c r="C66" s="1738" t="s">
        <v>1903</v>
      </c>
      <c r="D66" s="990" t="s">
        <v>1904</v>
      </c>
      <c r="E66" s="994" t="s">
        <v>159</v>
      </c>
      <c r="F66" s="967"/>
    </row>
    <row r="67" spans="1:6" ht="25">
      <c r="A67" s="996"/>
      <c r="B67" s="978">
        <v>18</v>
      </c>
      <c r="C67" s="1734" t="s">
        <v>1146</v>
      </c>
      <c r="D67" s="990" t="s">
        <v>1905</v>
      </c>
      <c r="E67" s="994" t="s">
        <v>164</v>
      </c>
      <c r="F67" s="967"/>
    </row>
    <row r="68" spans="1:6">
      <c r="A68" s="996"/>
      <c r="B68" s="978">
        <v>8</v>
      </c>
      <c r="C68" s="1738" t="s">
        <v>1906</v>
      </c>
      <c r="D68" s="990" t="s">
        <v>1907</v>
      </c>
      <c r="E68" s="991" t="s">
        <v>164</v>
      </c>
      <c r="F68" s="967"/>
    </row>
    <row r="69" spans="1:6">
      <c r="A69" s="996"/>
      <c r="B69" s="978">
        <v>14</v>
      </c>
      <c r="C69" s="1734" t="s">
        <v>1908</v>
      </c>
      <c r="D69" s="990" t="s">
        <v>1909</v>
      </c>
      <c r="E69" s="994" t="s">
        <v>164</v>
      </c>
      <c r="F69" s="967"/>
    </row>
    <row r="70" spans="1:6">
      <c r="A70" s="996"/>
      <c r="B70" s="978">
        <v>15</v>
      </c>
      <c r="C70" s="1735" t="s">
        <v>1910</v>
      </c>
      <c r="D70" s="990" t="s">
        <v>1911</v>
      </c>
      <c r="E70" s="994" t="s">
        <v>164</v>
      </c>
      <c r="F70" s="967"/>
    </row>
    <row r="71" spans="1:6" ht="25">
      <c r="A71" s="996"/>
      <c r="B71" s="978">
        <v>30</v>
      </c>
      <c r="C71" s="1735" t="s">
        <v>1912</v>
      </c>
      <c r="D71" s="990" t="s">
        <v>1913</v>
      </c>
      <c r="E71" s="994" t="s">
        <v>164</v>
      </c>
      <c r="F71" s="967"/>
    </row>
    <row r="72" spans="1:6">
      <c r="A72" s="996"/>
      <c r="B72" s="978">
        <v>10</v>
      </c>
      <c r="C72" s="1735" t="s">
        <v>1914</v>
      </c>
      <c r="D72" s="1739" t="s">
        <v>1915</v>
      </c>
      <c r="E72" s="994" t="s">
        <v>164</v>
      </c>
      <c r="F72" s="967"/>
    </row>
    <row r="73" spans="1:6">
      <c r="A73" s="996"/>
      <c r="B73" s="978">
        <v>8</v>
      </c>
      <c r="C73" s="1735" t="s">
        <v>1916</v>
      </c>
      <c r="D73" s="990" t="s">
        <v>1917</v>
      </c>
      <c r="E73" s="999" t="s">
        <v>164</v>
      </c>
      <c r="F73" s="967"/>
    </row>
    <row r="74" spans="1:6" ht="25">
      <c r="A74" s="996"/>
      <c r="B74" s="978">
        <v>11</v>
      </c>
      <c r="C74" s="1735" t="s">
        <v>1918</v>
      </c>
      <c r="D74" s="990" t="s">
        <v>1919</v>
      </c>
      <c r="E74" s="994" t="s">
        <v>332</v>
      </c>
      <c r="F74" s="967"/>
    </row>
    <row r="75" spans="1:6">
      <c r="A75" s="996"/>
      <c r="B75" s="978">
        <v>8</v>
      </c>
      <c r="C75" s="1735" t="s">
        <v>1920</v>
      </c>
      <c r="D75" s="990" t="s">
        <v>1921</v>
      </c>
      <c r="E75" s="994" t="s">
        <v>1922</v>
      </c>
      <c r="F75" s="967"/>
    </row>
    <row r="76" spans="1:6">
      <c r="A76" s="996"/>
      <c r="B76" s="978">
        <v>17</v>
      </c>
      <c r="C76" s="1735" t="s">
        <v>1152</v>
      </c>
      <c r="D76" s="990" t="s">
        <v>1923</v>
      </c>
      <c r="E76" s="994" t="s">
        <v>164</v>
      </c>
      <c r="F76" s="967"/>
    </row>
    <row r="77" spans="1:6" ht="25">
      <c r="A77" s="996"/>
      <c r="B77" s="978">
        <v>23</v>
      </c>
      <c r="C77" s="1734" t="s">
        <v>1159</v>
      </c>
      <c r="D77" s="990" t="s">
        <v>1924</v>
      </c>
      <c r="E77" s="994" t="s">
        <v>596</v>
      </c>
      <c r="F77" s="967"/>
    </row>
    <row r="78" spans="1:6" ht="25">
      <c r="A78" s="996"/>
      <c r="B78" s="978">
        <v>29</v>
      </c>
      <c r="C78" s="1734" t="s">
        <v>1598</v>
      </c>
      <c r="D78" s="990">
        <v>170964</v>
      </c>
      <c r="E78" s="999" t="s">
        <v>1925</v>
      </c>
      <c r="F78" s="967"/>
    </row>
    <row r="79" spans="1:6">
      <c r="A79" s="996"/>
      <c r="B79" s="978">
        <v>10</v>
      </c>
      <c r="C79" s="1735" t="s">
        <v>1604</v>
      </c>
      <c r="D79" s="1739" t="s">
        <v>1926</v>
      </c>
      <c r="E79" s="994" t="s">
        <v>164</v>
      </c>
      <c r="F79" s="967"/>
    </row>
    <row r="80" spans="1:6" ht="25">
      <c r="A80" s="996"/>
      <c r="B80" s="978">
        <v>6</v>
      </c>
      <c r="C80" s="1734" t="s">
        <v>1206</v>
      </c>
      <c r="D80" s="990" t="s">
        <v>1927</v>
      </c>
      <c r="E80" s="999" t="s">
        <v>159</v>
      </c>
      <c r="F80" s="967"/>
    </row>
    <row r="81" spans="1:6">
      <c r="A81" s="1000"/>
      <c r="B81" s="978">
        <v>23</v>
      </c>
      <c r="C81" s="1735" t="s">
        <v>1614</v>
      </c>
      <c r="D81" s="990" t="s">
        <v>1928</v>
      </c>
      <c r="E81" s="994" t="s">
        <v>1929</v>
      </c>
      <c r="F81" s="967"/>
    </row>
    <row r="82" spans="1:6" ht="25">
      <c r="A82" s="1000"/>
      <c r="B82" s="978">
        <v>28</v>
      </c>
      <c r="C82" s="1734" t="s">
        <v>1930</v>
      </c>
      <c r="D82" s="990">
        <v>198016</v>
      </c>
      <c r="E82" s="994" t="s">
        <v>168</v>
      </c>
      <c r="F82" s="967"/>
    </row>
    <row r="83" spans="1:6">
      <c r="A83" s="1000"/>
      <c r="B83" s="978">
        <v>13</v>
      </c>
      <c r="C83" s="1735" t="s">
        <v>1931</v>
      </c>
      <c r="D83" s="990" t="s">
        <v>1932</v>
      </c>
      <c r="E83" s="994" t="s">
        <v>332</v>
      </c>
      <c r="F83" s="967"/>
    </row>
    <row r="84" spans="1:6">
      <c r="A84" s="1001"/>
      <c r="B84" s="978">
        <v>11</v>
      </c>
      <c r="C84" s="1735" t="s">
        <v>1933</v>
      </c>
      <c r="D84" s="990" t="s">
        <v>1934</v>
      </c>
      <c r="E84" s="994" t="s">
        <v>164</v>
      </c>
      <c r="F84" s="967"/>
    </row>
    <row r="85" spans="1:6" ht="25">
      <c r="A85" s="1001"/>
      <c r="B85" s="978">
        <v>34</v>
      </c>
      <c r="C85" s="1734" t="s">
        <v>1598</v>
      </c>
      <c r="D85" s="990">
        <v>169756</v>
      </c>
      <c r="E85" s="999" t="s">
        <v>1925</v>
      </c>
      <c r="F85" s="967"/>
    </row>
    <row r="86" spans="1:6" ht="25">
      <c r="A86" s="1002"/>
      <c r="B86" s="978">
        <v>1</v>
      </c>
      <c r="C86" s="1734" t="s">
        <v>1619</v>
      </c>
      <c r="D86" s="990" t="s">
        <v>1935</v>
      </c>
      <c r="E86" s="999" t="s">
        <v>332</v>
      </c>
      <c r="F86" s="967"/>
    </row>
    <row r="87" spans="1:6" ht="25">
      <c r="A87" s="1000"/>
      <c r="B87" s="978">
        <v>29</v>
      </c>
      <c r="C87" s="1734" t="s">
        <v>1936</v>
      </c>
      <c r="D87" s="990" t="s">
        <v>1937</v>
      </c>
      <c r="E87" s="994" t="s">
        <v>159</v>
      </c>
      <c r="F87" s="967"/>
    </row>
    <row r="88" spans="1:6" ht="25">
      <c r="A88" s="1001"/>
      <c r="B88" s="978">
        <v>14</v>
      </c>
      <c r="C88" s="1735" t="s">
        <v>1289</v>
      </c>
      <c r="D88" s="990" t="s">
        <v>1938</v>
      </c>
      <c r="E88" s="999" t="s">
        <v>159</v>
      </c>
      <c r="F88" s="967"/>
    </row>
    <row r="89" spans="1:6" ht="25">
      <c r="A89" s="1001"/>
      <c r="B89" s="978">
        <v>15</v>
      </c>
      <c r="C89" s="1735" t="s">
        <v>1295</v>
      </c>
      <c r="D89" s="990" t="s">
        <v>1939</v>
      </c>
      <c r="E89" s="999" t="s">
        <v>159</v>
      </c>
      <c r="F89" s="967"/>
    </row>
    <row r="90" spans="1:6" ht="25">
      <c r="A90" s="1001"/>
      <c r="B90" s="978">
        <v>16</v>
      </c>
      <c r="C90" s="1735" t="s">
        <v>1627</v>
      </c>
      <c r="D90" s="990" t="s">
        <v>1940</v>
      </c>
      <c r="E90" s="994" t="s">
        <v>159</v>
      </c>
      <c r="F90" s="967"/>
    </row>
    <row r="91" spans="1:6" ht="25">
      <c r="A91" s="1001"/>
      <c r="B91" s="978">
        <v>17</v>
      </c>
      <c r="C91" s="1735" t="s">
        <v>1941</v>
      </c>
      <c r="D91" s="990" t="s">
        <v>1942</v>
      </c>
      <c r="E91" s="994" t="s">
        <v>164</v>
      </c>
      <c r="F91" s="967"/>
    </row>
    <row r="92" spans="1:6" ht="25">
      <c r="A92" s="1001"/>
      <c r="B92" s="978">
        <v>18</v>
      </c>
      <c r="C92" s="1735" t="s">
        <v>1201</v>
      </c>
      <c r="D92" s="990" t="s">
        <v>1943</v>
      </c>
      <c r="E92" s="994" t="s">
        <v>164</v>
      </c>
      <c r="F92" s="967"/>
    </row>
    <row r="93" spans="1:6" ht="25">
      <c r="A93" s="1001"/>
      <c r="B93" s="978">
        <v>19</v>
      </c>
      <c r="C93" s="1735" t="s">
        <v>1177</v>
      </c>
      <c r="D93" s="990">
        <v>103063</v>
      </c>
      <c r="E93" s="994" t="s">
        <v>173</v>
      </c>
      <c r="F93" s="967"/>
    </row>
    <row r="94" spans="1:6">
      <c r="A94" s="1001"/>
      <c r="B94" s="978">
        <v>11</v>
      </c>
      <c r="C94" s="1735" t="s">
        <v>1170</v>
      </c>
      <c r="D94" s="990" t="s">
        <v>1944</v>
      </c>
      <c r="E94" s="994" t="s">
        <v>498</v>
      </c>
      <c r="F94" s="967"/>
    </row>
    <row r="95" spans="1:6" ht="25">
      <c r="A95" s="1001"/>
      <c r="B95" s="978">
        <v>12</v>
      </c>
      <c r="C95" s="1735" t="s">
        <v>1945</v>
      </c>
      <c r="D95" s="990" t="s">
        <v>1946</v>
      </c>
      <c r="E95" s="994" t="s">
        <v>159</v>
      </c>
      <c r="F95" s="967"/>
    </row>
    <row r="96" spans="1:6" ht="25">
      <c r="A96" s="1001"/>
      <c r="B96" s="978">
        <v>13</v>
      </c>
      <c r="C96" s="1735" t="s">
        <v>1947</v>
      </c>
      <c r="D96" s="990" t="s">
        <v>1948</v>
      </c>
      <c r="E96" s="999" t="s">
        <v>159</v>
      </c>
      <c r="F96" s="967"/>
    </row>
    <row r="97" spans="1:6" ht="25">
      <c r="A97" s="1001"/>
      <c r="B97" s="978">
        <v>9</v>
      </c>
      <c r="C97" s="1735" t="s">
        <v>1210</v>
      </c>
      <c r="D97" s="990" t="s">
        <v>1949</v>
      </c>
      <c r="E97" s="994" t="s">
        <v>332</v>
      </c>
      <c r="F97" s="967"/>
    </row>
    <row r="98" spans="1:6" ht="25">
      <c r="A98" s="1001"/>
      <c r="B98" s="978">
        <v>10</v>
      </c>
      <c r="C98" s="1735" t="s">
        <v>1183</v>
      </c>
      <c r="D98" s="990">
        <v>185100</v>
      </c>
      <c r="E98" s="994" t="s">
        <v>168</v>
      </c>
      <c r="F98" s="967"/>
    </row>
    <row r="99" spans="1:6">
      <c r="A99" s="1001"/>
      <c r="B99" s="978">
        <v>8</v>
      </c>
      <c r="C99" s="1734" t="s">
        <v>1196</v>
      </c>
      <c r="D99" s="990" t="s">
        <v>1950</v>
      </c>
      <c r="E99" s="999" t="s">
        <v>159</v>
      </c>
      <c r="F99" s="967"/>
    </row>
    <row r="100" spans="1:6" ht="25">
      <c r="A100" s="1001"/>
      <c r="B100" s="978">
        <v>6</v>
      </c>
      <c r="C100" s="1734" t="s">
        <v>1190</v>
      </c>
      <c r="D100" s="990" t="s">
        <v>1951</v>
      </c>
      <c r="E100" s="994" t="s">
        <v>340</v>
      </c>
      <c r="F100" s="967"/>
    </row>
    <row r="101" spans="1:6" ht="25">
      <c r="A101" s="1001"/>
      <c r="B101" s="978">
        <v>22</v>
      </c>
      <c r="C101" s="1735" t="s">
        <v>1952</v>
      </c>
      <c r="D101" s="990" t="s">
        <v>1953</v>
      </c>
      <c r="E101" s="994" t="s">
        <v>332</v>
      </c>
      <c r="F101" s="967"/>
    </row>
    <row r="102" spans="1:6" ht="25">
      <c r="A102" s="1001"/>
      <c r="B102" s="978">
        <v>12</v>
      </c>
      <c r="C102" s="1735" t="s">
        <v>1954</v>
      </c>
      <c r="D102" s="990"/>
      <c r="E102" s="994" t="s">
        <v>1955</v>
      </c>
      <c r="F102" s="967"/>
    </row>
    <row r="103" spans="1:6" ht="25">
      <c r="A103" s="1001"/>
      <c r="B103" s="978">
        <v>13</v>
      </c>
      <c r="C103" s="1738" t="s">
        <v>1956</v>
      </c>
      <c r="D103" s="990" t="s">
        <v>1957</v>
      </c>
      <c r="E103" s="994" t="s">
        <v>159</v>
      </c>
      <c r="F103" s="967"/>
    </row>
    <row r="104" spans="1:6" ht="25">
      <c r="A104" s="1001"/>
      <c r="B104" s="978">
        <v>25</v>
      </c>
      <c r="C104" s="1735" t="s">
        <v>1627</v>
      </c>
      <c r="D104" s="990" t="s">
        <v>1940</v>
      </c>
      <c r="E104" s="999" t="s">
        <v>159</v>
      </c>
      <c r="F104" s="967"/>
    </row>
    <row r="105" spans="1:6" ht="25">
      <c r="A105" s="1001"/>
      <c r="B105" s="978">
        <v>15</v>
      </c>
      <c r="C105" s="1735" t="s">
        <v>1633</v>
      </c>
      <c r="D105" s="990" t="s">
        <v>1958</v>
      </c>
      <c r="E105" s="999" t="s">
        <v>159</v>
      </c>
      <c r="F105" s="967"/>
    </row>
    <row r="106" spans="1:6" ht="25">
      <c r="A106" s="1001"/>
      <c r="B106" s="978">
        <v>8</v>
      </c>
      <c r="C106" s="1735" t="s">
        <v>1637</v>
      </c>
      <c r="D106" s="990" t="s">
        <v>1959</v>
      </c>
      <c r="E106" s="999" t="s">
        <v>159</v>
      </c>
      <c r="F106" s="967"/>
    </row>
    <row r="107" spans="1:6" ht="25">
      <c r="A107" s="1001"/>
      <c r="B107" s="978">
        <v>16</v>
      </c>
      <c r="C107" s="1735" t="s">
        <v>1638</v>
      </c>
      <c r="D107" s="990" t="s">
        <v>1960</v>
      </c>
      <c r="E107" s="999" t="s">
        <v>164</v>
      </c>
      <c r="F107" s="967"/>
    </row>
    <row r="108" spans="1:6" ht="25">
      <c r="A108" s="1001"/>
      <c r="B108" s="978">
        <v>11</v>
      </c>
      <c r="C108" s="1735" t="s">
        <v>1961</v>
      </c>
      <c r="D108" s="990" t="s">
        <v>1962</v>
      </c>
      <c r="E108" s="991" t="s">
        <v>164</v>
      </c>
      <c r="F108" s="967"/>
    </row>
    <row r="109" spans="1:6" ht="25">
      <c r="A109" s="1003"/>
      <c r="B109" s="978">
        <v>1</v>
      </c>
      <c r="C109" s="1004" t="s">
        <v>1214</v>
      </c>
      <c r="D109" s="978" t="s">
        <v>1963</v>
      </c>
      <c r="E109" s="994" t="s">
        <v>332</v>
      </c>
      <c r="F109" s="975"/>
    </row>
    <row r="110" spans="1:6">
      <c r="A110" s="1001"/>
      <c r="B110" s="978">
        <v>32</v>
      </c>
      <c r="C110" s="1735" t="s">
        <v>1645</v>
      </c>
      <c r="D110" s="990" t="s">
        <v>1964</v>
      </c>
      <c r="E110" s="999" t="s">
        <v>159</v>
      </c>
      <c r="F110" s="967"/>
    </row>
    <row r="111" spans="1:6" ht="25">
      <c r="A111" s="1001"/>
      <c r="B111" s="978">
        <v>20</v>
      </c>
      <c r="C111" s="1735" t="s">
        <v>1650</v>
      </c>
      <c r="D111" s="990" t="s">
        <v>1965</v>
      </c>
      <c r="E111" s="999" t="s">
        <v>164</v>
      </c>
      <c r="F111" s="967"/>
    </row>
    <row r="112" spans="1:6" ht="25">
      <c r="A112" s="1001"/>
      <c r="B112" s="978">
        <v>9</v>
      </c>
      <c r="C112" s="1735" t="s">
        <v>1658</v>
      </c>
      <c r="D112" s="990" t="s">
        <v>1966</v>
      </c>
      <c r="E112" s="999" t="s">
        <v>159</v>
      </c>
      <c r="F112" s="967"/>
    </row>
    <row r="113" spans="1:6">
      <c r="A113" s="1001"/>
      <c r="B113" s="978"/>
      <c r="C113" s="1734" t="s">
        <v>1664</v>
      </c>
      <c r="D113" s="990" t="s">
        <v>1967</v>
      </c>
      <c r="E113" s="999" t="s">
        <v>159</v>
      </c>
      <c r="F113" s="967"/>
    </row>
    <row r="114" spans="1:6" ht="25">
      <c r="A114" s="1001"/>
      <c r="B114" s="978">
        <v>3</v>
      </c>
      <c r="C114" s="1734" t="s">
        <v>1668</v>
      </c>
      <c r="D114" s="990" t="s">
        <v>1968</v>
      </c>
      <c r="E114" s="994" t="s">
        <v>400</v>
      </c>
      <c r="F114" s="967"/>
    </row>
    <row r="115" spans="1:6" ht="25">
      <c r="A115" s="1001"/>
      <c r="B115" s="978"/>
      <c r="C115" s="1735" t="s">
        <v>1676</v>
      </c>
      <c r="D115" s="990" t="s">
        <v>1969</v>
      </c>
      <c r="E115" s="994"/>
      <c r="F115" s="967"/>
    </row>
    <row r="116" spans="1:6">
      <c r="A116" s="1001"/>
      <c r="B116" s="978">
        <v>13</v>
      </c>
      <c r="C116" s="1735" t="s">
        <v>1970</v>
      </c>
      <c r="D116" s="990" t="s">
        <v>1971</v>
      </c>
      <c r="E116" s="991" t="s">
        <v>159</v>
      </c>
      <c r="F116" s="967"/>
    </row>
    <row r="117" spans="1:6" ht="25">
      <c r="A117" s="1001"/>
      <c r="B117" s="978">
        <v>16</v>
      </c>
      <c r="C117" s="1735" t="s">
        <v>1678</v>
      </c>
      <c r="D117" s="990" t="s">
        <v>1972</v>
      </c>
      <c r="E117" s="994" t="s">
        <v>164</v>
      </c>
      <c r="F117" s="967"/>
    </row>
    <row r="118" spans="1:6" ht="25">
      <c r="A118" s="1001"/>
      <c r="B118" s="978">
        <v>20</v>
      </c>
      <c r="C118" s="1735" t="s">
        <v>1681</v>
      </c>
      <c r="D118" s="990"/>
      <c r="E118" s="994" t="s">
        <v>1973</v>
      </c>
      <c r="F118" s="967"/>
    </row>
    <row r="119" spans="1:6" ht="37.5">
      <c r="A119" s="1001"/>
      <c r="B119" s="978">
        <v>24</v>
      </c>
      <c r="C119" s="1735" t="s">
        <v>1686</v>
      </c>
      <c r="D119" s="990" t="s">
        <v>1974</v>
      </c>
      <c r="E119" s="999" t="s">
        <v>164</v>
      </c>
      <c r="F119" s="967"/>
    </row>
    <row r="120" spans="1:6">
      <c r="A120" s="1001"/>
      <c r="B120" s="978">
        <v>17</v>
      </c>
      <c r="C120" s="1735" t="s">
        <v>1690</v>
      </c>
      <c r="D120" s="990" t="s">
        <v>1975</v>
      </c>
      <c r="E120" s="999" t="s">
        <v>159</v>
      </c>
      <c r="F120" s="967"/>
    </row>
    <row r="121" spans="1:6" ht="25">
      <c r="A121" s="1001"/>
      <c r="B121" s="978">
        <v>21</v>
      </c>
      <c r="C121" s="1735" t="s">
        <v>1693</v>
      </c>
      <c r="D121" s="990" t="s">
        <v>1976</v>
      </c>
      <c r="E121" s="994" t="s">
        <v>1977</v>
      </c>
      <c r="F121" s="967"/>
    </row>
    <row r="122" spans="1:6">
      <c r="A122" s="1001"/>
      <c r="B122" s="978">
        <v>29</v>
      </c>
      <c r="C122" s="1735" t="s">
        <v>1705</v>
      </c>
      <c r="D122" s="990" t="s">
        <v>1978</v>
      </c>
      <c r="E122" s="999" t="s">
        <v>164</v>
      </c>
      <c r="F122" s="967"/>
    </row>
    <row r="123" spans="1:6" ht="25">
      <c r="A123" s="1001"/>
      <c r="B123" s="978">
        <v>31</v>
      </c>
      <c r="C123" s="1735" t="s">
        <v>1702</v>
      </c>
      <c r="D123" s="990" t="s">
        <v>1979</v>
      </c>
      <c r="E123" s="999" t="s">
        <v>164</v>
      </c>
      <c r="F123" s="967"/>
    </row>
    <row r="124" spans="1:6" ht="25">
      <c r="A124" s="1001"/>
      <c r="B124" s="978">
        <v>36</v>
      </c>
      <c r="C124" s="1735" t="s">
        <v>1699</v>
      </c>
      <c r="D124" s="990" t="s">
        <v>1980</v>
      </c>
      <c r="E124" s="999" t="s">
        <v>159</v>
      </c>
      <c r="F124" s="967"/>
    </row>
    <row r="125" spans="1:6" ht="25">
      <c r="A125" s="1001"/>
      <c r="B125" s="978">
        <v>14</v>
      </c>
      <c r="C125" s="1734" t="s">
        <v>1709</v>
      </c>
      <c r="D125" s="990" t="s">
        <v>1981</v>
      </c>
      <c r="E125" s="999" t="s">
        <v>164</v>
      </c>
      <c r="F125" s="967"/>
    </row>
    <row r="126" spans="1:6">
      <c r="A126" s="1001"/>
      <c r="B126" s="978">
        <v>17</v>
      </c>
      <c r="C126" s="1735" t="s">
        <v>1982</v>
      </c>
      <c r="D126" s="990" t="s">
        <v>1983</v>
      </c>
      <c r="E126" s="999" t="s">
        <v>159</v>
      </c>
      <c r="F126" s="967"/>
    </row>
    <row r="127" spans="1:6" ht="25">
      <c r="A127" s="1001"/>
      <c r="B127" s="978">
        <v>18</v>
      </c>
      <c r="C127" s="1738" t="s">
        <v>1714</v>
      </c>
      <c r="D127" s="990" t="s">
        <v>1984</v>
      </c>
      <c r="E127" s="999" t="s">
        <v>159</v>
      </c>
      <c r="F127" s="967"/>
    </row>
    <row r="128" spans="1:6" ht="25">
      <c r="A128" s="1001"/>
      <c r="B128" s="978">
        <v>13</v>
      </c>
      <c r="C128" s="1734" t="s">
        <v>1717</v>
      </c>
      <c r="D128" s="990" t="s">
        <v>1985</v>
      </c>
      <c r="E128" s="999" t="s">
        <v>159</v>
      </c>
      <c r="F128" s="967"/>
    </row>
    <row r="129" spans="1:6" ht="25">
      <c r="A129" s="1001"/>
      <c r="B129" s="978">
        <v>17</v>
      </c>
      <c r="C129" s="1735" t="s">
        <v>1720</v>
      </c>
      <c r="D129" s="990" t="s">
        <v>1986</v>
      </c>
      <c r="E129" s="999" t="s">
        <v>164</v>
      </c>
      <c r="F129" s="967"/>
    </row>
    <row r="130" spans="1:6">
      <c r="A130" s="1001"/>
      <c r="B130" s="978">
        <v>9</v>
      </c>
      <c r="C130" s="1738" t="s">
        <v>1987</v>
      </c>
      <c r="D130" s="990" t="s">
        <v>1988</v>
      </c>
      <c r="E130" s="994" t="s">
        <v>159</v>
      </c>
      <c r="F130" s="967"/>
    </row>
    <row r="131" spans="1:6" ht="25">
      <c r="A131" s="1001"/>
      <c r="B131" s="978">
        <v>31</v>
      </c>
      <c r="C131" s="1735" t="s">
        <v>1723</v>
      </c>
      <c r="D131" s="990" t="s">
        <v>1989</v>
      </c>
      <c r="E131" s="999" t="s">
        <v>164</v>
      </c>
      <c r="F131" s="967"/>
    </row>
    <row r="132" spans="1:6" ht="25">
      <c r="A132" s="1001"/>
      <c r="B132" s="978">
        <v>12</v>
      </c>
      <c r="C132" s="1738" t="s">
        <v>1990</v>
      </c>
      <c r="D132" s="990" t="s">
        <v>1991</v>
      </c>
      <c r="E132" s="999" t="s">
        <v>159</v>
      </c>
      <c r="F132" s="967"/>
    </row>
    <row r="133" spans="1:6" ht="25">
      <c r="A133" s="1001"/>
      <c r="B133" s="978">
        <v>16</v>
      </c>
      <c r="C133" s="1735" t="s">
        <v>1726</v>
      </c>
      <c r="D133" s="990" t="s">
        <v>1992</v>
      </c>
      <c r="E133" s="999" t="s">
        <v>159</v>
      </c>
      <c r="F133" s="967"/>
    </row>
    <row r="134" spans="1:6" ht="25">
      <c r="A134" s="1001"/>
      <c r="B134" s="978">
        <v>7</v>
      </c>
      <c r="C134" s="1735" t="s">
        <v>1739</v>
      </c>
      <c r="D134" s="990" t="s">
        <v>1993</v>
      </c>
      <c r="E134" s="999" t="s">
        <v>1994</v>
      </c>
      <c r="F134" s="967"/>
    </row>
    <row r="135" spans="1:6" ht="25">
      <c r="A135" s="1001"/>
      <c r="B135" s="978">
        <v>1</v>
      </c>
      <c r="C135" s="1735" t="s">
        <v>1214</v>
      </c>
      <c r="D135" s="990" t="s">
        <v>1995</v>
      </c>
      <c r="E135" s="999" t="s">
        <v>332</v>
      </c>
      <c r="F135" s="967"/>
    </row>
    <row r="136" spans="1:6" ht="25">
      <c r="A136" s="1001"/>
      <c r="B136" s="978">
        <v>6</v>
      </c>
      <c r="C136" s="1735" t="s">
        <v>1996</v>
      </c>
      <c r="D136" s="990" t="s">
        <v>1997</v>
      </c>
      <c r="E136" s="999" t="s">
        <v>164</v>
      </c>
      <c r="F136" s="967"/>
    </row>
    <row r="137" spans="1:6" ht="25">
      <c r="A137" s="1005"/>
      <c r="B137" s="978">
        <v>15</v>
      </c>
      <c r="C137" s="1738" t="s">
        <v>1998</v>
      </c>
      <c r="D137" s="990" t="s">
        <v>1999</v>
      </c>
      <c r="E137" s="1006" t="s">
        <v>159</v>
      </c>
      <c r="F137" s="967"/>
    </row>
    <row r="138" spans="1:6" ht="25">
      <c r="A138" s="1005"/>
      <c r="B138" s="978">
        <v>8</v>
      </c>
      <c r="C138" s="1735" t="s">
        <v>2000</v>
      </c>
      <c r="D138" s="990" t="s">
        <v>2001</v>
      </c>
      <c r="E138" s="1006" t="s">
        <v>159</v>
      </c>
      <c r="F138" s="967"/>
    </row>
    <row r="139" spans="1:6">
      <c r="A139" s="1005"/>
      <c r="B139" s="978">
        <v>20</v>
      </c>
      <c r="C139" s="1740" t="s">
        <v>1744</v>
      </c>
      <c r="D139" s="990" t="s">
        <v>2002</v>
      </c>
      <c r="E139" s="1006" t="s">
        <v>1994</v>
      </c>
      <c r="F139" s="967"/>
    </row>
    <row r="140" spans="1:6" ht="37.5">
      <c r="A140" s="1005"/>
      <c r="B140" s="978">
        <v>20</v>
      </c>
      <c r="C140" s="1735" t="s">
        <v>1756</v>
      </c>
      <c r="D140" s="990" t="s">
        <v>2003</v>
      </c>
      <c r="E140" s="1006" t="s">
        <v>164</v>
      </c>
      <c r="F140" s="967"/>
    </row>
    <row r="141" spans="1:6" ht="26">
      <c r="A141" s="1005"/>
      <c r="B141" s="978">
        <v>34</v>
      </c>
      <c r="C141" s="1738" t="s">
        <v>2004</v>
      </c>
      <c r="D141" s="990">
        <v>1094</v>
      </c>
      <c r="E141" s="1007" t="s">
        <v>2005</v>
      </c>
      <c r="F141" s="967"/>
    </row>
    <row r="142" spans="1:6">
      <c r="A142" s="1005"/>
      <c r="B142" s="978">
        <v>23</v>
      </c>
      <c r="C142" s="1735" t="s">
        <v>1787</v>
      </c>
      <c r="D142" s="990" t="s">
        <v>2006</v>
      </c>
      <c r="E142" s="1008" t="s">
        <v>512</v>
      </c>
      <c r="F142" s="967"/>
    </row>
    <row r="143" spans="1:6" ht="25">
      <c r="A143" s="1005"/>
      <c r="B143" s="978">
        <v>24</v>
      </c>
      <c r="C143" s="1735" t="s">
        <v>2007</v>
      </c>
      <c r="D143" s="990" t="s">
        <v>2008</v>
      </c>
      <c r="E143" s="1006" t="s">
        <v>164</v>
      </c>
      <c r="F143" s="967"/>
    </row>
    <row r="144" spans="1:6">
      <c r="A144" s="1005"/>
      <c r="B144" s="978">
        <v>21</v>
      </c>
      <c r="C144" s="1735" t="s">
        <v>1752</v>
      </c>
      <c r="D144" s="990" t="s">
        <v>2009</v>
      </c>
      <c r="E144" s="1008" t="s">
        <v>192</v>
      </c>
      <c r="F144" s="967"/>
    </row>
    <row r="145" spans="1:6" ht="25">
      <c r="A145" s="1005"/>
      <c r="B145" s="978">
        <v>14</v>
      </c>
      <c r="C145" s="1735" t="s">
        <v>1746</v>
      </c>
      <c r="D145" s="990" t="s">
        <v>2010</v>
      </c>
      <c r="E145" s="1006" t="s">
        <v>164</v>
      </c>
      <c r="F145" s="967"/>
    </row>
    <row r="146" spans="1:6" ht="25">
      <c r="A146" s="1005"/>
      <c r="B146" s="978">
        <v>19</v>
      </c>
      <c r="C146" s="1735" t="s">
        <v>1765</v>
      </c>
      <c r="D146" s="990">
        <v>168619</v>
      </c>
      <c r="E146" s="1006" t="s">
        <v>1925</v>
      </c>
      <c r="F146" s="967"/>
    </row>
    <row r="147" spans="1:6" ht="25">
      <c r="A147" s="1005"/>
      <c r="B147" s="978">
        <v>7</v>
      </c>
      <c r="C147" s="1735" t="s">
        <v>1761</v>
      </c>
      <c r="D147" s="990" t="s">
        <v>2011</v>
      </c>
      <c r="E147" s="1006" t="s">
        <v>332</v>
      </c>
      <c r="F147" s="967"/>
    </row>
    <row r="148" spans="1:6" ht="25">
      <c r="A148" s="1005"/>
      <c r="B148" s="978">
        <v>14</v>
      </c>
      <c r="C148" s="1734" t="s">
        <v>1770</v>
      </c>
      <c r="D148" s="990" t="s">
        <v>2012</v>
      </c>
      <c r="E148" s="1006" t="s">
        <v>164</v>
      </c>
      <c r="F148" s="967"/>
    </row>
    <row r="149" spans="1:6" ht="25">
      <c r="A149" s="1005"/>
      <c r="B149" s="978">
        <v>32</v>
      </c>
      <c r="C149" s="1735" t="s">
        <v>2013</v>
      </c>
      <c r="D149" s="990" t="s">
        <v>2014</v>
      </c>
      <c r="E149" s="1006" t="s">
        <v>164</v>
      </c>
      <c r="F149" s="967"/>
    </row>
    <row r="150" spans="1:6">
      <c r="A150" s="1005"/>
      <c r="B150" s="978">
        <v>8</v>
      </c>
      <c r="C150" s="1735" t="s">
        <v>2015</v>
      </c>
      <c r="D150" s="990" t="s">
        <v>2016</v>
      </c>
      <c r="E150" s="1008" t="s">
        <v>498</v>
      </c>
      <c r="F150" s="967"/>
    </row>
    <row r="151" spans="1:6">
      <c r="A151" s="1005"/>
      <c r="B151" s="978">
        <v>25</v>
      </c>
      <c r="C151" s="1735" t="s">
        <v>1775</v>
      </c>
      <c r="D151" s="990">
        <v>98148</v>
      </c>
      <c r="E151" s="1008" t="s">
        <v>173</v>
      </c>
      <c r="F151" s="967"/>
    </row>
    <row r="152" spans="1:6">
      <c r="A152" s="1005"/>
      <c r="B152" s="978">
        <v>22</v>
      </c>
      <c r="C152" s="1734" t="s">
        <v>1784</v>
      </c>
      <c r="D152" s="990" t="s">
        <v>2017</v>
      </c>
      <c r="E152" s="1006" t="s">
        <v>159</v>
      </c>
      <c r="F152" s="967"/>
    </row>
    <row r="153" spans="1:6" ht="25">
      <c r="A153" s="1005"/>
      <c r="B153" s="978">
        <v>26</v>
      </c>
      <c r="C153" s="1735" t="s">
        <v>1219</v>
      </c>
      <c r="D153" s="990" t="s">
        <v>2018</v>
      </c>
      <c r="E153" s="1008" t="s">
        <v>2019</v>
      </c>
      <c r="F153" s="967"/>
    </row>
    <row r="154" spans="1:6">
      <c r="A154" s="1005"/>
      <c r="B154" s="978">
        <v>12</v>
      </c>
      <c r="C154" s="1735" t="s">
        <v>1230</v>
      </c>
      <c r="D154" s="990" t="s">
        <v>2020</v>
      </c>
      <c r="E154" s="1006" t="s">
        <v>159</v>
      </c>
      <c r="F154" s="967"/>
    </row>
    <row r="155" spans="1:6" ht="25">
      <c r="A155" s="1005"/>
      <c r="B155" s="978">
        <v>13</v>
      </c>
      <c r="C155" s="1735" t="s">
        <v>1236</v>
      </c>
      <c r="D155" s="990" t="s">
        <v>2021</v>
      </c>
      <c r="E155" s="1006" t="s">
        <v>159</v>
      </c>
      <c r="F155" s="967"/>
    </row>
    <row r="156" spans="1:6" ht="25">
      <c r="A156" s="1005"/>
      <c r="B156" s="978">
        <v>14</v>
      </c>
      <c r="C156" s="1735" t="s">
        <v>1238</v>
      </c>
      <c r="D156" s="990" t="s">
        <v>2022</v>
      </c>
      <c r="E156" s="1006" t="s">
        <v>159</v>
      </c>
      <c r="F156" s="967"/>
    </row>
    <row r="157" spans="1:6" ht="25">
      <c r="A157" s="1005"/>
      <c r="B157" s="978">
        <v>20</v>
      </c>
      <c r="C157" s="1738" t="s">
        <v>1239</v>
      </c>
      <c r="D157" s="990" t="s">
        <v>2023</v>
      </c>
      <c r="E157" s="1006" t="s">
        <v>164</v>
      </c>
      <c r="F157" s="967"/>
    </row>
    <row r="158" spans="1:6" ht="25">
      <c r="A158" s="1005"/>
      <c r="B158" s="978">
        <v>15</v>
      </c>
      <c r="C158" s="1738" t="s">
        <v>1243</v>
      </c>
      <c r="D158" s="990" t="s">
        <v>2024</v>
      </c>
      <c r="E158" s="1006" t="s">
        <v>159</v>
      </c>
      <c r="F158" s="967"/>
    </row>
    <row r="159" spans="1:6" ht="25">
      <c r="A159" s="1005"/>
      <c r="B159" s="978">
        <v>22</v>
      </c>
      <c r="C159" s="1735" t="s">
        <v>2025</v>
      </c>
      <c r="D159" s="990" t="s">
        <v>2026</v>
      </c>
      <c r="E159" s="1006" t="s">
        <v>164</v>
      </c>
      <c r="F159" s="967"/>
    </row>
    <row r="160" spans="1:6" ht="25">
      <c r="A160" s="1005"/>
      <c r="B160" s="978">
        <v>23</v>
      </c>
      <c r="C160" s="1735" t="s">
        <v>2027</v>
      </c>
      <c r="D160" s="990" t="s">
        <v>2028</v>
      </c>
      <c r="E160" s="1006" t="s">
        <v>164</v>
      </c>
      <c r="F160" s="967"/>
    </row>
    <row r="161" spans="1:6" ht="25">
      <c r="A161" s="1005"/>
      <c r="B161" s="978">
        <v>21</v>
      </c>
      <c r="C161" s="1735" t="s">
        <v>1250</v>
      </c>
      <c r="D161" s="990" t="s">
        <v>2029</v>
      </c>
      <c r="E161" s="1006" t="s">
        <v>164</v>
      </c>
      <c r="F161" s="967"/>
    </row>
    <row r="162" spans="1:6" ht="25">
      <c r="A162" s="1005"/>
      <c r="B162" s="978">
        <v>19</v>
      </c>
      <c r="C162" s="1735" t="s">
        <v>2030</v>
      </c>
      <c r="D162" s="990" t="s">
        <v>2031</v>
      </c>
      <c r="E162" s="1006" t="s">
        <v>159</v>
      </c>
      <c r="F162" s="967"/>
    </row>
    <row r="163" spans="1:6">
      <c r="A163" s="1005"/>
      <c r="B163" s="978">
        <v>1</v>
      </c>
      <c r="C163" s="1738" t="s">
        <v>1260</v>
      </c>
      <c r="D163" s="990" t="s">
        <v>2032</v>
      </c>
      <c r="E163" s="1006" t="s">
        <v>332</v>
      </c>
      <c r="F163" s="967"/>
    </row>
    <row r="164" spans="1:6" ht="25">
      <c r="A164" s="1005"/>
      <c r="B164" s="978">
        <v>18</v>
      </c>
      <c r="C164" s="1735" t="s">
        <v>1267</v>
      </c>
      <c r="D164" s="990" t="s">
        <v>2033</v>
      </c>
      <c r="E164" s="1006" t="s">
        <v>164</v>
      </c>
      <c r="F164" s="967"/>
    </row>
    <row r="165" spans="1:6" ht="25">
      <c r="A165" s="1005"/>
      <c r="B165" s="978">
        <v>21</v>
      </c>
      <c r="C165" s="1734" t="s">
        <v>1279</v>
      </c>
      <c r="D165" s="990" t="s">
        <v>2034</v>
      </c>
      <c r="E165" s="1008" t="s">
        <v>340</v>
      </c>
      <c r="F165" s="967"/>
    </row>
    <row r="166" spans="1:6" ht="25">
      <c r="A166" s="1005"/>
      <c r="B166" s="978">
        <v>25</v>
      </c>
      <c r="C166" s="1735" t="s">
        <v>1274</v>
      </c>
      <c r="D166" s="990" t="s">
        <v>2035</v>
      </c>
      <c r="E166" s="1006" t="s">
        <v>159</v>
      </c>
      <c r="F166" s="967"/>
    </row>
    <row r="167" spans="1:6">
      <c r="A167" s="1005"/>
      <c r="B167" s="978">
        <v>17</v>
      </c>
      <c r="C167" s="1738" t="s">
        <v>2036</v>
      </c>
      <c r="D167" s="990" t="s">
        <v>2037</v>
      </c>
      <c r="E167" s="1006" t="s">
        <v>159</v>
      </c>
      <c r="F167" s="967"/>
    </row>
    <row r="168" spans="1:6" ht="25">
      <c r="A168" s="1005"/>
      <c r="B168" s="978">
        <v>30</v>
      </c>
      <c r="C168" s="1735" t="s">
        <v>2038</v>
      </c>
      <c r="D168" s="990" t="s">
        <v>2039</v>
      </c>
      <c r="E168" s="1006" t="s">
        <v>164</v>
      </c>
      <c r="F168" s="967"/>
    </row>
    <row r="169" spans="1:6">
      <c r="A169" s="1005"/>
      <c r="B169" s="978">
        <v>23</v>
      </c>
      <c r="C169" s="1734" t="s">
        <v>1284</v>
      </c>
      <c r="D169" s="990" t="s">
        <v>2040</v>
      </c>
      <c r="E169" s="1006" t="s">
        <v>159</v>
      </c>
      <c r="F169" s="967"/>
    </row>
    <row r="170" spans="1:6" ht="25">
      <c r="A170" s="1005"/>
      <c r="B170" s="978">
        <v>13</v>
      </c>
      <c r="C170" s="1735" t="s">
        <v>2041</v>
      </c>
      <c r="D170" s="990" t="s">
        <v>2042</v>
      </c>
      <c r="E170" s="1006" t="s">
        <v>159</v>
      </c>
      <c r="F170" s="967"/>
    </row>
    <row r="171" spans="1:6" ht="25">
      <c r="A171" s="1005"/>
      <c r="B171" s="978">
        <v>28</v>
      </c>
      <c r="C171" s="1735" t="s">
        <v>2043</v>
      </c>
      <c r="D171" s="990" t="s">
        <v>2044</v>
      </c>
      <c r="E171" s="1006" t="s">
        <v>164</v>
      </c>
      <c r="F171" s="967"/>
    </row>
    <row r="172" spans="1:6">
      <c r="A172" s="1005"/>
      <c r="B172" s="978">
        <v>17</v>
      </c>
      <c r="C172" s="1735" t="s">
        <v>2045</v>
      </c>
      <c r="D172" s="990" t="s">
        <v>2046</v>
      </c>
      <c r="E172" s="1006" t="s">
        <v>159</v>
      </c>
      <c r="F172" s="967"/>
    </row>
    <row r="173" spans="1:6" ht="25">
      <c r="A173" s="1005"/>
      <c r="B173" s="978">
        <v>8</v>
      </c>
      <c r="C173" s="1734" t="s">
        <v>1305</v>
      </c>
      <c r="D173" s="990" t="s">
        <v>2047</v>
      </c>
      <c r="E173" s="1006" t="s">
        <v>164</v>
      </c>
      <c r="F173" s="967"/>
    </row>
    <row r="174" spans="1:6">
      <c r="A174" s="1005"/>
      <c r="B174" s="978">
        <v>18</v>
      </c>
      <c r="C174" s="1735" t="s">
        <v>1311</v>
      </c>
      <c r="D174" s="990" t="s">
        <v>2048</v>
      </c>
      <c r="E174" s="1008" t="s">
        <v>192</v>
      </c>
      <c r="F174" s="967"/>
    </row>
    <row r="175" spans="1:6">
      <c r="A175" s="1005"/>
      <c r="B175" s="978">
        <v>26</v>
      </c>
      <c r="C175" s="1735" t="s">
        <v>2049</v>
      </c>
      <c r="D175" s="990" t="s">
        <v>2050</v>
      </c>
      <c r="E175" s="1006" t="s">
        <v>159</v>
      </c>
      <c r="F175" s="967"/>
    </row>
    <row r="176" spans="1:6" ht="25">
      <c r="A176" s="1005"/>
      <c r="B176" s="978">
        <v>10</v>
      </c>
      <c r="C176" s="1735" t="s">
        <v>2051</v>
      </c>
      <c r="D176" s="990" t="s">
        <v>2052</v>
      </c>
      <c r="E176" s="1008" t="s">
        <v>159</v>
      </c>
      <c r="F176" s="967"/>
    </row>
    <row r="177" spans="1:6" ht="25">
      <c r="A177" s="1005"/>
      <c r="B177" s="978">
        <v>7</v>
      </c>
      <c r="C177" s="1735" t="s">
        <v>2053</v>
      </c>
      <c r="D177" s="990" t="s">
        <v>2054</v>
      </c>
      <c r="E177" s="1006" t="s">
        <v>164</v>
      </c>
      <c r="F177" s="967"/>
    </row>
    <row r="178" spans="1:6" ht="25">
      <c r="A178" s="1005"/>
      <c r="B178" s="978">
        <v>9</v>
      </c>
      <c r="C178" s="1735" t="s">
        <v>2055</v>
      </c>
      <c r="D178" s="990" t="s">
        <v>2056</v>
      </c>
      <c r="E178" s="1006" t="s">
        <v>159</v>
      </c>
      <c r="F178" s="967"/>
    </row>
    <row r="179" spans="1:6" ht="25">
      <c r="A179" s="1005"/>
      <c r="B179" s="978">
        <v>16</v>
      </c>
      <c r="C179" s="1735" t="s">
        <v>1315</v>
      </c>
      <c r="D179" s="990">
        <v>166322</v>
      </c>
      <c r="E179" s="1006" t="s">
        <v>1925</v>
      </c>
      <c r="F179" s="967"/>
    </row>
    <row r="180" spans="1:6">
      <c r="A180" s="1005"/>
      <c r="B180" s="978">
        <v>8</v>
      </c>
      <c r="C180" s="1735" t="s">
        <v>2057</v>
      </c>
      <c r="D180" s="990" t="s">
        <v>2058</v>
      </c>
      <c r="E180" s="1006" t="s">
        <v>159</v>
      </c>
      <c r="F180" s="967"/>
    </row>
    <row r="181" spans="1:6" ht="25">
      <c r="A181" s="1005"/>
      <c r="B181" s="978">
        <v>7</v>
      </c>
      <c r="C181" s="1738" t="s">
        <v>2059</v>
      </c>
      <c r="D181" s="990" t="s">
        <v>2060</v>
      </c>
      <c r="E181" s="1006" t="s">
        <v>164</v>
      </c>
      <c r="F181" s="967"/>
    </row>
    <row r="182" spans="1:6" ht="25">
      <c r="A182" s="1005"/>
      <c r="B182" s="978">
        <v>13</v>
      </c>
      <c r="C182" s="1735" t="s">
        <v>1334</v>
      </c>
      <c r="D182" s="990" t="s">
        <v>2061</v>
      </c>
      <c r="E182" s="1006" t="s">
        <v>164</v>
      </c>
      <c r="F182" s="967"/>
    </row>
    <row r="183" spans="1:6" ht="25">
      <c r="A183" s="1005"/>
      <c r="B183" s="978">
        <v>10</v>
      </c>
      <c r="C183" s="1735" t="s">
        <v>2062</v>
      </c>
      <c r="D183" s="990" t="s">
        <v>2063</v>
      </c>
      <c r="E183" s="1006" t="s">
        <v>164</v>
      </c>
      <c r="F183" s="967"/>
    </row>
    <row r="184" spans="1:6" ht="25">
      <c r="A184" s="1005"/>
      <c r="B184" s="978">
        <v>27</v>
      </c>
      <c r="C184" s="1735" t="s">
        <v>1330</v>
      </c>
      <c r="D184" s="990" t="s">
        <v>2064</v>
      </c>
      <c r="E184" s="1006" t="s">
        <v>159</v>
      </c>
      <c r="F184" s="967"/>
    </row>
    <row r="185" spans="1:6" ht="37.5">
      <c r="A185" s="1005"/>
      <c r="B185" s="978">
        <v>13</v>
      </c>
      <c r="C185" s="1735" t="s">
        <v>1326</v>
      </c>
      <c r="D185" s="990" t="s">
        <v>2065</v>
      </c>
      <c r="E185" s="1006" t="s">
        <v>159</v>
      </c>
      <c r="F185" s="967"/>
    </row>
    <row r="186" spans="1:6">
      <c r="A186" s="1005"/>
      <c r="B186" s="978">
        <v>7</v>
      </c>
      <c r="C186" s="1738" t="s">
        <v>2066</v>
      </c>
      <c r="D186" s="990" t="s">
        <v>2067</v>
      </c>
      <c r="E186" s="1006" t="s">
        <v>159</v>
      </c>
      <c r="F186" s="967"/>
    </row>
    <row r="187" spans="1:6">
      <c r="A187" s="1005"/>
      <c r="B187" s="978">
        <v>13</v>
      </c>
      <c r="C187" s="1735" t="s">
        <v>1338</v>
      </c>
      <c r="D187" s="990">
        <v>94687</v>
      </c>
      <c r="E187" s="1006" t="s">
        <v>173</v>
      </c>
      <c r="F187" s="967"/>
    </row>
    <row r="188" spans="1:6">
      <c r="A188" s="1005"/>
      <c r="B188" s="978">
        <v>11</v>
      </c>
      <c r="C188" s="1735" t="s">
        <v>1346</v>
      </c>
      <c r="D188" s="990" t="s">
        <v>2068</v>
      </c>
      <c r="E188" s="1006" t="s">
        <v>164</v>
      </c>
      <c r="F188" s="967"/>
    </row>
    <row r="189" spans="1:6" ht="25">
      <c r="A189" s="1005"/>
      <c r="B189" s="978">
        <v>17</v>
      </c>
      <c r="C189" s="1734" t="s">
        <v>1352</v>
      </c>
      <c r="D189" s="990" t="s">
        <v>2069</v>
      </c>
      <c r="E189" s="1006" t="s">
        <v>159</v>
      </c>
      <c r="F189" s="967"/>
    </row>
    <row r="190" spans="1:6">
      <c r="A190" s="1005"/>
      <c r="B190" s="978">
        <v>9</v>
      </c>
      <c r="C190" s="1735" t="s">
        <v>2070</v>
      </c>
      <c r="D190" s="990" t="s">
        <v>2071</v>
      </c>
      <c r="E190" s="1006" t="s">
        <v>159</v>
      </c>
      <c r="F190" s="967"/>
    </row>
    <row r="191" spans="1:6" ht="25">
      <c r="A191" s="1005"/>
      <c r="B191" s="978">
        <v>1</v>
      </c>
      <c r="C191" s="1738" t="s">
        <v>2072</v>
      </c>
      <c r="D191" s="990" t="s">
        <v>2073</v>
      </c>
      <c r="E191" s="1006" t="s">
        <v>159</v>
      </c>
      <c r="F191" s="967"/>
    </row>
    <row r="192" spans="1:6" ht="25">
      <c r="A192" s="1005"/>
      <c r="B192" s="978">
        <v>27</v>
      </c>
      <c r="C192" s="1734" t="s">
        <v>2074</v>
      </c>
      <c r="D192" s="990" t="s">
        <v>2075</v>
      </c>
      <c r="E192" s="1006" t="s">
        <v>159</v>
      </c>
      <c r="F192" s="967"/>
    </row>
    <row r="193" spans="1:6" ht="25">
      <c r="A193" s="1005"/>
      <c r="B193" s="978">
        <v>6</v>
      </c>
      <c r="C193" s="1735" t="s">
        <v>2076</v>
      </c>
      <c r="D193" s="990" t="s">
        <v>2077</v>
      </c>
      <c r="E193" s="1006" t="s">
        <v>159</v>
      </c>
      <c r="F193" s="967"/>
    </row>
    <row r="194" spans="1:6" ht="25">
      <c r="A194" s="1005"/>
      <c r="B194" s="978">
        <v>22</v>
      </c>
      <c r="C194" s="1735" t="s">
        <v>1358</v>
      </c>
      <c r="D194" s="990" t="s">
        <v>2078</v>
      </c>
      <c r="E194" s="1006" t="s">
        <v>1994</v>
      </c>
      <c r="F194" s="967"/>
    </row>
    <row r="195" spans="1:6" ht="25">
      <c r="A195" s="1005"/>
      <c r="B195" s="978">
        <v>16</v>
      </c>
      <c r="C195" s="1735" t="s">
        <v>2079</v>
      </c>
      <c r="D195" s="990" t="s">
        <v>2080</v>
      </c>
      <c r="E195" s="1006" t="s">
        <v>164</v>
      </c>
      <c r="F195" s="967"/>
    </row>
    <row r="196" spans="1:6">
      <c r="A196" s="1005"/>
      <c r="B196" s="978">
        <v>27</v>
      </c>
      <c r="C196" s="1735" t="s">
        <v>2081</v>
      </c>
      <c r="D196" s="990" t="s">
        <v>2082</v>
      </c>
      <c r="E196" s="1006" t="s">
        <v>164</v>
      </c>
      <c r="F196" s="967"/>
    </row>
    <row r="197" spans="1:6">
      <c r="A197" s="1005"/>
      <c r="B197" s="978">
        <v>13</v>
      </c>
      <c r="C197" s="1735" t="s">
        <v>2083</v>
      </c>
      <c r="D197" s="990" t="s">
        <v>2084</v>
      </c>
      <c r="E197" s="1006" t="s">
        <v>164</v>
      </c>
      <c r="F197" s="967"/>
    </row>
    <row r="198" spans="1:6">
      <c r="A198" s="1005"/>
      <c r="B198" s="978">
        <v>16</v>
      </c>
      <c r="C198" s="1734" t="s">
        <v>2085</v>
      </c>
      <c r="D198" s="990" t="s">
        <v>2086</v>
      </c>
      <c r="E198" s="1006" t="s">
        <v>2087</v>
      </c>
      <c r="F198" s="967"/>
    </row>
    <row r="199" spans="1:6" ht="25">
      <c r="A199" s="1005"/>
      <c r="B199" s="978">
        <v>16</v>
      </c>
      <c r="C199" s="1738" t="s">
        <v>2088</v>
      </c>
      <c r="D199" s="990" t="s">
        <v>2089</v>
      </c>
      <c r="E199" s="1006" t="s">
        <v>159</v>
      </c>
      <c r="F199" s="967"/>
    </row>
    <row r="200" spans="1:6">
      <c r="A200" s="1005"/>
      <c r="B200" s="978">
        <v>12</v>
      </c>
      <c r="C200" s="1735" t="s">
        <v>2090</v>
      </c>
      <c r="D200" s="990" t="s">
        <v>2091</v>
      </c>
      <c r="E200" s="1006" t="s">
        <v>164</v>
      </c>
      <c r="F200" s="967"/>
    </row>
    <row r="201" spans="1:6">
      <c r="A201" s="1005"/>
      <c r="B201" s="978">
        <v>10</v>
      </c>
      <c r="C201" s="1735" t="s">
        <v>2092</v>
      </c>
      <c r="D201" s="990" t="s">
        <v>2093</v>
      </c>
      <c r="E201" s="1006" t="s">
        <v>159</v>
      </c>
      <c r="F201" s="967"/>
    </row>
    <row r="202" spans="1:6">
      <c r="A202" s="1005"/>
      <c r="B202" s="978">
        <v>11</v>
      </c>
      <c r="C202" s="1735" t="s">
        <v>2094</v>
      </c>
      <c r="D202" s="990" t="s">
        <v>2095</v>
      </c>
      <c r="E202" s="1006" t="s">
        <v>159</v>
      </c>
      <c r="F202" s="967"/>
    </row>
    <row r="203" spans="1:6">
      <c r="A203" s="1005"/>
      <c r="B203" s="978">
        <v>3</v>
      </c>
      <c r="C203" s="1735" t="s">
        <v>1370</v>
      </c>
      <c r="D203" s="990" t="s">
        <v>2096</v>
      </c>
      <c r="E203" s="1006" t="s">
        <v>164</v>
      </c>
      <c r="F203" s="967"/>
    </row>
    <row r="204" spans="1:6">
      <c r="A204" s="1005"/>
      <c r="B204" s="978">
        <v>18</v>
      </c>
      <c r="C204" s="1735" t="s">
        <v>2097</v>
      </c>
      <c r="D204" s="990" t="s">
        <v>2098</v>
      </c>
      <c r="E204" s="1006" t="s">
        <v>159</v>
      </c>
      <c r="F204" s="967"/>
    </row>
    <row r="205" spans="1:6" ht="25">
      <c r="A205" s="1005"/>
      <c r="B205" s="978">
        <v>14</v>
      </c>
      <c r="C205" s="1735" t="s">
        <v>1391</v>
      </c>
      <c r="D205" s="990" t="s">
        <v>2099</v>
      </c>
      <c r="E205" s="1009" t="s">
        <v>159</v>
      </c>
      <c r="F205" s="967"/>
    </row>
    <row r="206" spans="1:6" ht="25">
      <c r="A206" s="1005"/>
      <c r="B206" s="978">
        <v>4</v>
      </c>
      <c r="C206" s="1735" t="s">
        <v>2100</v>
      </c>
      <c r="D206" s="990" t="s">
        <v>2101</v>
      </c>
      <c r="E206" s="1010" t="s">
        <v>579</v>
      </c>
      <c r="F206" s="967"/>
    </row>
    <row r="207" spans="1:6" ht="25">
      <c r="A207" s="1005"/>
      <c r="B207" s="978">
        <v>20</v>
      </c>
      <c r="C207" s="1738" t="s">
        <v>2102</v>
      </c>
      <c r="D207" s="990" t="s">
        <v>2103</v>
      </c>
      <c r="E207" s="1006" t="s">
        <v>164</v>
      </c>
      <c r="F207" s="967"/>
    </row>
    <row r="208" spans="1:6">
      <c r="A208" s="1005"/>
      <c r="B208" s="978">
        <v>25</v>
      </c>
      <c r="C208" s="1735" t="s">
        <v>1395</v>
      </c>
      <c r="D208" s="990" t="s">
        <v>2104</v>
      </c>
      <c r="E208" s="1006" t="s">
        <v>164</v>
      </c>
      <c r="F208" s="967"/>
    </row>
    <row r="209" spans="1:6">
      <c r="A209" s="1005"/>
      <c r="B209" s="978">
        <v>26</v>
      </c>
      <c r="C209" s="1735" t="s">
        <v>1401</v>
      </c>
      <c r="D209" s="990" t="s">
        <v>2105</v>
      </c>
      <c r="E209" s="1006" t="s">
        <v>164</v>
      </c>
      <c r="F209" s="967"/>
    </row>
    <row r="210" spans="1:6" ht="25">
      <c r="A210" s="1005"/>
      <c r="B210" s="978">
        <v>13</v>
      </c>
      <c r="C210" s="1735" t="s">
        <v>2106</v>
      </c>
      <c r="D210" s="990" t="s">
        <v>2107</v>
      </c>
      <c r="E210" s="1006" t="s">
        <v>164</v>
      </c>
      <c r="F210" s="967"/>
    </row>
    <row r="211" spans="1:6">
      <c r="A211" s="1005"/>
      <c r="B211" s="978">
        <v>14</v>
      </c>
      <c r="C211" s="1734" t="s">
        <v>1385</v>
      </c>
      <c r="D211" s="990" t="s">
        <v>2108</v>
      </c>
      <c r="E211" s="1006" t="s">
        <v>164</v>
      </c>
      <c r="F211" s="967"/>
    </row>
    <row r="212" spans="1:6">
      <c r="A212" s="1005"/>
      <c r="B212" s="978">
        <v>9</v>
      </c>
      <c r="C212" s="1735" t="s">
        <v>2109</v>
      </c>
      <c r="D212" s="990" t="s">
        <v>2110</v>
      </c>
      <c r="E212" s="1006" t="s">
        <v>429</v>
      </c>
      <c r="F212" s="967"/>
    </row>
    <row r="213" spans="1:6" ht="25">
      <c r="A213" s="1005"/>
      <c r="B213" s="978">
        <v>15</v>
      </c>
      <c r="C213" s="1735" t="s">
        <v>1408</v>
      </c>
      <c r="D213" s="990" t="s">
        <v>2111</v>
      </c>
      <c r="E213" s="1006" t="s">
        <v>164</v>
      </c>
      <c r="F213" s="967"/>
    </row>
    <row r="214" spans="1:6">
      <c r="A214" s="1005"/>
      <c r="B214" s="978">
        <v>16</v>
      </c>
      <c r="C214" s="1735" t="s">
        <v>1403</v>
      </c>
      <c r="D214" s="990" t="s">
        <v>2112</v>
      </c>
      <c r="E214" s="1006" t="s">
        <v>164</v>
      </c>
      <c r="F214" s="967"/>
    </row>
    <row r="215" spans="1:6" ht="25">
      <c r="A215" s="1005"/>
      <c r="B215" s="978">
        <v>28</v>
      </c>
      <c r="C215" s="1738" t="s">
        <v>2113</v>
      </c>
      <c r="D215" s="990" t="s">
        <v>2114</v>
      </c>
      <c r="E215" s="1006" t="s">
        <v>159</v>
      </c>
      <c r="F215" s="967"/>
    </row>
    <row r="216" spans="1:6" ht="25">
      <c r="A216" s="1005"/>
      <c r="B216" s="978">
        <v>15</v>
      </c>
      <c r="C216" s="1738" t="s">
        <v>2115</v>
      </c>
      <c r="D216" s="990" t="s">
        <v>2116</v>
      </c>
      <c r="E216" s="1006" t="s">
        <v>192</v>
      </c>
      <c r="F216" s="967"/>
    </row>
    <row r="217" spans="1:6" ht="25">
      <c r="A217" s="1005"/>
      <c r="B217" s="978">
        <v>17</v>
      </c>
      <c r="C217" s="1735" t="s">
        <v>1413</v>
      </c>
      <c r="D217" s="990" t="s">
        <v>2117</v>
      </c>
      <c r="E217" s="1006" t="s">
        <v>2118</v>
      </c>
      <c r="F217" s="967"/>
    </row>
    <row r="218" spans="1:6">
      <c r="A218" s="1005"/>
      <c r="B218" s="978">
        <v>8</v>
      </c>
      <c r="C218" s="1734" t="s">
        <v>1419</v>
      </c>
      <c r="D218" s="990" t="s">
        <v>2119</v>
      </c>
      <c r="E218" s="1006" t="s">
        <v>164</v>
      </c>
      <c r="F218" s="967"/>
    </row>
    <row r="219" spans="1:6" ht="29.5" customHeight="1">
      <c r="A219" s="1005"/>
      <c r="B219" s="978">
        <v>4</v>
      </c>
      <c r="C219" s="1734" t="s">
        <v>2120</v>
      </c>
      <c r="D219" s="990" t="s">
        <v>2121</v>
      </c>
      <c r="E219" s="1010" t="s">
        <v>2122</v>
      </c>
      <c r="F219" s="967"/>
    </row>
    <row r="220" spans="1:6">
      <c r="A220" s="1005"/>
      <c r="B220" s="978">
        <v>16</v>
      </c>
      <c r="C220" s="1735" t="s">
        <v>1426</v>
      </c>
      <c r="D220" s="990" t="s">
        <v>2123</v>
      </c>
      <c r="E220" s="1006" t="s">
        <v>192</v>
      </c>
      <c r="F220" s="967"/>
    </row>
    <row r="221" spans="1:6" ht="25">
      <c r="A221" s="1005"/>
      <c r="B221" s="978">
        <v>15</v>
      </c>
      <c r="C221" s="1735" t="s">
        <v>2124</v>
      </c>
      <c r="D221" s="990">
        <v>92493</v>
      </c>
      <c r="E221" s="1006" t="s">
        <v>173</v>
      </c>
      <c r="F221" s="967"/>
    </row>
    <row r="222" spans="1:6">
      <c r="A222" s="1005"/>
      <c r="B222" s="978">
        <v>21</v>
      </c>
      <c r="C222" s="1735" t="s">
        <v>2125</v>
      </c>
      <c r="D222" s="990" t="s">
        <v>2126</v>
      </c>
      <c r="E222" s="1006" t="s">
        <v>159</v>
      </c>
      <c r="F222" s="967"/>
    </row>
    <row r="223" spans="1:6" ht="25">
      <c r="A223" s="1005"/>
      <c r="B223" s="978">
        <v>25</v>
      </c>
      <c r="C223" s="1734" t="s">
        <v>1432</v>
      </c>
      <c r="D223" s="990" t="s">
        <v>2127</v>
      </c>
      <c r="E223" s="1006" t="s">
        <v>164</v>
      </c>
      <c r="F223" s="967"/>
    </row>
    <row r="224" spans="1:6" ht="25">
      <c r="A224" s="1005"/>
      <c r="B224" s="978">
        <v>9</v>
      </c>
      <c r="C224" s="1734" t="s">
        <v>2128</v>
      </c>
      <c r="D224" s="990" t="s">
        <v>2129</v>
      </c>
      <c r="E224" s="1006" t="s">
        <v>164</v>
      </c>
      <c r="F224" s="967"/>
    </row>
    <row r="225" spans="1:6" ht="25">
      <c r="A225" s="1005"/>
      <c r="B225" s="978">
        <v>6</v>
      </c>
      <c r="C225" s="1738" t="s">
        <v>2130</v>
      </c>
      <c r="D225" s="990" t="s">
        <v>2131</v>
      </c>
      <c r="E225" s="1009" t="s">
        <v>159</v>
      </c>
      <c r="F225" s="967"/>
    </row>
    <row r="226" spans="1:6">
      <c r="A226" s="1005"/>
      <c r="B226" s="978">
        <v>8</v>
      </c>
      <c r="C226" s="1735" t="s">
        <v>2132</v>
      </c>
      <c r="D226" s="990" t="s">
        <v>2133</v>
      </c>
      <c r="E226" s="1006" t="s">
        <v>159</v>
      </c>
      <c r="F226" s="967"/>
    </row>
    <row r="227" spans="1:6">
      <c r="A227" s="1005"/>
      <c r="B227" s="978">
        <v>17</v>
      </c>
      <c r="C227" s="1734" t="s">
        <v>2134</v>
      </c>
      <c r="D227" s="990" t="s">
        <v>2135</v>
      </c>
      <c r="E227" s="1006" t="s">
        <v>164</v>
      </c>
      <c r="F227" s="967"/>
    </row>
    <row r="228" spans="1:6" ht="25">
      <c r="A228" s="1005"/>
      <c r="B228" s="978">
        <v>14</v>
      </c>
      <c r="C228" s="1735" t="s">
        <v>1441</v>
      </c>
      <c r="D228" s="990" t="s">
        <v>2136</v>
      </c>
      <c r="E228" s="1006" t="s">
        <v>164</v>
      </c>
      <c r="F228" s="967"/>
    </row>
    <row r="229" spans="1:6" ht="25">
      <c r="A229" s="1005"/>
      <c r="B229" s="978">
        <v>15</v>
      </c>
      <c r="C229" s="1735" t="s">
        <v>1444</v>
      </c>
      <c r="D229" s="990" t="s">
        <v>2137</v>
      </c>
      <c r="E229" s="1006" t="s">
        <v>164</v>
      </c>
      <c r="F229" s="967"/>
    </row>
    <row r="230" spans="1:6" ht="25">
      <c r="A230" s="1005"/>
      <c r="B230" s="978">
        <v>16</v>
      </c>
      <c r="C230" s="1735" t="s">
        <v>1445</v>
      </c>
      <c r="D230" s="990" t="s">
        <v>2138</v>
      </c>
      <c r="E230" s="1006" t="s">
        <v>164</v>
      </c>
      <c r="F230" s="967"/>
    </row>
    <row r="231" spans="1:6">
      <c r="A231" s="1005"/>
      <c r="B231" s="978">
        <v>5</v>
      </c>
      <c r="C231" s="1741" t="s">
        <v>2139</v>
      </c>
      <c r="D231" s="990" t="s">
        <v>2140</v>
      </c>
      <c r="E231" s="1006" t="s">
        <v>159</v>
      </c>
      <c r="F231" s="967"/>
    </row>
    <row r="232" spans="1:6" ht="25">
      <c r="A232" s="1005"/>
      <c r="B232" s="978">
        <v>12</v>
      </c>
      <c r="C232" s="1734" t="s">
        <v>1455</v>
      </c>
      <c r="D232" s="990" t="s">
        <v>2141</v>
      </c>
      <c r="E232" s="1006" t="s">
        <v>164</v>
      </c>
      <c r="F232" s="967"/>
    </row>
    <row r="233" spans="1:6">
      <c r="A233" s="1005"/>
      <c r="B233" s="978">
        <v>10</v>
      </c>
      <c r="C233" s="1735" t="s">
        <v>2142</v>
      </c>
      <c r="D233" s="990" t="s">
        <v>2143</v>
      </c>
      <c r="E233" s="1006" t="s">
        <v>159</v>
      </c>
      <c r="F233" s="967"/>
    </row>
    <row r="234" spans="1:6">
      <c r="A234" s="1005"/>
      <c r="B234" s="978">
        <v>15</v>
      </c>
      <c r="C234" s="1735" t="s">
        <v>1468</v>
      </c>
      <c r="D234" s="990" t="s">
        <v>2144</v>
      </c>
      <c r="E234" s="1006" t="s">
        <v>159</v>
      </c>
      <c r="F234" s="967"/>
    </row>
    <row r="235" spans="1:6">
      <c r="A235" s="1005"/>
      <c r="B235" s="978">
        <v>9</v>
      </c>
      <c r="C235" s="1734" t="s">
        <v>1471</v>
      </c>
      <c r="D235" s="990" t="s">
        <v>2145</v>
      </c>
      <c r="E235" s="1006" t="s">
        <v>400</v>
      </c>
      <c r="F235" s="967"/>
    </row>
    <row r="236" spans="1:6" ht="25">
      <c r="A236" s="1005"/>
      <c r="B236" s="978">
        <v>20</v>
      </c>
      <c r="C236" s="1735" t="s">
        <v>2146</v>
      </c>
      <c r="D236" s="990" t="s">
        <v>2147</v>
      </c>
      <c r="E236" s="1006" t="s">
        <v>159</v>
      </c>
      <c r="F236" s="967"/>
    </row>
    <row r="237" spans="1:6" ht="25">
      <c r="A237" s="1005"/>
      <c r="B237" s="978">
        <v>11</v>
      </c>
      <c r="C237" s="1735" t="s">
        <v>2148</v>
      </c>
      <c r="D237" s="990" t="s">
        <v>2149</v>
      </c>
      <c r="E237" s="1006" t="s">
        <v>332</v>
      </c>
      <c r="F237" s="967"/>
    </row>
    <row r="238" spans="1:6">
      <c r="A238" s="1005"/>
      <c r="B238" s="978">
        <v>13</v>
      </c>
      <c r="C238" s="1735" t="s">
        <v>1403</v>
      </c>
      <c r="D238" s="990" t="s">
        <v>2150</v>
      </c>
      <c r="E238" s="1006" t="s">
        <v>164</v>
      </c>
      <c r="F238" s="967"/>
    </row>
    <row r="239" spans="1:6">
      <c r="A239" s="1005"/>
      <c r="B239" s="978">
        <v>12</v>
      </c>
      <c r="C239" s="1735" t="s">
        <v>1482</v>
      </c>
      <c r="D239" s="990">
        <v>89470</v>
      </c>
      <c r="E239" s="1006" t="s">
        <v>173</v>
      </c>
      <c r="F239" s="967"/>
    </row>
    <row r="240" spans="1:6" ht="25">
      <c r="A240" s="1005"/>
      <c r="B240" s="978">
        <v>13</v>
      </c>
      <c r="C240" s="1735" t="s">
        <v>2151</v>
      </c>
      <c r="D240" s="990" t="s">
        <v>2152</v>
      </c>
      <c r="E240" s="1006" t="s">
        <v>1922</v>
      </c>
      <c r="F240" s="967"/>
    </row>
    <row r="241" spans="1:6">
      <c r="A241" s="1005"/>
      <c r="B241" s="978">
        <v>6</v>
      </c>
      <c r="C241" s="1735" t="s">
        <v>2153</v>
      </c>
      <c r="D241" s="990" t="s">
        <v>2154</v>
      </c>
      <c r="E241" s="1006" t="s">
        <v>159</v>
      </c>
      <c r="F241" s="967"/>
    </row>
    <row r="242" spans="1:6">
      <c r="A242" s="1005"/>
      <c r="B242" s="978">
        <v>16</v>
      </c>
      <c r="C242" s="1735" t="s">
        <v>1492</v>
      </c>
      <c r="D242" s="990" t="s">
        <v>2155</v>
      </c>
      <c r="E242" s="1006" t="s">
        <v>164</v>
      </c>
      <c r="F242" s="967"/>
    </row>
    <row r="243" spans="1:6">
      <c r="A243" s="1012"/>
      <c r="B243" s="978">
        <v>1</v>
      </c>
      <c r="C243" s="1740" t="s">
        <v>2156</v>
      </c>
      <c r="D243" s="978">
        <v>141153</v>
      </c>
      <c r="E243" s="1006" t="s">
        <v>168</v>
      </c>
      <c r="F243" s="975"/>
    </row>
    <row r="244" spans="1:6">
      <c r="A244" s="1005"/>
      <c r="B244" s="978">
        <v>4</v>
      </c>
      <c r="C244" s="1742" t="s">
        <v>2157</v>
      </c>
      <c r="D244" s="990" t="s">
        <v>2158</v>
      </c>
      <c r="E244" s="1006" t="s">
        <v>400</v>
      </c>
      <c r="F244" s="967"/>
    </row>
    <row r="245" spans="1:6" ht="25">
      <c r="A245" s="1012"/>
      <c r="B245" s="978">
        <v>4</v>
      </c>
      <c r="C245" s="1743" t="s">
        <v>1502</v>
      </c>
      <c r="D245" s="978" t="s">
        <v>2159</v>
      </c>
      <c r="E245" s="1006" t="s">
        <v>159</v>
      </c>
      <c r="F245" s="975"/>
    </row>
    <row r="246" spans="1:6">
      <c r="A246" s="1005"/>
      <c r="B246" s="978">
        <v>19</v>
      </c>
      <c r="C246" s="1735" t="s">
        <v>2160</v>
      </c>
      <c r="D246" s="990" t="s">
        <v>2161</v>
      </c>
      <c r="E246" s="1006" t="s">
        <v>2162</v>
      </c>
      <c r="F246" s="967"/>
    </row>
    <row r="247" spans="1:6">
      <c r="A247" s="1012"/>
      <c r="B247" s="978">
        <v>3</v>
      </c>
      <c r="C247" s="1744" t="s">
        <v>1460</v>
      </c>
      <c r="D247" s="978" t="s">
        <v>2163</v>
      </c>
      <c r="E247" s="1006" t="s">
        <v>173</v>
      </c>
      <c r="F247" s="975"/>
    </row>
    <row r="248" spans="1:6">
      <c r="A248" s="1012"/>
      <c r="B248" s="978">
        <v>2</v>
      </c>
      <c r="C248" s="1743" t="s">
        <v>2164</v>
      </c>
      <c r="D248" s="978" t="s">
        <v>2165</v>
      </c>
      <c r="E248" s="1006" t="s">
        <v>1994</v>
      </c>
      <c r="F248" s="975"/>
    </row>
    <row r="249" spans="1:6" ht="25">
      <c r="A249" s="1005"/>
      <c r="B249" s="978">
        <v>16</v>
      </c>
      <c r="C249" s="1735" t="s">
        <v>2166</v>
      </c>
      <c r="D249" s="990" t="s">
        <v>2167</v>
      </c>
      <c r="E249" s="1006" t="s">
        <v>2168</v>
      </c>
      <c r="F249" s="967"/>
    </row>
    <row r="250" spans="1:6">
      <c r="A250" s="1005"/>
      <c r="B250" s="978">
        <v>17</v>
      </c>
      <c r="C250" s="1738" t="s">
        <v>2169</v>
      </c>
      <c r="D250" s="990" t="s">
        <v>2170</v>
      </c>
      <c r="E250" s="1006" t="s">
        <v>177</v>
      </c>
      <c r="F250" s="967"/>
    </row>
    <row r="251" spans="1:6">
      <c r="A251" s="1005"/>
      <c r="B251" s="978">
        <v>14</v>
      </c>
      <c r="C251" s="1738" t="s">
        <v>2171</v>
      </c>
      <c r="D251" s="990" t="s">
        <v>2172</v>
      </c>
      <c r="E251" s="1006" t="s">
        <v>159</v>
      </c>
      <c r="F251" s="967"/>
    </row>
    <row r="252" spans="1:6">
      <c r="A252" s="1005"/>
      <c r="B252" s="978">
        <v>9</v>
      </c>
      <c r="C252" s="1742" t="s">
        <v>2173</v>
      </c>
      <c r="D252" s="990" t="s">
        <v>2174</v>
      </c>
      <c r="E252" s="1006" t="s">
        <v>164</v>
      </c>
      <c r="F252" s="967"/>
    </row>
    <row r="253" spans="1:6">
      <c r="A253" s="1005"/>
      <c r="B253" s="978">
        <v>22</v>
      </c>
      <c r="C253" s="1742" t="s">
        <v>2175</v>
      </c>
      <c r="D253" s="990" t="s">
        <v>2176</v>
      </c>
      <c r="E253" s="1013" t="s">
        <v>192</v>
      </c>
      <c r="F253" s="967"/>
    </row>
    <row r="254" spans="1:6">
      <c r="A254" s="1005"/>
      <c r="B254" s="978">
        <v>14</v>
      </c>
      <c r="C254" s="1745" t="s">
        <v>2177</v>
      </c>
      <c r="D254" s="990" t="s">
        <v>2178</v>
      </c>
      <c r="E254" s="1006" t="s">
        <v>164</v>
      </c>
      <c r="F254" s="967"/>
    </row>
    <row r="255" spans="1:6">
      <c r="A255" s="1005"/>
      <c r="B255" s="978">
        <v>10</v>
      </c>
      <c r="C255" s="1742" t="s">
        <v>2179</v>
      </c>
      <c r="D255" s="990" t="s">
        <v>2180</v>
      </c>
      <c r="E255" s="1006" t="s">
        <v>164</v>
      </c>
      <c r="F255" s="967"/>
    </row>
    <row r="256" spans="1:6">
      <c r="A256" s="1005"/>
      <c r="B256" s="978">
        <v>6</v>
      </c>
      <c r="C256" s="1745" t="s">
        <v>2181</v>
      </c>
      <c r="D256" s="990">
        <v>160662</v>
      </c>
      <c r="E256" s="1006" t="s">
        <v>397</v>
      </c>
      <c r="F256" s="967"/>
    </row>
    <row r="257" spans="1:6">
      <c r="A257" s="1005"/>
      <c r="B257" s="978">
        <v>4</v>
      </c>
      <c r="C257" s="1741" t="s">
        <v>2182</v>
      </c>
      <c r="D257" s="990" t="s">
        <v>2183</v>
      </c>
      <c r="E257" s="1006" t="s">
        <v>164</v>
      </c>
      <c r="F257" s="967"/>
    </row>
    <row r="258" spans="1:6">
      <c r="A258" s="1005"/>
      <c r="B258" s="978">
        <v>13</v>
      </c>
      <c r="C258" s="1745" t="s">
        <v>2184</v>
      </c>
      <c r="D258" s="990" t="s">
        <v>2185</v>
      </c>
      <c r="E258" s="1006" t="s">
        <v>164</v>
      </c>
      <c r="F258" s="967"/>
    </row>
    <row r="259" spans="1:6" ht="25">
      <c r="A259" s="1005"/>
      <c r="B259" s="978">
        <v>15</v>
      </c>
      <c r="C259" s="1742" t="s">
        <v>2186</v>
      </c>
      <c r="D259" s="990" t="s">
        <v>2187</v>
      </c>
      <c r="E259" s="1006" t="s">
        <v>164</v>
      </c>
      <c r="F259" s="967"/>
    </row>
    <row r="260" spans="1:6">
      <c r="A260" s="1012"/>
      <c r="B260" s="978">
        <v>3</v>
      </c>
      <c r="C260" s="1744" t="s">
        <v>2188</v>
      </c>
      <c r="D260" s="978">
        <v>141258</v>
      </c>
      <c r="E260" s="1006" t="s">
        <v>168</v>
      </c>
      <c r="F260" s="975"/>
    </row>
    <row r="261" spans="1:6">
      <c r="A261" s="1005"/>
      <c r="B261" s="978">
        <v>13</v>
      </c>
      <c r="C261" s="1738" t="s">
        <v>2189</v>
      </c>
      <c r="D261" s="990" t="s">
        <v>2190</v>
      </c>
      <c r="E261" s="1006" t="s">
        <v>159</v>
      </c>
      <c r="F261" s="967"/>
    </row>
    <row r="262" spans="1:6">
      <c r="A262" s="1005"/>
      <c r="B262" s="978">
        <v>24</v>
      </c>
      <c r="C262" s="1745" t="s">
        <v>2191</v>
      </c>
      <c r="D262" s="990" t="s">
        <v>2192</v>
      </c>
      <c r="E262" s="1006" t="s">
        <v>512</v>
      </c>
      <c r="F262" s="967"/>
    </row>
    <row r="263" spans="1:6" ht="25">
      <c r="A263" s="1005"/>
      <c r="B263" s="978">
        <v>26</v>
      </c>
      <c r="C263" s="1738" t="s">
        <v>2193</v>
      </c>
      <c r="D263" s="990" t="s">
        <v>2194</v>
      </c>
      <c r="E263" s="1006" t="s">
        <v>332</v>
      </c>
      <c r="F263" s="967"/>
    </row>
    <row r="264" spans="1:6" ht="25">
      <c r="A264" s="1005"/>
      <c r="B264" s="978">
        <v>17</v>
      </c>
      <c r="C264" s="1742" t="s">
        <v>2195</v>
      </c>
      <c r="D264" s="990" t="s">
        <v>2196</v>
      </c>
      <c r="E264" s="1006" t="s">
        <v>159</v>
      </c>
      <c r="F264" s="967"/>
    </row>
    <row r="265" spans="1:6">
      <c r="A265" s="1012"/>
      <c r="B265" s="978">
        <v>3</v>
      </c>
      <c r="C265" s="1741" t="s">
        <v>2197</v>
      </c>
      <c r="D265" s="978" t="s">
        <v>2198</v>
      </c>
      <c r="E265" s="1006" t="s">
        <v>164</v>
      </c>
      <c r="F265" s="975"/>
    </row>
    <row r="266" spans="1:6">
      <c r="A266" s="1005"/>
      <c r="B266" s="978">
        <v>13</v>
      </c>
      <c r="C266" s="1742" t="s">
        <v>2199</v>
      </c>
      <c r="D266" s="990" t="s">
        <v>2200</v>
      </c>
      <c r="E266" s="1006" t="s">
        <v>159</v>
      </c>
      <c r="F266" s="967"/>
    </row>
    <row r="267" spans="1:6">
      <c r="A267" s="1005"/>
      <c r="B267" s="978">
        <v>11</v>
      </c>
      <c r="C267" s="1742" t="s">
        <v>2201</v>
      </c>
      <c r="D267" s="990" t="s">
        <v>2202</v>
      </c>
      <c r="E267" s="1006" t="s">
        <v>164</v>
      </c>
      <c r="F267" s="967"/>
    </row>
    <row r="268" spans="1:6">
      <c r="A268" s="1005"/>
      <c r="B268" s="978">
        <v>16</v>
      </c>
      <c r="C268" s="1742" t="s">
        <v>2203</v>
      </c>
      <c r="D268" s="990" t="s">
        <v>2204</v>
      </c>
      <c r="E268" s="1013" t="s">
        <v>192</v>
      </c>
      <c r="F268" s="967"/>
    </row>
    <row r="269" spans="1:6">
      <c r="A269" s="1005"/>
      <c r="B269" s="978">
        <v>8</v>
      </c>
      <c r="C269" s="1742" t="s">
        <v>2205</v>
      </c>
      <c r="D269" s="990" t="s">
        <v>2206</v>
      </c>
      <c r="E269" s="1006" t="s">
        <v>383</v>
      </c>
      <c r="F269" s="967"/>
    </row>
    <row r="270" spans="1:6" ht="25">
      <c r="A270" s="1012"/>
      <c r="B270" s="978">
        <v>10</v>
      </c>
      <c r="C270" s="1746" t="s">
        <v>2207</v>
      </c>
      <c r="D270" s="978" t="s">
        <v>2208</v>
      </c>
      <c r="E270" s="1006" t="s">
        <v>370</v>
      </c>
      <c r="F270" s="975"/>
    </row>
    <row r="271" spans="1:6">
      <c r="A271" s="1005"/>
      <c r="B271" s="978">
        <v>20</v>
      </c>
      <c r="C271" s="1742" t="s">
        <v>2209</v>
      </c>
      <c r="D271" s="990" t="s">
        <v>2210</v>
      </c>
      <c r="E271" s="1006" t="s">
        <v>192</v>
      </c>
      <c r="F271" s="967"/>
    </row>
    <row r="272" spans="1:6" ht="25">
      <c r="A272" s="1005"/>
      <c r="B272" s="978">
        <v>22</v>
      </c>
      <c r="C272" s="1747" t="s">
        <v>2211</v>
      </c>
      <c r="D272" s="990" t="s">
        <v>2212</v>
      </c>
      <c r="E272" s="1006" t="s">
        <v>164</v>
      </c>
      <c r="F272" s="967"/>
    </row>
    <row r="273" spans="1:6">
      <c r="A273" s="1005"/>
      <c r="B273" s="978">
        <v>12</v>
      </c>
      <c r="C273" s="1742" t="s">
        <v>2213</v>
      </c>
      <c r="D273" s="990" t="s">
        <v>2214</v>
      </c>
      <c r="E273" s="1006" t="s">
        <v>164</v>
      </c>
      <c r="F273" s="967"/>
    </row>
    <row r="274" spans="1:6">
      <c r="A274" s="1005"/>
      <c r="B274" s="978">
        <v>14</v>
      </c>
      <c r="C274" s="1742" t="s">
        <v>2215</v>
      </c>
      <c r="D274" s="990" t="s">
        <v>2216</v>
      </c>
      <c r="E274" s="1006" t="s">
        <v>164</v>
      </c>
      <c r="F274" s="967"/>
    </row>
    <row r="275" spans="1:6">
      <c r="A275" s="1005"/>
      <c r="B275" s="978">
        <v>4</v>
      </c>
      <c r="C275" s="1746" t="s">
        <v>2217</v>
      </c>
      <c r="D275" s="990">
        <v>1245133</v>
      </c>
      <c r="E275" s="1006" t="s">
        <v>429</v>
      </c>
      <c r="F275" s="967"/>
    </row>
    <row r="276" spans="1:6">
      <c r="A276" s="1005"/>
      <c r="B276" s="978">
        <v>17</v>
      </c>
      <c r="C276" s="1747" t="s">
        <v>2218</v>
      </c>
      <c r="D276" s="990" t="s">
        <v>2219</v>
      </c>
      <c r="E276" s="1006" t="s">
        <v>159</v>
      </c>
      <c r="F276" s="967"/>
    </row>
    <row r="277" spans="1:6">
      <c r="A277" s="1005"/>
      <c r="B277" s="978">
        <v>18</v>
      </c>
      <c r="C277" s="1747" t="s">
        <v>2220</v>
      </c>
      <c r="D277" s="990" t="s">
        <v>2221</v>
      </c>
      <c r="E277" s="1006" t="s">
        <v>159</v>
      </c>
      <c r="F277" s="967"/>
    </row>
    <row r="278" spans="1:6">
      <c r="A278" s="1005"/>
      <c r="B278" s="978">
        <v>21</v>
      </c>
      <c r="C278" s="1742" t="s">
        <v>2222</v>
      </c>
      <c r="D278" s="990" t="s">
        <v>2223</v>
      </c>
      <c r="E278" s="1006" t="s">
        <v>164</v>
      </c>
      <c r="F278" s="967"/>
    </row>
    <row r="279" spans="1:6" ht="25">
      <c r="A279" s="1005"/>
      <c r="B279" s="978">
        <v>10</v>
      </c>
      <c r="C279" s="1742" t="s">
        <v>2193</v>
      </c>
      <c r="D279" s="990" t="s">
        <v>2224</v>
      </c>
      <c r="E279" s="1006" t="s">
        <v>332</v>
      </c>
      <c r="F279" s="967"/>
    </row>
    <row r="280" spans="1:6">
      <c r="A280" s="1005"/>
      <c r="B280" s="978">
        <v>18</v>
      </c>
      <c r="C280" s="1742" t="s">
        <v>2225</v>
      </c>
      <c r="D280" s="990" t="s">
        <v>2226</v>
      </c>
      <c r="E280" s="1006" t="s">
        <v>164</v>
      </c>
      <c r="F280" s="967"/>
    </row>
    <row r="281" spans="1:6">
      <c r="A281" s="1005"/>
      <c r="B281" s="978">
        <v>22</v>
      </c>
      <c r="C281" s="1742" t="s">
        <v>2227</v>
      </c>
      <c r="D281" s="990" t="s">
        <v>2228</v>
      </c>
      <c r="E281" s="1006" t="s">
        <v>159</v>
      </c>
      <c r="F281" s="967"/>
    </row>
    <row r="282" spans="1:6">
      <c r="A282" s="1005"/>
      <c r="B282" s="978">
        <v>11</v>
      </c>
      <c r="C282" s="1742" t="s">
        <v>2229</v>
      </c>
      <c r="D282" s="990" t="s">
        <v>2230</v>
      </c>
      <c r="E282" s="1006" t="s">
        <v>159</v>
      </c>
      <c r="F282" s="967"/>
    </row>
    <row r="283" spans="1:6" ht="25">
      <c r="A283" s="1005"/>
      <c r="B283" s="978">
        <v>1</v>
      </c>
      <c r="C283" s="1746" t="s">
        <v>2231</v>
      </c>
      <c r="D283" s="978" t="s">
        <v>2232</v>
      </c>
      <c r="E283" s="1006" t="s">
        <v>332</v>
      </c>
      <c r="F283" s="967"/>
    </row>
    <row r="284" spans="1:6">
      <c r="A284" s="1005"/>
      <c r="B284" s="978">
        <v>15</v>
      </c>
      <c r="C284" s="1742" t="s">
        <v>2233</v>
      </c>
      <c r="D284" s="990" t="s">
        <v>2234</v>
      </c>
      <c r="E284" s="1006" t="s">
        <v>164</v>
      </c>
      <c r="F284" s="967"/>
    </row>
    <row r="285" spans="1:6">
      <c r="A285" s="1005"/>
      <c r="B285" s="978">
        <v>18</v>
      </c>
      <c r="C285" s="1747" t="s">
        <v>2225</v>
      </c>
      <c r="D285" s="990" t="s">
        <v>2235</v>
      </c>
      <c r="E285" s="1006" t="s">
        <v>164</v>
      </c>
      <c r="F285" s="967"/>
    </row>
    <row r="286" spans="1:6">
      <c r="A286" s="1005"/>
      <c r="B286" s="978">
        <v>11</v>
      </c>
      <c r="C286" s="1742" t="s">
        <v>2236</v>
      </c>
      <c r="D286" s="990" t="s">
        <v>2237</v>
      </c>
      <c r="E286" s="1006" t="s">
        <v>159</v>
      </c>
      <c r="F286" s="967"/>
    </row>
    <row r="287" spans="1:6">
      <c r="A287" s="1005"/>
      <c r="B287" s="978">
        <v>1</v>
      </c>
      <c r="C287" s="1741" t="s">
        <v>2238</v>
      </c>
      <c r="D287" s="990" t="s">
        <v>2239</v>
      </c>
      <c r="E287" s="1006" t="s">
        <v>159</v>
      </c>
      <c r="F287" s="967"/>
    </row>
    <row r="288" spans="1:6" ht="25">
      <c r="A288" s="1005"/>
      <c r="B288" s="978">
        <v>12</v>
      </c>
      <c r="C288" s="1742" t="s">
        <v>2240</v>
      </c>
      <c r="D288" s="1014" t="s">
        <v>2241</v>
      </c>
      <c r="E288" s="1006" t="s">
        <v>429</v>
      </c>
      <c r="F288" s="967"/>
    </row>
    <row r="289" spans="1:6" ht="25">
      <c r="A289" s="1005"/>
      <c r="B289" s="978">
        <v>21</v>
      </c>
      <c r="C289" s="1742" t="s">
        <v>2242</v>
      </c>
      <c r="D289" s="990" t="s">
        <v>2243</v>
      </c>
      <c r="E289" s="1006" t="s">
        <v>2244</v>
      </c>
      <c r="F289" s="967"/>
    </row>
    <row r="290" spans="1:6">
      <c r="A290" s="1005"/>
      <c r="B290" s="978">
        <v>13</v>
      </c>
      <c r="C290" s="1747" t="s">
        <v>2245</v>
      </c>
      <c r="D290" s="990">
        <v>160982</v>
      </c>
      <c r="E290" s="1006" t="s">
        <v>397</v>
      </c>
      <c r="F290" s="967"/>
    </row>
    <row r="291" spans="1:6">
      <c r="A291" s="1005"/>
      <c r="B291" s="978">
        <v>21</v>
      </c>
      <c r="C291" s="1747" t="s">
        <v>2246</v>
      </c>
      <c r="D291" s="990" t="s">
        <v>2247</v>
      </c>
      <c r="E291" s="1006" t="s">
        <v>2168</v>
      </c>
      <c r="F291" s="967"/>
    </row>
    <row r="292" spans="1:6">
      <c r="A292" s="1005"/>
      <c r="B292" s="978">
        <v>18</v>
      </c>
      <c r="C292" s="1742" t="s">
        <v>2248</v>
      </c>
      <c r="D292" s="990" t="s">
        <v>2249</v>
      </c>
      <c r="E292" s="1006" t="s">
        <v>159</v>
      </c>
      <c r="F292" s="967"/>
    </row>
    <row r="293" spans="1:6">
      <c r="A293" s="1005"/>
      <c r="B293" s="978">
        <v>8</v>
      </c>
      <c r="C293" s="1742" t="s">
        <v>2250</v>
      </c>
      <c r="D293" s="990" t="s">
        <v>2251</v>
      </c>
      <c r="E293" s="1006" t="s">
        <v>159</v>
      </c>
      <c r="F293" s="967"/>
    </row>
    <row r="294" spans="1:6">
      <c r="A294" s="1012"/>
      <c r="B294" s="978">
        <v>13</v>
      </c>
      <c r="C294" s="1746" t="s">
        <v>2252</v>
      </c>
      <c r="D294" s="978" t="s">
        <v>2253</v>
      </c>
      <c r="E294" s="1006" t="s">
        <v>164</v>
      </c>
      <c r="F294" s="975"/>
    </row>
    <row r="295" spans="1:6">
      <c r="A295" s="1005"/>
      <c r="B295" s="978">
        <v>8</v>
      </c>
      <c r="C295" s="1742" t="s">
        <v>2254</v>
      </c>
      <c r="D295" s="990" t="s">
        <v>2255</v>
      </c>
      <c r="E295" s="1006" t="s">
        <v>159</v>
      </c>
      <c r="F295" s="967"/>
    </row>
    <row r="296" spans="1:6">
      <c r="A296" s="1005"/>
      <c r="B296" s="978">
        <v>10</v>
      </c>
      <c r="C296" s="1742" t="s">
        <v>2256</v>
      </c>
      <c r="D296" s="990" t="s">
        <v>2257</v>
      </c>
      <c r="E296" s="1006" t="s">
        <v>498</v>
      </c>
      <c r="F296" s="967"/>
    </row>
    <row r="297" spans="1:6">
      <c r="A297" s="1012"/>
      <c r="B297" s="978">
        <v>6</v>
      </c>
      <c r="C297" s="1741" t="s">
        <v>2258</v>
      </c>
      <c r="D297" s="978" t="s">
        <v>2259</v>
      </c>
      <c r="E297" s="1006" t="s">
        <v>159</v>
      </c>
      <c r="F297" s="975"/>
    </row>
    <row r="298" spans="1:6">
      <c r="A298" s="1005"/>
      <c r="B298" s="978">
        <v>11</v>
      </c>
      <c r="C298" s="1742" t="s">
        <v>2260</v>
      </c>
      <c r="D298" s="990" t="s">
        <v>2261</v>
      </c>
      <c r="E298" s="1006" t="s">
        <v>164</v>
      </c>
      <c r="F298" s="967"/>
    </row>
    <row r="299" spans="1:6">
      <c r="A299" s="1005"/>
      <c r="B299" s="978">
        <v>9</v>
      </c>
      <c r="C299" s="1742" t="s">
        <v>2262</v>
      </c>
      <c r="D299" s="990" t="s">
        <v>2263</v>
      </c>
      <c r="E299" s="1006" t="s">
        <v>164</v>
      </c>
      <c r="F299" s="967"/>
    </row>
    <row r="300" spans="1:6">
      <c r="A300" s="1012"/>
      <c r="B300" s="978">
        <v>13</v>
      </c>
      <c r="C300" s="1746" t="s">
        <v>2264</v>
      </c>
      <c r="D300" s="978" t="s">
        <v>2265</v>
      </c>
      <c r="E300" s="1006" t="s">
        <v>159</v>
      </c>
      <c r="F300" s="975"/>
    </row>
    <row r="301" spans="1:6">
      <c r="A301" s="1005"/>
      <c r="B301" s="978">
        <v>11</v>
      </c>
      <c r="C301" s="1742" t="s">
        <v>2266</v>
      </c>
      <c r="D301" s="990" t="s">
        <v>2267</v>
      </c>
      <c r="E301" s="1006" t="s">
        <v>498</v>
      </c>
      <c r="F301" s="967"/>
    </row>
    <row r="302" spans="1:6">
      <c r="A302" s="1012"/>
      <c r="B302" s="978">
        <v>2</v>
      </c>
      <c r="C302" s="1741" t="s">
        <v>2268</v>
      </c>
      <c r="D302" s="978" t="s">
        <v>2269</v>
      </c>
      <c r="E302" s="1006" t="s">
        <v>164</v>
      </c>
      <c r="F302" s="975"/>
    </row>
    <row r="303" spans="1:6">
      <c r="A303" s="1005"/>
      <c r="B303" s="978">
        <v>14</v>
      </c>
      <c r="C303" s="1742" t="s">
        <v>2270</v>
      </c>
      <c r="D303" s="990" t="s">
        <v>2271</v>
      </c>
      <c r="E303" s="1006" t="s">
        <v>2244</v>
      </c>
      <c r="F303" s="967"/>
    </row>
    <row r="304" spans="1:6">
      <c r="A304" s="1005"/>
      <c r="B304" s="978">
        <v>5</v>
      </c>
      <c r="C304" s="1742" t="s">
        <v>2272</v>
      </c>
      <c r="D304" s="990" t="s">
        <v>2273</v>
      </c>
      <c r="E304" s="1006" t="s">
        <v>164</v>
      </c>
      <c r="F304" s="967"/>
    </row>
    <row r="305" spans="1:6">
      <c r="A305" s="1005"/>
      <c r="B305" s="978">
        <v>12</v>
      </c>
      <c r="C305" s="1742" t="s">
        <v>2274</v>
      </c>
      <c r="D305" s="990" t="s">
        <v>2275</v>
      </c>
      <c r="E305" s="1006" t="s">
        <v>159</v>
      </c>
      <c r="F305" s="967"/>
    </row>
    <row r="306" spans="1:6">
      <c r="A306" s="1005"/>
      <c r="B306" s="978">
        <v>13</v>
      </c>
      <c r="C306" s="1742" t="s">
        <v>2276</v>
      </c>
      <c r="D306" s="990" t="s">
        <v>2277</v>
      </c>
      <c r="E306" s="1006" t="s">
        <v>164</v>
      </c>
      <c r="F306" s="967"/>
    </row>
    <row r="307" spans="1:6">
      <c r="A307" s="1005"/>
      <c r="B307" s="978">
        <v>3</v>
      </c>
      <c r="C307" s="1742" t="s">
        <v>2278</v>
      </c>
      <c r="D307" s="990" t="s">
        <v>2279</v>
      </c>
      <c r="E307" s="1006" t="s">
        <v>164</v>
      </c>
      <c r="F307" s="967"/>
    </row>
    <row r="308" spans="1:6">
      <c r="A308" s="1005"/>
      <c r="B308" s="978">
        <v>14</v>
      </c>
      <c r="C308" s="1742" t="s">
        <v>2280</v>
      </c>
      <c r="D308" s="990" t="s">
        <v>2281</v>
      </c>
      <c r="E308" s="1006" t="s">
        <v>512</v>
      </c>
      <c r="F308" s="967"/>
    </row>
    <row r="309" spans="1:6">
      <c r="A309" s="1015"/>
      <c r="B309" s="978">
        <v>1</v>
      </c>
      <c r="C309" s="1741" t="s">
        <v>2282</v>
      </c>
      <c r="D309" s="978" t="s">
        <v>2283</v>
      </c>
      <c r="E309" s="1006" t="s">
        <v>159</v>
      </c>
      <c r="F309" s="968"/>
    </row>
    <row r="310" spans="1:6">
      <c r="A310" s="1005"/>
      <c r="B310" s="978">
        <v>12</v>
      </c>
      <c r="C310" s="1741" t="s">
        <v>2284</v>
      </c>
      <c r="D310" s="990" t="s">
        <v>2285</v>
      </c>
      <c r="E310" s="1006" t="s">
        <v>164</v>
      </c>
      <c r="F310" s="967"/>
    </row>
    <row r="311" spans="1:6">
      <c r="A311" s="1005"/>
      <c r="B311" s="978">
        <v>10</v>
      </c>
      <c r="C311" s="1741" t="s">
        <v>2286</v>
      </c>
      <c r="D311" s="990" t="s">
        <v>2287</v>
      </c>
      <c r="E311" s="1006" t="s">
        <v>164</v>
      </c>
      <c r="F311" s="967"/>
    </row>
    <row r="312" spans="1:6" ht="25">
      <c r="A312" s="1005"/>
      <c r="B312" s="978">
        <v>11</v>
      </c>
      <c r="C312" s="1742" t="s">
        <v>2288</v>
      </c>
      <c r="D312" s="990" t="s">
        <v>2289</v>
      </c>
      <c r="E312" s="1006" t="s">
        <v>164</v>
      </c>
      <c r="F312" s="967"/>
    </row>
    <row r="313" spans="1:6">
      <c r="A313" s="1012"/>
      <c r="B313" s="978">
        <v>8</v>
      </c>
      <c r="C313" s="1746" t="s">
        <v>2290</v>
      </c>
      <c r="D313" s="978" t="s">
        <v>2291</v>
      </c>
      <c r="E313" s="1006" t="s">
        <v>159</v>
      </c>
      <c r="F313" s="975"/>
    </row>
    <row r="314" spans="1:6">
      <c r="A314" s="1005"/>
      <c r="B314" s="978">
        <v>15</v>
      </c>
      <c r="C314" s="1741" t="s">
        <v>2292</v>
      </c>
      <c r="D314" s="990" t="s">
        <v>2293</v>
      </c>
      <c r="E314" s="1006" t="s">
        <v>1922</v>
      </c>
      <c r="F314" s="967"/>
    </row>
    <row r="315" spans="1:6">
      <c r="A315" s="1012"/>
      <c r="B315" s="978">
        <v>1</v>
      </c>
      <c r="C315" s="1741" t="s">
        <v>2294</v>
      </c>
      <c r="D315" s="978" t="s">
        <v>2295</v>
      </c>
      <c r="E315" s="1006" t="s">
        <v>512</v>
      </c>
      <c r="F315" s="975"/>
    </row>
    <row r="316" spans="1:6">
      <c r="A316" s="1005"/>
      <c r="B316" s="978">
        <v>11</v>
      </c>
      <c r="C316" s="1746" t="s">
        <v>2296</v>
      </c>
      <c r="D316" s="990" t="s">
        <v>2297</v>
      </c>
      <c r="E316" s="1006" t="s">
        <v>164</v>
      </c>
      <c r="F316" s="967"/>
    </row>
    <row r="317" spans="1:6" ht="25">
      <c r="A317" s="1005"/>
      <c r="B317" s="978">
        <v>19</v>
      </c>
      <c r="C317" s="1741" t="s">
        <v>2298</v>
      </c>
      <c r="D317" s="990" t="s">
        <v>2299</v>
      </c>
      <c r="E317" s="1006" t="s">
        <v>383</v>
      </c>
      <c r="F317" s="967"/>
    </row>
    <row r="318" spans="1:6">
      <c r="A318" s="1005"/>
      <c r="B318" s="978">
        <v>7</v>
      </c>
      <c r="C318" s="1741" t="s">
        <v>2300</v>
      </c>
      <c r="D318" s="990" t="s">
        <v>2301</v>
      </c>
      <c r="E318" s="1006" t="s">
        <v>159</v>
      </c>
      <c r="F318" s="967"/>
    </row>
    <row r="319" spans="1:6">
      <c r="A319" s="1012"/>
      <c r="B319" s="978">
        <v>8</v>
      </c>
      <c r="C319" s="1741" t="s">
        <v>2302</v>
      </c>
      <c r="D319" s="978" t="s">
        <v>2303</v>
      </c>
      <c r="E319" s="1006" t="s">
        <v>159</v>
      </c>
      <c r="F319" s="975"/>
    </row>
    <row r="320" spans="1:6">
      <c r="A320" s="1005"/>
      <c r="B320" s="978">
        <v>1</v>
      </c>
      <c r="C320" s="1741" t="s">
        <v>2304</v>
      </c>
      <c r="D320" s="978" t="s">
        <v>2305</v>
      </c>
      <c r="E320" s="1006" t="s">
        <v>164</v>
      </c>
      <c r="F320" s="967"/>
    </row>
    <row r="321" spans="1:6">
      <c r="A321" s="1012"/>
      <c r="B321" s="978">
        <v>11</v>
      </c>
      <c r="C321" s="1741" t="s">
        <v>2306</v>
      </c>
      <c r="D321" s="978" t="s">
        <v>2307</v>
      </c>
      <c r="E321" s="1006" t="s">
        <v>332</v>
      </c>
      <c r="F321" s="975"/>
    </row>
    <row r="322" spans="1:6">
      <c r="A322" s="1005"/>
      <c r="B322" s="978">
        <v>12</v>
      </c>
      <c r="C322" s="1741" t="s">
        <v>2308</v>
      </c>
      <c r="D322" s="990" t="s">
        <v>2309</v>
      </c>
      <c r="E322" s="1006" t="s">
        <v>164</v>
      </c>
      <c r="F322" s="967"/>
    </row>
    <row r="323" spans="1:6">
      <c r="A323" s="1005"/>
      <c r="B323" s="978">
        <v>13</v>
      </c>
      <c r="C323" s="1741" t="s">
        <v>2310</v>
      </c>
      <c r="D323" s="990" t="s">
        <v>2311</v>
      </c>
      <c r="E323" s="1006" t="s">
        <v>164</v>
      </c>
      <c r="F323" s="967"/>
    </row>
    <row r="324" spans="1:6">
      <c r="A324" s="1012"/>
      <c r="B324" s="978">
        <v>10</v>
      </c>
      <c r="C324" s="1746" t="s">
        <v>2290</v>
      </c>
      <c r="D324" s="978" t="s">
        <v>2312</v>
      </c>
      <c r="E324" s="1006" t="s">
        <v>159</v>
      </c>
      <c r="F324" s="975"/>
    </row>
    <row r="325" spans="1:6">
      <c r="A325" s="1005"/>
      <c r="B325" s="978">
        <v>10</v>
      </c>
      <c r="C325" s="1742" t="s">
        <v>2313</v>
      </c>
      <c r="D325" s="990" t="s">
        <v>2314</v>
      </c>
      <c r="E325" s="1006" t="s">
        <v>164</v>
      </c>
      <c r="F325" s="967"/>
    </row>
    <row r="326" spans="1:6">
      <c r="A326" s="1012"/>
      <c r="B326" s="978">
        <v>7</v>
      </c>
      <c r="C326" s="1746" t="s">
        <v>2315</v>
      </c>
      <c r="D326" s="978" t="s">
        <v>2316</v>
      </c>
      <c r="E326" s="1006" t="s">
        <v>159</v>
      </c>
      <c r="F326" s="975"/>
    </row>
    <row r="327" spans="1:6">
      <c r="A327" s="1005"/>
      <c r="B327" s="978">
        <v>4</v>
      </c>
      <c r="C327" s="1741" t="s">
        <v>2317</v>
      </c>
      <c r="D327" s="990" t="s">
        <v>2318</v>
      </c>
      <c r="E327" s="1006" t="s">
        <v>177</v>
      </c>
      <c r="F327" s="967"/>
    </row>
    <row r="328" spans="1:6">
      <c r="A328" s="1005"/>
      <c r="B328" s="978">
        <v>14</v>
      </c>
      <c r="C328" s="1742" t="s">
        <v>2319</v>
      </c>
      <c r="D328" s="990" t="s">
        <v>2320</v>
      </c>
      <c r="E328" s="1006" t="s">
        <v>164</v>
      </c>
      <c r="F328" s="967"/>
    </row>
    <row r="329" spans="1:6">
      <c r="A329" s="1005"/>
      <c r="B329" s="978">
        <v>7</v>
      </c>
      <c r="C329" s="1741" t="s">
        <v>2321</v>
      </c>
      <c r="D329" s="990" t="s">
        <v>2322</v>
      </c>
      <c r="E329" s="1006" t="s">
        <v>177</v>
      </c>
      <c r="F329" s="967"/>
    </row>
    <row r="330" spans="1:6">
      <c r="A330" s="1012"/>
      <c r="B330" s="978">
        <v>3</v>
      </c>
      <c r="C330" s="1741" t="s">
        <v>2323</v>
      </c>
      <c r="D330" s="978" t="s">
        <v>2324</v>
      </c>
      <c r="E330" s="1006" t="s">
        <v>164</v>
      </c>
      <c r="F330" s="975"/>
    </row>
    <row r="331" spans="1:6">
      <c r="A331" s="1005"/>
      <c r="B331" s="978">
        <v>20</v>
      </c>
      <c r="C331" s="1742" t="s">
        <v>2325</v>
      </c>
      <c r="D331" s="990" t="s">
        <v>2326</v>
      </c>
      <c r="E331" s="1006" t="s">
        <v>164</v>
      </c>
      <c r="F331" s="967"/>
    </row>
    <row r="332" spans="1:6">
      <c r="A332" s="1005"/>
      <c r="B332" s="978">
        <v>21</v>
      </c>
      <c r="C332" s="1742" t="s">
        <v>2327</v>
      </c>
      <c r="D332" s="990" t="s">
        <v>2328</v>
      </c>
      <c r="E332" s="1006" t="s">
        <v>164</v>
      </c>
      <c r="F332" s="967"/>
    </row>
    <row r="333" spans="1:6" ht="25">
      <c r="A333" s="1012"/>
      <c r="B333" s="978">
        <v>12</v>
      </c>
      <c r="C333" s="1746" t="s">
        <v>2329</v>
      </c>
      <c r="D333" s="978" t="s">
        <v>2330</v>
      </c>
      <c r="E333" s="1006" t="s">
        <v>164</v>
      </c>
      <c r="F333" s="975"/>
    </row>
    <row r="334" spans="1:6" ht="25">
      <c r="A334" s="1005"/>
      <c r="B334" s="978">
        <v>8</v>
      </c>
      <c r="C334" s="1742" t="s">
        <v>2331</v>
      </c>
      <c r="D334" s="990" t="s">
        <v>2332</v>
      </c>
      <c r="E334" s="1006" t="s">
        <v>164</v>
      </c>
      <c r="F334" s="967"/>
    </row>
    <row r="335" spans="1:6">
      <c r="A335" s="1005"/>
      <c r="B335" s="978">
        <v>3</v>
      </c>
      <c r="C335" s="1742" t="s">
        <v>2333</v>
      </c>
      <c r="D335" s="978" t="s">
        <v>2334</v>
      </c>
      <c r="E335" s="1006" t="s">
        <v>164</v>
      </c>
      <c r="F335" s="967"/>
    </row>
    <row r="336" spans="1:6" ht="25">
      <c r="A336" s="1005"/>
      <c r="B336" s="978">
        <v>10</v>
      </c>
      <c r="C336" s="1742" t="s">
        <v>2335</v>
      </c>
      <c r="D336" s="990" t="s">
        <v>2336</v>
      </c>
      <c r="E336" s="1006" t="s">
        <v>164</v>
      </c>
      <c r="F336" s="967"/>
    </row>
    <row r="337" spans="1:6">
      <c r="A337" s="1012"/>
      <c r="B337" s="978">
        <v>12</v>
      </c>
      <c r="C337" s="1746" t="s">
        <v>2337</v>
      </c>
      <c r="D337" s="1016" t="s">
        <v>2338</v>
      </c>
      <c r="E337" s="1006" t="s">
        <v>2339</v>
      </c>
      <c r="F337" s="975"/>
    </row>
    <row r="338" spans="1:6">
      <c r="A338" s="1012"/>
      <c r="B338" s="978">
        <v>1</v>
      </c>
      <c r="C338" s="1741" t="s">
        <v>2294</v>
      </c>
      <c r="D338" s="978" t="s">
        <v>2340</v>
      </c>
      <c r="E338" s="1006" t="s">
        <v>512</v>
      </c>
      <c r="F338" s="975"/>
    </row>
    <row r="339" spans="1:6">
      <c r="A339" s="1005"/>
      <c r="B339" s="978">
        <v>10</v>
      </c>
      <c r="C339" s="1742" t="s">
        <v>2341</v>
      </c>
      <c r="D339" s="990" t="s">
        <v>2342</v>
      </c>
      <c r="E339" s="1006" t="s">
        <v>512</v>
      </c>
      <c r="F339" s="967"/>
    </row>
    <row r="340" spans="1:6">
      <c r="A340" s="1012"/>
      <c r="B340" s="978">
        <v>20</v>
      </c>
      <c r="C340" s="1741" t="s">
        <v>2343</v>
      </c>
      <c r="D340" s="978" t="s">
        <v>2344</v>
      </c>
      <c r="E340" s="1006" t="s">
        <v>159</v>
      </c>
      <c r="F340" s="975"/>
    </row>
    <row r="341" spans="1:6">
      <c r="A341" s="1012"/>
      <c r="B341" s="978">
        <v>22</v>
      </c>
      <c r="C341" s="1741" t="s">
        <v>2345</v>
      </c>
      <c r="D341" s="978" t="s">
        <v>2346</v>
      </c>
      <c r="E341" s="1006" t="s">
        <v>159</v>
      </c>
      <c r="F341" s="975"/>
    </row>
    <row r="342" spans="1:6">
      <c r="A342" s="1012"/>
      <c r="B342" s="978">
        <v>16</v>
      </c>
      <c r="C342" s="1746" t="s">
        <v>2347</v>
      </c>
      <c r="D342" s="1016" t="s">
        <v>2348</v>
      </c>
      <c r="E342" s="1006" t="s">
        <v>2339</v>
      </c>
      <c r="F342" s="975"/>
    </row>
    <row r="343" spans="1:6">
      <c r="A343" s="1005"/>
      <c r="B343" s="978">
        <v>6</v>
      </c>
      <c r="C343" s="1741" t="s">
        <v>2349</v>
      </c>
      <c r="D343" s="990" t="s">
        <v>2350</v>
      </c>
      <c r="E343" s="1006" t="s">
        <v>164</v>
      </c>
      <c r="F343" s="967"/>
    </row>
    <row r="344" spans="1:6">
      <c r="A344" s="1005"/>
      <c r="B344" s="978">
        <v>7</v>
      </c>
      <c r="C344" s="1741" t="s">
        <v>2351</v>
      </c>
      <c r="D344" s="990" t="s">
        <v>2352</v>
      </c>
      <c r="E344" s="1006" t="s">
        <v>164</v>
      </c>
      <c r="F344" s="967"/>
    </row>
    <row r="345" spans="1:6">
      <c r="A345" s="1005"/>
      <c r="B345" s="978">
        <v>13</v>
      </c>
      <c r="C345" s="1747" t="s">
        <v>2353</v>
      </c>
      <c r="D345" s="990" t="s">
        <v>2354</v>
      </c>
      <c r="E345" s="1006" t="s">
        <v>2118</v>
      </c>
      <c r="F345" s="967"/>
    </row>
    <row r="346" spans="1:6">
      <c r="A346" s="1005"/>
      <c r="B346" s="978">
        <v>14</v>
      </c>
      <c r="C346" s="1747" t="s">
        <v>2355</v>
      </c>
      <c r="D346" s="990" t="s">
        <v>2356</v>
      </c>
      <c r="E346" s="1006" t="s">
        <v>332</v>
      </c>
      <c r="F346" s="967"/>
    </row>
    <row r="347" spans="1:6" ht="25">
      <c r="A347" s="1012"/>
      <c r="B347" s="978">
        <v>23</v>
      </c>
      <c r="C347" s="1748" t="s">
        <v>2357</v>
      </c>
      <c r="D347" s="978" t="s">
        <v>2358</v>
      </c>
      <c r="E347" s="1006" t="s">
        <v>1851</v>
      </c>
      <c r="F347" s="975"/>
    </row>
    <row r="348" spans="1:6" ht="25">
      <c r="A348" s="1012"/>
      <c r="B348" s="978">
        <v>24</v>
      </c>
      <c r="C348" s="1748" t="s">
        <v>2359</v>
      </c>
      <c r="D348" s="978" t="s">
        <v>2360</v>
      </c>
      <c r="E348" s="1006" t="s">
        <v>1851</v>
      </c>
      <c r="F348" s="975"/>
    </row>
    <row r="349" spans="1:6" ht="25">
      <c r="A349" s="1012"/>
      <c r="B349" s="978">
        <v>25</v>
      </c>
      <c r="C349" s="1748" t="s">
        <v>2361</v>
      </c>
      <c r="D349" s="978" t="s">
        <v>2362</v>
      </c>
      <c r="E349" s="1006" t="s">
        <v>1851</v>
      </c>
      <c r="F349" s="975"/>
    </row>
    <row r="350" spans="1:6" ht="25">
      <c r="A350" s="1012"/>
      <c r="B350" s="978">
        <v>26</v>
      </c>
      <c r="C350" s="1748" t="s">
        <v>2363</v>
      </c>
      <c r="D350" s="978" t="s">
        <v>2364</v>
      </c>
      <c r="E350" s="1006" t="s">
        <v>1851</v>
      </c>
      <c r="F350" s="975"/>
    </row>
    <row r="351" spans="1:6">
      <c r="A351" s="1005"/>
      <c r="B351" s="978">
        <v>8</v>
      </c>
      <c r="C351" s="1746" t="s">
        <v>2365</v>
      </c>
      <c r="D351" s="990" t="s">
        <v>2366</v>
      </c>
      <c r="E351" s="1006" t="s">
        <v>332</v>
      </c>
      <c r="F351" s="967"/>
    </row>
    <row r="352" spans="1:6">
      <c r="A352" s="1005"/>
      <c r="B352" s="978">
        <v>18</v>
      </c>
      <c r="C352" s="1742" t="s">
        <v>2367</v>
      </c>
      <c r="D352" s="990" t="s">
        <v>2368</v>
      </c>
      <c r="E352" s="1006" t="s">
        <v>164</v>
      </c>
      <c r="F352" s="967"/>
    </row>
    <row r="353" spans="1:6">
      <c r="A353" s="1005"/>
      <c r="B353" s="978">
        <v>19</v>
      </c>
      <c r="C353" s="1742" t="s">
        <v>2369</v>
      </c>
      <c r="D353" s="990" t="s">
        <v>2370</v>
      </c>
      <c r="E353" s="1006" t="s">
        <v>164</v>
      </c>
      <c r="F353" s="967"/>
    </row>
    <row r="354" spans="1:6">
      <c r="A354" s="1005"/>
      <c r="B354" s="978">
        <v>21</v>
      </c>
      <c r="C354" s="1742" t="s">
        <v>2371</v>
      </c>
      <c r="D354" s="990" t="s">
        <v>2372</v>
      </c>
      <c r="E354" s="1006" t="s">
        <v>177</v>
      </c>
      <c r="F354" s="967"/>
    </row>
    <row r="355" spans="1:6">
      <c r="A355" s="1005"/>
      <c r="B355" s="978">
        <v>9</v>
      </c>
      <c r="C355" s="1741" t="s">
        <v>2373</v>
      </c>
      <c r="D355" s="990" t="s">
        <v>2374</v>
      </c>
      <c r="E355" s="1006" t="s">
        <v>159</v>
      </c>
      <c r="F355" s="967"/>
    </row>
    <row r="356" spans="1:6">
      <c r="A356" s="1005"/>
      <c r="B356" s="978">
        <v>11</v>
      </c>
      <c r="C356" s="1746" t="s">
        <v>2375</v>
      </c>
      <c r="D356" s="990" t="s">
        <v>2376</v>
      </c>
      <c r="E356" s="1006" t="s">
        <v>164</v>
      </c>
      <c r="F356" s="967"/>
    </row>
    <row r="357" spans="1:6">
      <c r="A357" s="1005"/>
      <c r="B357" s="978">
        <v>7</v>
      </c>
      <c r="C357" s="1741" t="s">
        <v>2377</v>
      </c>
      <c r="D357" s="990" t="s">
        <v>2378</v>
      </c>
      <c r="E357" s="1006" t="s">
        <v>2244</v>
      </c>
      <c r="F357" s="967"/>
    </row>
    <row r="358" spans="1:6">
      <c r="A358" s="1018"/>
      <c r="B358" s="978">
        <v>3</v>
      </c>
      <c r="C358" s="1742" t="s">
        <v>2379</v>
      </c>
      <c r="D358" s="990" t="s">
        <v>2380</v>
      </c>
      <c r="E358" s="1006" t="s">
        <v>177</v>
      </c>
      <c r="F358" s="967"/>
    </row>
    <row r="359" spans="1:6">
      <c r="A359" s="1005"/>
      <c r="B359" s="978">
        <v>1</v>
      </c>
      <c r="C359" s="1742" t="s">
        <v>2381</v>
      </c>
      <c r="D359" s="978" t="s">
        <v>2382</v>
      </c>
      <c r="E359" s="1006" t="s">
        <v>2383</v>
      </c>
      <c r="F359" s="967"/>
    </row>
    <row r="360" spans="1:6">
      <c r="A360" s="1005"/>
      <c r="B360" s="978">
        <v>19</v>
      </c>
      <c r="C360" s="1747" t="s">
        <v>2384</v>
      </c>
      <c r="D360" s="980" t="s">
        <v>2385</v>
      </c>
      <c r="E360" s="1006" t="s">
        <v>164</v>
      </c>
      <c r="F360" s="967"/>
    </row>
    <row r="361" spans="1:6">
      <c r="A361" s="1018"/>
      <c r="B361" s="978">
        <v>2</v>
      </c>
      <c r="C361" s="1742" t="s">
        <v>2386</v>
      </c>
      <c r="D361" s="990" t="s">
        <v>2387</v>
      </c>
      <c r="E361" s="1006" t="s">
        <v>332</v>
      </c>
      <c r="F361" s="967"/>
    </row>
    <row r="362" spans="1:6">
      <c r="A362" s="1005"/>
      <c r="B362" s="978">
        <v>8</v>
      </c>
      <c r="C362" s="1741" t="s">
        <v>2388</v>
      </c>
      <c r="D362" s="990" t="s">
        <v>2389</v>
      </c>
      <c r="E362" s="1006" t="s">
        <v>159</v>
      </c>
      <c r="F362" s="967"/>
    </row>
    <row r="363" spans="1:6">
      <c r="A363" s="1005"/>
      <c r="B363" s="978">
        <v>12</v>
      </c>
      <c r="C363" s="1747" t="s">
        <v>2390</v>
      </c>
      <c r="D363" s="990" t="s">
        <v>2391</v>
      </c>
      <c r="E363" s="1006" t="s">
        <v>159</v>
      </c>
      <c r="F363" s="967"/>
    </row>
    <row r="364" spans="1:6">
      <c r="A364" s="1005"/>
      <c r="B364" s="978">
        <v>13</v>
      </c>
      <c r="C364" s="1747" t="s">
        <v>2392</v>
      </c>
      <c r="D364" s="990" t="s">
        <v>2393</v>
      </c>
      <c r="E364" s="1006" t="s">
        <v>159</v>
      </c>
      <c r="F364" s="967"/>
    </row>
    <row r="365" spans="1:6">
      <c r="A365" s="1005"/>
      <c r="B365" s="978">
        <v>14</v>
      </c>
      <c r="C365" s="1747" t="s">
        <v>2394</v>
      </c>
      <c r="D365" s="990" t="s">
        <v>2395</v>
      </c>
      <c r="E365" s="1006" t="s">
        <v>159</v>
      </c>
      <c r="F365" s="967"/>
    </row>
    <row r="366" spans="1:6">
      <c r="A366" s="1005"/>
      <c r="B366" s="978">
        <v>15</v>
      </c>
      <c r="C366" s="1747" t="s">
        <v>2396</v>
      </c>
      <c r="D366" s="990" t="s">
        <v>2397</v>
      </c>
      <c r="E366" s="1006" t="s">
        <v>159</v>
      </c>
      <c r="F366" s="967"/>
    </row>
    <row r="367" spans="1:6" ht="25">
      <c r="A367" s="1005"/>
      <c r="B367" s="978">
        <v>7</v>
      </c>
      <c r="C367" s="1741" t="s">
        <v>2398</v>
      </c>
      <c r="D367" s="990" t="s">
        <v>2399</v>
      </c>
      <c r="E367" s="1006" t="s">
        <v>164</v>
      </c>
      <c r="F367" s="967"/>
    </row>
    <row r="368" spans="1:6">
      <c r="A368" s="1005"/>
      <c r="B368" s="978">
        <v>3</v>
      </c>
      <c r="C368" s="1746" t="s">
        <v>2400</v>
      </c>
      <c r="D368" s="990" t="s">
        <v>2401</v>
      </c>
      <c r="E368" s="1006" t="s">
        <v>164</v>
      </c>
      <c r="F368" s="967"/>
    </row>
    <row r="369" spans="1:6">
      <c r="A369" s="1018"/>
      <c r="B369" s="978">
        <v>4</v>
      </c>
      <c r="C369" s="1747" t="s">
        <v>2402</v>
      </c>
      <c r="D369" s="990" t="s">
        <v>2403</v>
      </c>
      <c r="E369" s="1006" t="s">
        <v>400</v>
      </c>
      <c r="F369" s="967"/>
    </row>
    <row r="370" spans="1:6">
      <c r="A370" s="1005"/>
      <c r="B370" s="978">
        <v>9</v>
      </c>
      <c r="C370" s="1746" t="s">
        <v>2404</v>
      </c>
      <c r="D370" s="990" t="s">
        <v>2405</v>
      </c>
      <c r="E370" s="1006" t="s">
        <v>164</v>
      </c>
      <c r="F370" s="967"/>
    </row>
    <row r="371" spans="1:6">
      <c r="A371" s="1018"/>
      <c r="B371" s="978">
        <v>6</v>
      </c>
      <c r="C371" s="1747" t="s">
        <v>2406</v>
      </c>
      <c r="D371" s="990" t="s">
        <v>2407</v>
      </c>
      <c r="E371" s="1006" t="s">
        <v>159</v>
      </c>
      <c r="F371" s="967"/>
    </row>
    <row r="372" spans="1:6" ht="25">
      <c r="A372" s="1005"/>
      <c r="B372" s="978">
        <v>15</v>
      </c>
      <c r="C372" s="1747" t="s">
        <v>2408</v>
      </c>
      <c r="D372" s="990" t="s">
        <v>2409</v>
      </c>
      <c r="E372" s="1013" t="s">
        <v>400</v>
      </c>
      <c r="F372" s="967"/>
    </row>
    <row r="373" spans="1:6">
      <c r="A373" s="1005"/>
      <c r="B373" s="978">
        <v>16</v>
      </c>
      <c r="C373" s="1747" t="s">
        <v>2410</v>
      </c>
      <c r="D373" s="990" t="s">
        <v>2411</v>
      </c>
      <c r="E373" s="1006" t="s">
        <v>332</v>
      </c>
      <c r="F373" s="967"/>
    </row>
    <row r="374" spans="1:6">
      <c r="A374" s="1005"/>
      <c r="B374" s="978">
        <v>13</v>
      </c>
      <c r="C374" s="1741" t="s">
        <v>2412</v>
      </c>
      <c r="D374" s="990" t="s">
        <v>2413</v>
      </c>
      <c r="E374" s="1006" t="s">
        <v>164</v>
      </c>
      <c r="F374" s="967"/>
    </row>
    <row r="375" spans="1:6">
      <c r="A375" s="1005"/>
      <c r="B375" s="978">
        <v>11</v>
      </c>
      <c r="C375" s="1741" t="s">
        <v>2414</v>
      </c>
      <c r="D375" s="990" t="s">
        <v>2415</v>
      </c>
      <c r="E375" s="1006" t="s">
        <v>164</v>
      </c>
      <c r="F375" s="967"/>
    </row>
    <row r="376" spans="1:6">
      <c r="A376" s="1005"/>
      <c r="B376" s="978">
        <v>10</v>
      </c>
      <c r="C376" s="1741" t="s">
        <v>2416</v>
      </c>
      <c r="D376" s="990" t="s">
        <v>2417</v>
      </c>
      <c r="E376" s="1006" t="s">
        <v>164</v>
      </c>
      <c r="F376" s="967"/>
    </row>
    <row r="377" spans="1:6">
      <c r="A377" s="1012"/>
      <c r="B377" s="978">
        <v>1</v>
      </c>
      <c r="C377" s="1011" t="s">
        <v>2418</v>
      </c>
      <c r="D377" s="978" t="s">
        <v>2419</v>
      </c>
      <c r="E377" s="1006" t="s">
        <v>498</v>
      </c>
      <c r="F377" s="975"/>
    </row>
    <row r="378" spans="1:6">
      <c r="A378" s="1005"/>
      <c r="B378" s="978">
        <v>10</v>
      </c>
      <c r="C378" s="1746" t="s">
        <v>2420</v>
      </c>
      <c r="D378" s="990" t="s">
        <v>2421</v>
      </c>
      <c r="E378" s="1006" t="s">
        <v>332</v>
      </c>
      <c r="F378" s="967"/>
    </row>
    <row r="379" spans="1:6" ht="25">
      <c r="A379" s="1018"/>
      <c r="B379" s="978">
        <v>3</v>
      </c>
      <c r="C379" s="1742" t="s">
        <v>2422</v>
      </c>
      <c r="D379" s="990" t="s">
        <v>2423</v>
      </c>
      <c r="E379" s="1006" t="s">
        <v>159</v>
      </c>
      <c r="F379" s="967"/>
    </row>
    <row r="380" spans="1:6">
      <c r="A380" s="1005"/>
      <c r="B380" s="978">
        <v>11</v>
      </c>
      <c r="C380" s="1741" t="s">
        <v>2424</v>
      </c>
      <c r="D380" s="990" t="s">
        <v>2425</v>
      </c>
      <c r="E380" s="1006" t="s">
        <v>370</v>
      </c>
      <c r="F380" s="967"/>
    </row>
    <row r="381" spans="1:6">
      <c r="A381" s="1005"/>
      <c r="B381" s="978">
        <v>11</v>
      </c>
      <c r="C381" s="1741" t="s">
        <v>2424</v>
      </c>
      <c r="D381" s="990" t="s">
        <v>2426</v>
      </c>
      <c r="E381" s="1006" t="s">
        <v>370</v>
      </c>
      <c r="F381" s="967"/>
    </row>
    <row r="382" spans="1:6">
      <c r="A382" s="1005"/>
      <c r="B382" s="978">
        <v>11</v>
      </c>
      <c r="C382" s="1746" t="s">
        <v>2427</v>
      </c>
      <c r="D382" s="990" t="s">
        <v>2428</v>
      </c>
      <c r="E382" s="1006" t="s">
        <v>159</v>
      </c>
      <c r="F382" s="967"/>
    </row>
    <row r="383" spans="1:6" ht="25">
      <c r="A383" s="1018"/>
      <c r="B383" s="978">
        <v>4</v>
      </c>
      <c r="C383" s="1747" t="s">
        <v>2429</v>
      </c>
      <c r="D383" s="990" t="s">
        <v>2430</v>
      </c>
      <c r="E383" s="1013" t="s">
        <v>400</v>
      </c>
      <c r="F383" s="967"/>
    </row>
    <row r="384" spans="1:6" ht="25">
      <c r="A384" s="1018"/>
      <c r="B384" s="978">
        <v>7</v>
      </c>
      <c r="C384" s="1747" t="s">
        <v>2431</v>
      </c>
      <c r="D384" s="990" t="s">
        <v>2432</v>
      </c>
      <c r="E384" s="1006" t="s">
        <v>400</v>
      </c>
      <c r="F384" s="967"/>
    </row>
    <row r="385" spans="1:6">
      <c r="A385" s="1005"/>
      <c r="B385" s="978">
        <v>16</v>
      </c>
      <c r="C385" s="1748" t="s">
        <v>2433</v>
      </c>
      <c r="D385" s="990" t="s">
        <v>2434</v>
      </c>
      <c r="E385" s="1006" t="s">
        <v>164</v>
      </c>
      <c r="F385" s="967"/>
    </row>
    <row r="386" spans="1:6">
      <c r="A386" s="1005"/>
      <c r="B386" s="978">
        <v>18</v>
      </c>
      <c r="C386" s="1748" t="s">
        <v>2435</v>
      </c>
      <c r="D386" s="990" t="s">
        <v>2436</v>
      </c>
      <c r="E386" s="1006" t="s">
        <v>2437</v>
      </c>
      <c r="F386" s="967"/>
    </row>
    <row r="387" spans="1:6" ht="25">
      <c r="A387" s="1005"/>
      <c r="B387" s="978">
        <v>10</v>
      </c>
      <c r="C387" s="1748" t="s">
        <v>2438</v>
      </c>
      <c r="D387" s="990" t="s">
        <v>2439</v>
      </c>
      <c r="E387" s="1006" t="s">
        <v>164</v>
      </c>
      <c r="F387" s="967"/>
    </row>
    <row r="388" spans="1:6">
      <c r="A388" s="1012"/>
      <c r="B388" s="978">
        <v>1</v>
      </c>
      <c r="C388" s="1017" t="s">
        <v>2440</v>
      </c>
      <c r="D388" s="978" t="s">
        <v>2441</v>
      </c>
      <c r="E388" s="1006" t="s">
        <v>164</v>
      </c>
      <c r="F388" s="975"/>
    </row>
    <row r="389" spans="1:6">
      <c r="A389" s="1005"/>
      <c r="B389" s="978">
        <v>21</v>
      </c>
      <c r="C389" s="1748" t="s">
        <v>2442</v>
      </c>
      <c r="D389" s="990" t="s">
        <v>2443</v>
      </c>
      <c r="E389" s="1006" t="s">
        <v>159</v>
      </c>
      <c r="F389" s="967"/>
    </row>
    <row r="390" spans="1:6">
      <c r="A390" s="1018"/>
      <c r="B390" s="978">
        <v>3</v>
      </c>
      <c r="C390" s="1747" t="s">
        <v>2444</v>
      </c>
      <c r="D390" s="990" t="s">
        <v>2445</v>
      </c>
      <c r="E390" s="1006" t="s">
        <v>2446</v>
      </c>
      <c r="F390" s="967"/>
    </row>
    <row r="391" spans="1:6">
      <c r="A391" s="1005"/>
      <c r="B391" s="978">
        <v>15</v>
      </c>
      <c r="C391" s="1741" t="s">
        <v>2447</v>
      </c>
      <c r="D391" s="990" t="s">
        <v>2448</v>
      </c>
      <c r="E391" s="1006" t="s">
        <v>383</v>
      </c>
      <c r="F391" s="967"/>
    </row>
    <row r="392" spans="1:6">
      <c r="A392" s="1018"/>
      <c r="B392" s="978">
        <v>10</v>
      </c>
      <c r="C392" s="1742" t="s">
        <v>2449</v>
      </c>
      <c r="D392" s="990" t="s">
        <v>2450</v>
      </c>
      <c r="E392" s="1006" t="s">
        <v>498</v>
      </c>
      <c r="F392" s="967"/>
    </row>
    <row r="393" spans="1:6">
      <c r="A393" s="1005"/>
      <c r="B393" s="978">
        <v>15</v>
      </c>
      <c r="C393" s="1748" t="s">
        <v>2451</v>
      </c>
      <c r="D393" s="990" t="s">
        <v>2452</v>
      </c>
      <c r="E393" s="1006" t="s">
        <v>164</v>
      </c>
      <c r="F393" s="967"/>
    </row>
    <row r="394" spans="1:6">
      <c r="A394" s="1005"/>
      <c r="B394" s="978">
        <v>22</v>
      </c>
      <c r="C394" s="1748" t="s">
        <v>2453</v>
      </c>
      <c r="D394" s="990" t="s">
        <v>2454</v>
      </c>
      <c r="E394" s="1006" t="s">
        <v>164</v>
      </c>
      <c r="F394" s="967"/>
    </row>
    <row r="395" spans="1:6">
      <c r="A395" s="1005"/>
      <c r="B395" s="978">
        <v>17</v>
      </c>
      <c r="C395" s="1748" t="s">
        <v>2455</v>
      </c>
      <c r="D395" s="990" t="s">
        <v>2456</v>
      </c>
      <c r="E395" s="1006" t="s">
        <v>2457</v>
      </c>
      <c r="F395" s="967"/>
    </row>
    <row r="396" spans="1:6">
      <c r="A396" s="1005"/>
      <c r="B396" s="978">
        <v>11</v>
      </c>
      <c r="C396" s="1748" t="s">
        <v>2458</v>
      </c>
      <c r="D396" s="990" t="s">
        <v>2459</v>
      </c>
      <c r="E396" s="1006" t="s">
        <v>164</v>
      </c>
      <c r="F396" s="967"/>
    </row>
    <row r="397" spans="1:6" ht="25">
      <c r="A397" s="1005"/>
      <c r="B397" s="978">
        <v>12</v>
      </c>
      <c r="C397" s="1748" t="s">
        <v>2460</v>
      </c>
      <c r="D397" s="990" t="s">
        <v>2461</v>
      </c>
      <c r="E397" s="1006" t="s">
        <v>2462</v>
      </c>
      <c r="F397" s="967"/>
    </row>
    <row r="398" spans="1:6">
      <c r="A398" s="1018"/>
      <c r="B398" s="978">
        <v>5</v>
      </c>
      <c r="C398" s="1742" t="s">
        <v>2463</v>
      </c>
      <c r="D398" s="990">
        <v>45197</v>
      </c>
      <c r="E398" s="1006" t="s">
        <v>168</v>
      </c>
      <c r="F398" s="967"/>
    </row>
    <row r="399" spans="1:6">
      <c r="A399" s="1018"/>
      <c r="B399" s="978">
        <v>7</v>
      </c>
      <c r="C399" s="1742" t="s">
        <v>2464</v>
      </c>
      <c r="D399" s="990" t="s">
        <v>2465</v>
      </c>
      <c r="E399" s="1006" t="s">
        <v>159</v>
      </c>
      <c r="F399" s="967"/>
    </row>
    <row r="400" spans="1:6" ht="25">
      <c r="A400" s="1005"/>
      <c r="B400" s="978">
        <v>20</v>
      </c>
      <c r="C400" s="1749" t="s">
        <v>2466</v>
      </c>
      <c r="D400" s="990" t="s">
        <v>2467</v>
      </c>
      <c r="E400" s="1006" t="s">
        <v>164</v>
      </c>
      <c r="F400" s="967"/>
    </row>
    <row r="401" spans="1:6" ht="25">
      <c r="A401" s="1005"/>
      <c r="B401" s="990">
        <v>18</v>
      </c>
      <c r="C401" s="1749" t="s">
        <v>2468</v>
      </c>
      <c r="D401" s="990" t="s">
        <v>2469</v>
      </c>
      <c r="E401" s="1006" t="s">
        <v>2446</v>
      </c>
      <c r="F401" s="967"/>
    </row>
    <row r="402" spans="1:6">
      <c r="A402" s="1018"/>
      <c r="B402" s="978">
        <v>2</v>
      </c>
      <c r="C402" s="1750" t="s">
        <v>2470</v>
      </c>
      <c r="D402" s="990" t="s">
        <v>2471</v>
      </c>
      <c r="E402" s="1006" t="s">
        <v>2446</v>
      </c>
      <c r="F402" s="967"/>
    </row>
    <row r="403" spans="1:6" ht="25">
      <c r="A403" s="1005"/>
      <c r="B403" s="978">
        <v>15</v>
      </c>
      <c r="C403" s="1746" t="s">
        <v>2472</v>
      </c>
      <c r="D403" s="990" t="s">
        <v>2473</v>
      </c>
      <c r="E403" s="1006" t="s">
        <v>159</v>
      </c>
      <c r="F403" s="967"/>
    </row>
    <row r="404" spans="1:6" ht="25">
      <c r="A404" s="1005"/>
      <c r="B404" s="978">
        <v>16</v>
      </c>
      <c r="C404" s="1746" t="s">
        <v>2474</v>
      </c>
      <c r="D404" s="990" t="s">
        <v>2475</v>
      </c>
      <c r="E404" s="1006" t="s">
        <v>400</v>
      </c>
      <c r="F404" s="967"/>
    </row>
    <row r="405" spans="1:6" ht="25">
      <c r="A405" s="1005"/>
      <c r="B405" s="978">
        <v>15</v>
      </c>
      <c r="C405" s="1748" t="s">
        <v>2476</v>
      </c>
      <c r="D405" s="990" t="s">
        <v>2477</v>
      </c>
      <c r="E405" s="1006" t="s">
        <v>2122</v>
      </c>
      <c r="F405" s="967"/>
    </row>
    <row r="406" spans="1:6">
      <c r="A406" s="1005"/>
      <c r="B406" s="978">
        <v>16</v>
      </c>
      <c r="C406" s="1748" t="s">
        <v>2478</v>
      </c>
      <c r="D406" s="990" t="s">
        <v>2479</v>
      </c>
      <c r="E406" s="1006" t="s">
        <v>159</v>
      </c>
      <c r="F406" s="967"/>
    </row>
    <row r="407" spans="1:6">
      <c r="A407" s="1005"/>
      <c r="B407" s="978">
        <v>18</v>
      </c>
      <c r="C407" s="1746" t="s">
        <v>2480</v>
      </c>
      <c r="D407" s="990" t="s">
        <v>2481</v>
      </c>
      <c r="E407" s="1006" t="s">
        <v>159</v>
      </c>
      <c r="F407" s="967"/>
    </row>
    <row r="408" spans="1:6">
      <c r="A408" s="1018"/>
      <c r="B408" s="990">
        <v>8</v>
      </c>
      <c r="C408" s="1750" t="s">
        <v>2482</v>
      </c>
      <c r="D408" s="990" t="s">
        <v>2483</v>
      </c>
      <c r="E408" s="1013" t="s">
        <v>177</v>
      </c>
      <c r="F408" s="967"/>
    </row>
    <row r="409" spans="1:6">
      <c r="A409" s="1018"/>
      <c r="B409" s="990">
        <v>9</v>
      </c>
      <c r="C409" s="1742" t="s">
        <v>2484</v>
      </c>
      <c r="D409" s="990" t="s">
        <v>2485</v>
      </c>
      <c r="E409" s="1006" t="s">
        <v>159</v>
      </c>
      <c r="F409" s="967"/>
    </row>
    <row r="410" spans="1:6">
      <c r="A410" s="1018"/>
      <c r="B410" s="990">
        <v>11</v>
      </c>
      <c r="C410" s="1751" t="s">
        <v>2486</v>
      </c>
      <c r="D410" s="990" t="s">
        <v>2487</v>
      </c>
      <c r="E410" s="1006" t="s">
        <v>332</v>
      </c>
      <c r="F410" s="967"/>
    </row>
    <row r="411" spans="1:6">
      <c r="A411" s="1018"/>
      <c r="B411" s="990">
        <v>15</v>
      </c>
      <c r="C411" s="1752" t="s">
        <v>2488</v>
      </c>
      <c r="D411" s="990" t="s">
        <v>2489</v>
      </c>
      <c r="E411" s="1006" t="s">
        <v>498</v>
      </c>
      <c r="F411" s="967"/>
    </row>
    <row r="412" spans="1:6">
      <c r="A412" s="1018"/>
      <c r="B412" s="990">
        <v>3</v>
      </c>
      <c r="C412" s="1752" t="s">
        <v>2490</v>
      </c>
      <c r="D412" s="990">
        <v>56331</v>
      </c>
      <c r="E412" s="1006" t="s">
        <v>173</v>
      </c>
      <c r="F412" s="967"/>
    </row>
    <row r="413" spans="1:6">
      <c r="A413" s="1018"/>
      <c r="B413" s="990">
        <v>11</v>
      </c>
      <c r="C413" s="1752" t="s">
        <v>2491</v>
      </c>
      <c r="D413" s="990" t="s">
        <v>2492</v>
      </c>
      <c r="E413" s="1006" t="s">
        <v>159</v>
      </c>
      <c r="F413" s="967"/>
    </row>
    <row r="414" spans="1:6">
      <c r="A414" s="1018"/>
      <c r="B414" s="990">
        <v>9</v>
      </c>
      <c r="C414" s="1752" t="s">
        <v>2493</v>
      </c>
      <c r="D414" s="990">
        <v>1245066</v>
      </c>
      <c r="E414" s="1013" t="s">
        <v>2494</v>
      </c>
      <c r="F414" s="967"/>
    </row>
    <row r="415" spans="1:6" ht="25">
      <c r="A415" s="1018"/>
      <c r="B415" s="990">
        <v>7</v>
      </c>
      <c r="C415" s="1752" t="s">
        <v>2495</v>
      </c>
      <c r="D415" s="990" t="s">
        <v>2496</v>
      </c>
      <c r="E415" s="1006" t="s">
        <v>164</v>
      </c>
      <c r="F415" s="967"/>
    </row>
    <row r="416" spans="1:6">
      <c r="A416" s="1018"/>
      <c r="B416" s="990">
        <v>2</v>
      </c>
      <c r="C416" s="1752" t="s">
        <v>2497</v>
      </c>
      <c r="D416" s="990" t="s">
        <v>2498</v>
      </c>
      <c r="E416" s="1006"/>
      <c r="F416" s="967"/>
    </row>
    <row r="417" spans="1:6">
      <c r="A417" s="1018"/>
      <c r="B417" s="990">
        <v>10</v>
      </c>
      <c r="C417" s="1752" t="s">
        <v>2499</v>
      </c>
      <c r="D417" s="990" t="s">
        <v>2500</v>
      </c>
      <c r="E417" s="1006" t="s">
        <v>159</v>
      </c>
      <c r="F417" s="967"/>
    </row>
    <row r="418" spans="1:6">
      <c r="A418" s="1018"/>
      <c r="B418" s="990">
        <v>11</v>
      </c>
      <c r="C418" s="1752" t="s">
        <v>2501</v>
      </c>
      <c r="D418" s="1020" t="s">
        <v>2502</v>
      </c>
      <c r="E418" s="1013" t="s">
        <v>400</v>
      </c>
      <c r="F418" s="967"/>
    </row>
    <row r="419" spans="1:6">
      <c r="A419" s="1018"/>
      <c r="B419" s="990">
        <v>12</v>
      </c>
      <c r="C419" s="1752" t="s">
        <v>2503</v>
      </c>
      <c r="D419" s="990" t="s">
        <v>2504</v>
      </c>
      <c r="E419" s="1006" t="s">
        <v>400</v>
      </c>
      <c r="F419" s="967"/>
    </row>
    <row r="420" spans="1:6">
      <c r="A420" s="1018"/>
      <c r="B420" s="990">
        <v>13</v>
      </c>
      <c r="C420" s="1752" t="s">
        <v>2505</v>
      </c>
      <c r="D420" s="990" t="s">
        <v>2506</v>
      </c>
      <c r="E420" s="1013" t="s">
        <v>400</v>
      </c>
      <c r="F420" s="967"/>
    </row>
    <row r="421" spans="1:6">
      <c r="A421" s="1018"/>
      <c r="B421" s="990">
        <v>8</v>
      </c>
      <c r="C421" s="1752" t="s">
        <v>2507</v>
      </c>
      <c r="D421" s="990" t="s">
        <v>2508</v>
      </c>
      <c r="E421" s="1006" t="s">
        <v>177</v>
      </c>
      <c r="F421" s="967"/>
    </row>
    <row r="422" spans="1:6">
      <c r="A422" s="1018"/>
      <c r="B422" s="990">
        <v>3</v>
      </c>
      <c r="C422" s="1752" t="s">
        <v>2509</v>
      </c>
      <c r="D422" s="990" t="s">
        <v>2510</v>
      </c>
      <c r="E422" s="1006" t="s">
        <v>159</v>
      </c>
      <c r="F422" s="967"/>
    </row>
    <row r="423" spans="1:6">
      <c r="A423" s="1018"/>
      <c r="B423" s="990">
        <v>4</v>
      </c>
      <c r="C423" s="1752" t="s">
        <v>2511</v>
      </c>
      <c r="D423" s="990" t="s">
        <v>2512</v>
      </c>
      <c r="E423" s="1006" t="s">
        <v>159</v>
      </c>
      <c r="F423" s="967"/>
    </row>
    <row r="424" spans="1:6">
      <c r="A424" s="1018"/>
      <c r="B424" s="990">
        <v>5</v>
      </c>
      <c r="C424" s="1752" t="s">
        <v>2513</v>
      </c>
      <c r="D424" s="990" t="s">
        <v>2514</v>
      </c>
      <c r="E424" s="1006" t="s">
        <v>159</v>
      </c>
      <c r="F424" s="967"/>
    </row>
    <row r="425" spans="1:6">
      <c r="A425" s="1018"/>
      <c r="B425" s="990">
        <v>6</v>
      </c>
      <c r="C425" s="1752" t="s">
        <v>2515</v>
      </c>
      <c r="D425" s="990" t="s">
        <v>2516</v>
      </c>
      <c r="E425" s="1006" t="s">
        <v>159</v>
      </c>
      <c r="F425" s="967"/>
    </row>
    <row r="426" spans="1:6">
      <c r="A426" s="1018"/>
      <c r="B426" s="990">
        <v>13</v>
      </c>
      <c r="C426" s="1752" t="s">
        <v>2517</v>
      </c>
      <c r="D426" s="990" t="s">
        <v>2518</v>
      </c>
      <c r="E426" s="1006" t="s">
        <v>177</v>
      </c>
      <c r="F426" s="967"/>
    </row>
    <row r="427" spans="1:6">
      <c r="A427" s="1018"/>
      <c r="B427" s="990">
        <v>15</v>
      </c>
      <c r="C427" s="1752" t="s">
        <v>2519</v>
      </c>
      <c r="D427" s="990" t="s">
        <v>2520</v>
      </c>
      <c r="E427" s="1006" t="s">
        <v>400</v>
      </c>
      <c r="F427" s="967"/>
    </row>
    <row r="428" spans="1:6" ht="25">
      <c r="A428" s="1018"/>
      <c r="B428" s="990">
        <v>13</v>
      </c>
      <c r="C428" s="1752" t="s">
        <v>2521</v>
      </c>
      <c r="D428" s="990" t="s">
        <v>2522</v>
      </c>
      <c r="E428" s="1006" t="s">
        <v>159</v>
      </c>
      <c r="F428" s="967"/>
    </row>
    <row r="429" spans="1:6">
      <c r="A429" s="1018"/>
      <c r="B429" s="990">
        <v>8</v>
      </c>
      <c r="C429" s="1752" t="s">
        <v>2523</v>
      </c>
      <c r="D429" s="990" t="s">
        <v>2524</v>
      </c>
      <c r="E429" s="1006" t="s">
        <v>164</v>
      </c>
      <c r="F429" s="967"/>
    </row>
    <row r="430" spans="1:6">
      <c r="A430" s="1018"/>
      <c r="B430" s="990">
        <v>7</v>
      </c>
      <c r="C430" s="1752" t="s">
        <v>2525</v>
      </c>
      <c r="D430" s="990" t="s">
        <v>2526</v>
      </c>
      <c r="E430" s="1006" t="s">
        <v>2383</v>
      </c>
      <c r="F430" s="967"/>
    </row>
    <row r="431" spans="1:6">
      <c r="A431" s="1005"/>
      <c r="B431" s="990">
        <v>7</v>
      </c>
      <c r="C431" s="1752" t="s">
        <v>2527</v>
      </c>
      <c r="D431" s="990">
        <v>424</v>
      </c>
      <c r="E431" s="1006" t="s">
        <v>2528</v>
      </c>
      <c r="F431" s="967"/>
    </row>
    <row r="432" spans="1:6" ht="25">
      <c r="A432" s="1018"/>
      <c r="B432" s="990">
        <v>8</v>
      </c>
      <c r="C432" s="1752" t="s">
        <v>2529</v>
      </c>
      <c r="D432" s="990" t="s">
        <v>2530</v>
      </c>
      <c r="E432" s="1006" t="s">
        <v>164</v>
      </c>
      <c r="F432" s="967"/>
    </row>
    <row r="433" spans="1:6">
      <c r="A433" s="1018"/>
      <c r="B433" s="990"/>
      <c r="C433" s="1752" t="s">
        <v>2531</v>
      </c>
      <c r="D433" s="990" t="s">
        <v>2532</v>
      </c>
      <c r="E433" s="1006" t="s">
        <v>164</v>
      </c>
      <c r="F433" s="967"/>
    </row>
    <row r="434" spans="1:6">
      <c r="A434" s="1005"/>
      <c r="B434" s="990">
        <v>3</v>
      </c>
      <c r="C434" s="1752" t="s">
        <v>2533</v>
      </c>
      <c r="D434" s="990" t="s">
        <v>2534</v>
      </c>
      <c r="E434" s="1006" t="s">
        <v>400</v>
      </c>
      <c r="F434" s="967"/>
    </row>
    <row r="435" spans="1:6">
      <c r="A435" s="1018"/>
      <c r="B435" s="990">
        <v>8</v>
      </c>
      <c r="C435" s="1752" t="s">
        <v>2535</v>
      </c>
      <c r="D435" s="990" t="s">
        <v>2536</v>
      </c>
      <c r="E435" s="1006" t="s">
        <v>164</v>
      </c>
      <c r="F435" s="967"/>
    </row>
    <row r="436" spans="1:6">
      <c r="A436" s="1018"/>
      <c r="B436" s="990">
        <v>13</v>
      </c>
      <c r="C436" s="1752" t="s">
        <v>2537</v>
      </c>
      <c r="D436" s="990" t="s">
        <v>2538</v>
      </c>
      <c r="E436" s="1006" t="s">
        <v>159</v>
      </c>
      <c r="F436" s="967"/>
    </row>
    <row r="437" spans="1:6">
      <c r="A437" s="1018"/>
      <c r="B437" s="990">
        <v>13</v>
      </c>
      <c r="C437" s="1752" t="s">
        <v>2539</v>
      </c>
      <c r="D437" s="990" t="s">
        <v>2540</v>
      </c>
      <c r="E437" s="1006" t="s">
        <v>177</v>
      </c>
      <c r="F437" s="967"/>
    </row>
    <row r="438" spans="1:6">
      <c r="A438" s="1018"/>
      <c r="B438" s="990">
        <v>4</v>
      </c>
      <c r="C438" s="1752" t="s">
        <v>2541</v>
      </c>
      <c r="D438" s="990" t="s">
        <v>2542</v>
      </c>
      <c r="E438" s="1006" t="s">
        <v>192</v>
      </c>
      <c r="F438" s="967"/>
    </row>
    <row r="439" spans="1:6">
      <c r="A439" s="1005"/>
      <c r="B439" s="990">
        <v>3</v>
      </c>
      <c r="C439" s="1019" t="s">
        <v>2543</v>
      </c>
      <c r="D439" s="990" t="s">
        <v>2544</v>
      </c>
      <c r="E439" s="1006" t="s">
        <v>177</v>
      </c>
      <c r="F439" s="967"/>
    </row>
    <row r="440" spans="1:6">
      <c r="A440" s="1018"/>
      <c r="B440" s="990">
        <v>9</v>
      </c>
      <c r="C440" s="1752" t="s">
        <v>2545</v>
      </c>
      <c r="D440" s="990" t="s">
        <v>2546</v>
      </c>
      <c r="E440" s="1006" t="s">
        <v>159</v>
      </c>
      <c r="F440" s="967"/>
    </row>
    <row r="441" spans="1:6">
      <c r="A441" s="1018"/>
      <c r="B441" s="990">
        <v>11</v>
      </c>
      <c r="C441" s="1752" t="s">
        <v>2547</v>
      </c>
      <c r="D441" s="990" t="s">
        <v>2548</v>
      </c>
      <c r="E441" s="1006" t="s">
        <v>159</v>
      </c>
      <c r="F441" s="967"/>
    </row>
    <row r="442" spans="1:6" ht="25">
      <c r="A442" s="1018"/>
      <c r="B442" s="990">
        <v>15</v>
      </c>
      <c r="C442" s="1752" t="s">
        <v>2549</v>
      </c>
      <c r="D442" s="990" t="s">
        <v>2550</v>
      </c>
      <c r="E442" s="1021" t="s">
        <v>192</v>
      </c>
      <c r="F442" s="967"/>
    </row>
    <row r="443" spans="1:6">
      <c r="A443" s="1018"/>
      <c r="B443" s="990">
        <v>16</v>
      </c>
      <c r="C443" s="1752" t="s">
        <v>2551</v>
      </c>
      <c r="D443" s="990"/>
      <c r="E443" s="1006"/>
      <c r="F443" s="967"/>
    </row>
    <row r="444" spans="1:6">
      <c r="A444" s="1005"/>
      <c r="B444" s="990">
        <v>3</v>
      </c>
      <c r="C444" s="1752" t="s">
        <v>2552</v>
      </c>
      <c r="D444" s="990" t="s">
        <v>2553</v>
      </c>
      <c r="E444" s="1006" t="s">
        <v>159</v>
      </c>
      <c r="F444" s="967"/>
    </row>
    <row r="445" spans="1:6">
      <c r="A445" s="1018"/>
      <c r="B445" s="990">
        <v>11</v>
      </c>
      <c r="C445" s="1752" t="s">
        <v>2554</v>
      </c>
      <c r="D445" s="990" t="s">
        <v>2555</v>
      </c>
      <c r="E445" s="1006" t="s">
        <v>2019</v>
      </c>
      <c r="F445" s="967"/>
    </row>
    <row r="446" spans="1:6">
      <c r="A446" s="1005"/>
      <c r="B446" s="990">
        <v>4</v>
      </c>
      <c r="C446" s="1752" t="s">
        <v>2556</v>
      </c>
      <c r="D446" s="990" t="s">
        <v>2557</v>
      </c>
      <c r="E446" s="1006" t="s">
        <v>159</v>
      </c>
      <c r="F446" s="967"/>
    </row>
    <row r="447" spans="1:6">
      <c r="A447" s="1018"/>
      <c r="B447" s="990">
        <v>16</v>
      </c>
      <c r="C447" s="1752" t="s">
        <v>2558</v>
      </c>
      <c r="D447" s="990" t="s">
        <v>2559</v>
      </c>
      <c r="E447" s="1006" t="s">
        <v>192</v>
      </c>
      <c r="F447" s="967"/>
    </row>
    <row r="448" spans="1:6">
      <c r="A448" s="1018"/>
      <c r="B448" s="990">
        <v>15</v>
      </c>
      <c r="C448" s="1752" t="s">
        <v>2560</v>
      </c>
      <c r="D448" s="990" t="s">
        <v>2561</v>
      </c>
      <c r="E448" s="1006" t="s">
        <v>192</v>
      </c>
      <c r="F448" s="967"/>
    </row>
    <row r="449" spans="1:6">
      <c r="A449" s="1015"/>
      <c r="B449" s="990">
        <v>7</v>
      </c>
      <c r="C449" s="1752" t="s">
        <v>2562</v>
      </c>
      <c r="D449" s="990" t="s">
        <v>2563</v>
      </c>
      <c r="E449" s="1022" t="s">
        <v>2564</v>
      </c>
      <c r="F449" s="968"/>
    </row>
    <row r="450" spans="1:6">
      <c r="A450" s="1018"/>
      <c r="B450" s="990">
        <v>16</v>
      </c>
      <c r="C450" s="1752" t="s">
        <v>2565</v>
      </c>
      <c r="D450" s="990" t="s">
        <v>2566</v>
      </c>
      <c r="E450" s="1006" t="s">
        <v>164</v>
      </c>
      <c r="F450" s="967"/>
    </row>
    <row r="451" spans="1:6" ht="25">
      <c r="A451" s="1005"/>
      <c r="B451" s="990">
        <v>7</v>
      </c>
      <c r="C451" s="1019" t="s">
        <v>2567</v>
      </c>
      <c r="D451" s="990" t="s">
        <v>2568</v>
      </c>
      <c r="E451" s="1006" t="s">
        <v>164</v>
      </c>
      <c r="F451" s="967"/>
    </row>
    <row r="452" spans="1:6">
      <c r="A452" s="1018"/>
      <c r="B452" s="990">
        <v>21</v>
      </c>
      <c r="C452" s="1752" t="s">
        <v>2569</v>
      </c>
      <c r="D452" s="990" t="s">
        <v>2570</v>
      </c>
      <c r="E452" s="1006" t="s">
        <v>164</v>
      </c>
      <c r="F452" s="967"/>
    </row>
    <row r="453" spans="1:6">
      <c r="A453" s="1015"/>
      <c r="B453" s="990">
        <v>2</v>
      </c>
      <c r="C453" s="1019" t="s">
        <v>2571</v>
      </c>
      <c r="D453" s="990" t="s">
        <v>2572</v>
      </c>
      <c r="E453" s="1006" t="s">
        <v>332</v>
      </c>
      <c r="F453" s="968"/>
    </row>
    <row r="454" spans="1:6">
      <c r="A454" s="1018"/>
      <c r="B454" s="990">
        <v>9</v>
      </c>
      <c r="C454" s="1752" t="s">
        <v>2573</v>
      </c>
      <c r="D454" s="990" t="s">
        <v>2574</v>
      </c>
      <c r="E454" s="1006" t="s">
        <v>159</v>
      </c>
      <c r="F454" s="967"/>
    </row>
    <row r="455" spans="1:6">
      <c r="A455" s="1018"/>
      <c r="B455" s="990">
        <v>11</v>
      </c>
      <c r="C455" s="1752" t="s">
        <v>2575</v>
      </c>
      <c r="D455" s="990" t="s">
        <v>2576</v>
      </c>
      <c r="E455" s="1006" t="s">
        <v>159</v>
      </c>
      <c r="F455" s="967"/>
    </row>
    <row r="456" spans="1:6">
      <c r="A456" s="1018"/>
      <c r="B456" s="990">
        <v>13</v>
      </c>
      <c r="C456" s="1752" t="s">
        <v>2577</v>
      </c>
      <c r="D456" s="990" t="s">
        <v>2578</v>
      </c>
      <c r="E456" s="1006" t="s">
        <v>159</v>
      </c>
      <c r="F456" s="967"/>
    </row>
    <row r="457" spans="1:6">
      <c r="A457" s="1018"/>
      <c r="B457" s="990">
        <v>12</v>
      </c>
      <c r="C457" s="1752" t="s">
        <v>2579</v>
      </c>
      <c r="D457" s="990" t="s">
        <v>2580</v>
      </c>
      <c r="E457" s="1006" t="s">
        <v>164</v>
      </c>
      <c r="F457" s="967"/>
    </row>
    <row r="458" spans="1:6">
      <c r="A458" s="1015"/>
      <c r="B458" s="990">
        <v>8</v>
      </c>
      <c r="C458" s="1019" t="s">
        <v>2581</v>
      </c>
      <c r="D458" s="990" t="s">
        <v>2582</v>
      </c>
      <c r="E458" s="1006" t="s">
        <v>512</v>
      </c>
      <c r="F458" s="968"/>
    </row>
    <row r="459" spans="1:6">
      <c r="A459" s="1005"/>
      <c r="B459" s="990">
        <v>5</v>
      </c>
      <c r="C459" s="1019" t="s">
        <v>2583</v>
      </c>
      <c r="D459" s="990" t="s">
        <v>2584</v>
      </c>
      <c r="E459" s="1006" t="s">
        <v>2585</v>
      </c>
      <c r="F459" s="967"/>
    </row>
    <row r="460" spans="1:6">
      <c r="A460" s="1005"/>
      <c r="B460" s="990">
        <v>4</v>
      </c>
      <c r="C460" s="1752" t="s">
        <v>2586</v>
      </c>
      <c r="D460" s="990" t="s">
        <v>2587</v>
      </c>
      <c r="E460" s="1006" t="s">
        <v>164</v>
      </c>
      <c r="F460" s="967"/>
    </row>
    <row r="461" spans="1:6" ht="25">
      <c r="A461" s="1018"/>
      <c r="B461" s="990">
        <v>12</v>
      </c>
      <c r="C461" s="1019" t="s">
        <v>2588</v>
      </c>
      <c r="D461" s="990" t="s">
        <v>2589</v>
      </c>
      <c r="E461" s="1006" t="s">
        <v>164</v>
      </c>
      <c r="F461" s="967"/>
    </row>
    <row r="462" spans="1:6">
      <c r="A462" s="1018"/>
      <c r="B462" s="990">
        <v>11</v>
      </c>
      <c r="C462" s="1752" t="s">
        <v>2590</v>
      </c>
      <c r="D462" s="990" t="s">
        <v>2591</v>
      </c>
      <c r="E462" s="1006" t="s">
        <v>512</v>
      </c>
      <c r="F462" s="967"/>
    </row>
    <row r="463" spans="1:6">
      <c r="A463" s="1018"/>
      <c r="B463" s="990">
        <v>11</v>
      </c>
      <c r="C463" s="1752" t="s">
        <v>2592</v>
      </c>
      <c r="D463" s="990" t="s">
        <v>2593</v>
      </c>
      <c r="E463" s="1006" t="s">
        <v>596</v>
      </c>
      <c r="F463" s="967"/>
    </row>
    <row r="464" spans="1:6">
      <c r="A464" s="1018"/>
      <c r="B464" s="990">
        <v>17</v>
      </c>
      <c r="C464" s="1752" t="s">
        <v>2594</v>
      </c>
      <c r="D464" s="990" t="s">
        <v>2595</v>
      </c>
      <c r="E464" s="1006" t="s">
        <v>159</v>
      </c>
      <c r="F464" s="967"/>
    </row>
    <row r="465" spans="1:6">
      <c r="A465" s="1018"/>
      <c r="B465" s="990">
        <v>19</v>
      </c>
      <c r="C465" s="1753" t="s">
        <v>2596</v>
      </c>
      <c r="D465" s="990" t="s">
        <v>2597</v>
      </c>
      <c r="E465" s="1006" t="s">
        <v>159</v>
      </c>
      <c r="F465" s="967"/>
    </row>
    <row r="466" spans="1:6">
      <c r="A466" s="1018"/>
      <c r="B466" s="990">
        <v>20</v>
      </c>
      <c r="C466" s="1753" t="s">
        <v>2598</v>
      </c>
      <c r="D466" s="990" t="s">
        <v>2599</v>
      </c>
      <c r="E466" s="1006" t="s">
        <v>159</v>
      </c>
      <c r="F466" s="967"/>
    </row>
    <row r="467" spans="1:6">
      <c r="A467" s="1018"/>
      <c r="B467" s="990">
        <v>21</v>
      </c>
      <c r="C467" s="1753" t="s">
        <v>2600</v>
      </c>
      <c r="D467" s="990" t="s">
        <v>2601</v>
      </c>
      <c r="E467" s="1006" t="s">
        <v>159</v>
      </c>
      <c r="F467" s="967"/>
    </row>
    <row r="468" spans="1:6">
      <c r="A468" s="1005"/>
      <c r="B468" s="990">
        <v>2</v>
      </c>
      <c r="C468" s="1752" t="s">
        <v>2602</v>
      </c>
      <c r="D468" s="990" t="s">
        <v>2603</v>
      </c>
      <c r="E468" s="1006" t="s">
        <v>159</v>
      </c>
      <c r="F468" s="967"/>
    </row>
    <row r="469" spans="1:6">
      <c r="A469" s="1018"/>
      <c r="B469" s="990">
        <v>13</v>
      </c>
      <c r="C469" s="1752" t="s">
        <v>2604</v>
      </c>
      <c r="D469" s="1739" t="s">
        <v>2605</v>
      </c>
      <c r="E469" s="1006" t="s">
        <v>159</v>
      </c>
      <c r="F469" s="967"/>
    </row>
    <row r="470" spans="1:6">
      <c r="A470" s="1005"/>
      <c r="B470" s="990">
        <v>9</v>
      </c>
      <c r="C470" s="1019" t="s">
        <v>2606</v>
      </c>
      <c r="D470" s="990" t="s">
        <v>2607</v>
      </c>
      <c r="E470" s="1006" t="s">
        <v>332</v>
      </c>
      <c r="F470" s="967"/>
    </row>
    <row r="471" spans="1:6">
      <c r="A471" s="1018"/>
      <c r="B471" s="990">
        <v>15</v>
      </c>
      <c r="C471" s="1752" t="s">
        <v>2608</v>
      </c>
      <c r="D471" s="1739" t="s">
        <v>2609</v>
      </c>
      <c r="E471" s="1006" t="s">
        <v>164</v>
      </c>
      <c r="F471" s="967"/>
    </row>
    <row r="472" spans="1:6">
      <c r="A472" s="1005"/>
      <c r="B472" s="990">
        <v>4</v>
      </c>
      <c r="C472" s="1024" t="s">
        <v>2610</v>
      </c>
      <c r="D472" s="990" t="s">
        <v>2611</v>
      </c>
      <c r="E472" s="1006" t="s">
        <v>159</v>
      </c>
      <c r="F472" s="967"/>
    </row>
    <row r="473" spans="1:6">
      <c r="A473" s="1005"/>
      <c r="B473" s="990">
        <v>1</v>
      </c>
      <c r="C473" s="1754" t="s">
        <v>2612</v>
      </c>
      <c r="D473" s="990" t="s">
        <v>2613</v>
      </c>
      <c r="E473" s="1006" t="s">
        <v>164</v>
      </c>
      <c r="F473" s="967"/>
    </row>
    <row r="474" spans="1:6">
      <c r="A474" s="1018"/>
      <c r="B474" s="990">
        <v>17</v>
      </c>
      <c r="C474" s="1755" t="s">
        <v>2614</v>
      </c>
      <c r="D474" s="1739" t="s">
        <v>2368</v>
      </c>
      <c r="E474" s="1006" t="s">
        <v>164</v>
      </c>
      <c r="F474" s="967"/>
    </row>
    <row r="475" spans="1:6">
      <c r="A475" s="1018"/>
      <c r="B475" s="990">
        <v>18</v>
      </c>
      <c r="C475" s="1755" t="s">
        <v>2615</v>
      </c>
      <c r="D475" s="1739" t="s">
        <v>2370</v>
      </c>
      <c r="E475" s="1006" t="s">
        <v>164</v>
      </c>
      <c r="F475" s="967"/>
    </row>
    <row r="476" spans="1:6">
      <c r="A476" s="1018"/>
      <c r="B476" s="990">
        <v>22</v>
      </c>
      <c r="C476" s="1019" t="s">
        <v>2616</v>
      </c>
      <c r="D476" s="990" t="s">
        <v>2617</v>
      </c>
      <c r="E476" s="1006"/>
      <c r="F476" s="967"/>
    </row>
    <row r="477" spans="1:6">
      <c r="A477" s="1005"/>
      <c r="B477" s="990">
        <v>1</v>
      </c>
      <c r="C477" s="1025" t="s">
        <v>2618</v>
      </c>
      <c r="D477" s="990" t="s">
        <v>2619</v>
      </c>
      <c r="E477" s="1006" t="s">
        <v>332</v>
      </c>
      <c r="F477" s="967"/>
    </row>
    <row r="478" spans="1:6">
      <c r="A478" s="1005"/>
      <c r="B478" s="990">
        <v>16</v>
      </c>
      <c r="C478" s="1752" t="s">
        <v>2620</v>
      </c>
      <c r="D478" s="990" t="s">
        <v>2621</v>
      </c>
      <c r="E478" s="1021" t="s">
        <v>164</v>
      </c>
      <c r="F478" s="967"/>
    </row>
    <row r="479" spans="1:6">
      <c r="A479" s="1018"/>
      <c r="B479" s="990">
        <v>22</v>
      </c>
      <c r="C479" s="1019" t="s">
        <v>2622</v>
      </c>
      <c r="D479" s="990" t="s">
        <v>2623</v>
      </c>
      <c r="E479" s="1006" t="s">
        <v>192</v>
      </c>
      <c r="F479" s="967"/>
    </row>
    <row r="480" spans="1:6">
      <c r="A480" s="1018"/>
      <c r="B480" s="990">
        <v>25</v>
      </c>
      <c r="C480" s="1019" t="s">
        <v>2624</v>
      </c>
      <c r="D480" s="990" t="s">
        <v>2625</v>
      </c>
      <c r="E480" s="1006" t="s">
        <v>383</v>
      </c>
      <c r="F480" s="967"/>
    </row>
    <row r="481" spans="1:6">
      <c r="A481" s="1005"/>
      <c r="B481" s="990">
        <v>7</v>
      </c>
      <c r="C481" s="1024" t="s">
        <v>2626</v>
      </c>
      <c r="D481" s="990" t="s">
        <v>2627</v>
      </c>
      <c r="E481" s="1006" t="s">
        <v>159</v>
      </c>
      <c r="F481" s="967"/>
    </row>
    <row r="482" spans="1:6">
      <c r="A482" s="1018"/>
      <c r="B482" s="990">
        <v>8</v>
      </c>
      <c r="C482" s="1752" t="s">
        <v>2628</v>
      </c>
      <c r="D482" s="1739" t="s">
        <v>2629</v>
      </c>
      <c r="E482" s="1006" t="s">
        <v>164</v>
      </c>
      <c r="F482" s="967"/>
    </row>
    <row r="483" spans="1:6">
      <c r="A483" s="1005"/>
      <c r="B483" s="990">
        <v>3</v>
      </c>
      <c r="C483" s="1024" t="s">
        <v>2630</v>
      </c>
      <c r="D483" s="990" t="s">
        <v>2631</v>
      </c>
      <c r="E483" s="1021" t="s">
        <v>164</v>
      </c>
      <c r="F483" s="967"/>
    </row>
    <row r="484" spans="1:6">
      <c r="A484" s="1018"/>
      <c r="B484" s="990">
        <v>19</v>
      </c>
      <c r="C484" s="1024" t="s">
        <v>2632</v>
      </c>
      <c r="D484" s="990" t="s">
        <v>2633</v>
      </c>
      <c r="E484" s="1006" t="s">
        <v>164</v>
      </c>
      <c r="F484" s="967"/>
    </row>
    <row r="485" spans="1:6">
      <c r="A485" s="1018"/>
      <c r="B485" s="990">
        <v>17</v>
      </c>
      <c r="C485" s="1024" t="s">
        <v>2634</v>
      </c>
      <c r="D485" s="990" t="s">
        <v>2635</v>
      </c>
      <c r="E485" s="1021" t="s">
        <v>2564</v>
      </c>
      <c r="F485" s="967"/>
    </row>
    <row r="486" spans="1:6" ht="25">
      <c r="A486" s="1018"/>
      <c r="B486" s="990">
        <v>17</v>
      </c>
      <c r="C486" s="1024" t="s">
        <v>2636</v>
      </c>
      <c r="D486" s="990" t="s">
        <v>2637</v>
      </c>
      <c r="E486" s="1021" t="s">
        <v>164</v>
      </c>
      <c r="F486" s="967"/>
    </row>
    <row r="487" spans="1:6">
      <c r="A487" s="1018"/>
      <c r="B487" s="990">
        <v>11</v>
      </c>
      <c r="C487" s="1752" t="s">
        <v>2638</v>
      </c>
      <c r="D487" s="1739" t="s">
        <v>2639</v>
      </c>
      <c r="E487" s="1006" t="s">
        <v>159</v>
      </c>
      <c r="F487" s="967"/>
    </row>
    <row r="488" spans="1:6">
      <c r="A488" s="1018"/>
      <c r="B488" s="990">
        <v>9</v>
      </c>
      <c r="C488" s="1752" t="s">
        <v>2640</v>
      </c>
      <c r="D488" s="1756" t="s">
        <v>2641</v>
      </c>
      <c r="E488" s="1013" t="s">
        <v>159</v>
      </c>
      <c r="F488" s="967"/>
    </row>
    <row r="489" spans="1:6">
      <c r="A489" s="1018"/>
      <c r="B489" s="990">
        <v>8</v>
      </c>
      <c r="C489" s="1752" t="s">
        <v>2642</v>
      </c>
      <c r="D489" s="1756" t="s">
        <v>2643</v>
      </c>
      <c r="E489" s="1013" t="s">
        <v>159</v>
      </c>
      <c r="F489" s="967"/>
    </row>
    <row r="490" spans="1:6">
      <c r="A490" s="1018"/>
      <c r="B490" s="990">
        <v>12</v>
      </c>
      <c r="C490" s="1752" t="s">
        <v>2644</v>
      </c>
      <c r="D490" s="1756" t="s">
        <v>2645</v>
      </c>
      <c r="E490" s="1013" t="s">
        <v>2646</v>
      </c>
      <c r="F490" s="967"/>
    </row>
    <row r="491" spans="1:6">
      <c r="A491" s="1005"/>
      <c r="B491" s="990">
        <v>2</v>
      </c>
      <c r="C491" s="1752" t="s">
        <v>2647</v>
      </c>
      <c r="D491" s="990" t="s">
        <v>2648</v>
      </c>
      <c r="E491" s="1013" t="s">
        <v>164</v>
      </c>
      <c r="F491" s="967"/>
    </row>
    <row r="492" spans="1:6">
      <c r="A492" s="1018"/>
      <c r="B492" s="990">
        <v>6</v>
      </c>
      <c r="C492" s="1757" t="s">
        <v>2649</v>
      </c>
      <c r="D492" s="1756" t="s">
        <v>2650</v>
      </c>
      <c r="E492" s="1013" t="s">
        <v>332</v>
      </c>
      <c r="F492" s="967"/>
    </row>
    <row r="493" spans="1:6">
      <c r="A493" s="1018"/>
      <c r="B493" s="990">
        <v>18</v>
      </c>
      <c r="C493" s="995" t="s">
        <v>2651</v>
      </c>
      <c r="D493" s="980" t="s">
        <v>2652</v>
      </c>
      <c r="E493" s="1013" t="s">
        <v>2653</v>
      </c>
      <c r="F493" s="967"/>
    </row>
    <row r="494" spans="1:6">
      <c r="A494" s="1018"/>
      <c r="B494" s="990">
        <v>17</v>
      </c>
      <c r="C494" s="995" t="s">
        <v>2654</v>
      </c>
      <c r="D494" s="980" t="s">
        <v>2655</v>
      </c>
      <c r="E494" s="1013" t="s">
        <v>192</v>
      </c>
      <c r="F494" s="967"/>
    </row>
    <row r="495" spans="1:6">
      <c r="A495" s="1005"/>
      <c r="B495" s="990">
        <v>2</v>
      </c>
      <c r="C495" s="1019" t="s">
        <v>2656</v>
      </c>
      <c r="D495" s="990" t="s">
        <v>2657</v>
      </c>
      <c r="E495" s="1006" t="s">
        <v>2658</v>
      </c>
      <c r="F495" s="967"/>
    </row>
    <row r="496" spans="1:6">
      <c r="A496" s="1026"/>
      <c r="B496" s="1027">
        <v>4</v>
      </c>
      <c r="C496" s="1754" t="s">
        <v>2659</v>
      </c>
      <c r="D496" s="1027" t="s">
        <v>2660</v>
      </c>
      <c r="E496" s="1028" t="s">
        <v>164</v>
      </c>
      <c r="F496" s="1029"/>
    </row>
    <row r="497" spans="1:6">
      <c r="A497" s="1005"/>
      <c r="B497" s="1027">
        <v>7</v>
      </c>
      <c r="C497" s="1754" t="s">
        <v>2661</v>
      </c>
      <c r="D497" s="1027" t="s">
        <v>2662</v>
      </c>
      <c r="E497" s="1028" t="s">
        <v>164</v>
      </c>
      <c r="F497" s="967"/>
    </row>
    <row r="498" spans="1:6">
      <c r="A498" s="1030"/>
      <c r="B498" s="1027">
        <v>8</v>
      </c>
      <c r="C498" s="1758" t="s">
        <v>2663</v>
      </c>
      <c r="D498" s="1759" t="s">
        <v>2664</v>
      </c>
      <c r="E498" s="1028" t="s">
        <v>332</v>
      </c>
      <c r="F498" s="1029"/>
    </row>
    <row r="499" spans="1:6">
      <c r="A499" s="1018"/>
      <c r="B499" s="1027">
        <v>20</v>
      </c>
      <c r="C499" s="1752" t="s">
        <v>2665</v>
      </c>
      <c r="D499" s="1756" t="s">
        <v>2666</v>
      </c>
      <c r="E499" s="1013" t="s">
        <v>2667</v>
      </c>
      <c r="F499" s="967"/>
    </row>
    <row r="500" spans="1:6">
      <c r="A500" s="1018"/>
      <c r="B500" s="1027">
        <v>21</v>
      </c>
      <c r="C500" s="1753" t="s">
        <v>2668</v>
      </c>
      <c r="D500" s="1756" t="s">
        <v>2669</v>
      </c>
      <c r="E500" s="1013" t="s">
        <v>164</v>
      </c>
      <c r="F500" s="967"/>
    </row>
    <row r="501" spans="1:6">
      <c r="A501" s="1018"/>
      <c r="B501" s="1027">
        <v>23</v>
      </c>
      <c r="C501" s="1752" t="s">
        <v>2670</v>
      </c>
      <c r="D501" s="1756" t="s">
        <v>2582</v>
      </c>
      <c r="E501" s="1013" t="s">
        <v>512</v>
      </c>
      <c r="F501" s="967"/>
    </row>
    <row r="502" spans="1:6">
      <c r="A502" s="1018"/>
      <c r="B502" s="1027">
        <v>24</v>
      </c>
      <c r="C502" s="1760" t="s">
        <v>2671</v>
      </c>
      <c r="D502" s="980" t="s">
        <v>2672</v>
      </c>
      <c r="E502" s="1013" t="s">
        <v>164</v>
      </c>
      <c r="F502" s="967"/>
    </row>
    <row r="503" spans="1:6">
      <c r="A503" s="1018"/>
      <c r="B503" s="1027">
        <v>25</v>
      </c>
      <c r="C503" s="1752" t="s">
        <v>2673</v>
      </c>
      <c r="D503" s="980" t="s">
        <v>2674</v>
      </c>
      <c r="E503" s="1013" t="s">
        <v>164</v>
      </c>
      <c r="F503" s="967"/>
    </row>
    <row r="504" spans="1:6">
      <c r="A504" s="1018"/>
      <c r="B504" s="1027">
        <v>15</v>
      </c>
      <c r="C504" s="1753" t="s">
        <v>2675</v>
      </c>
      <c r="D504" s="1756" t="s">
        <v>2676</v>
      </c>
      <c r="E504" s="1013" t="s">
        <v>164</v>
      </c>
      <c r="F504" s="967"/>
    </row>
    <row r="505" spans="1:6">
      <c r="A505" s="1018"/>
      <c r="B505" s="1027">
        <v>16</v>
      </c>
      <c r="C505" s="1752" t="s">
        <v>2677</v>
      </c>
      <c r="D505" s="1756" t="s">
        <v>2678</v>
      </c>
      <c r="E505" s="1013" t="s">
        <v>159</v>
      </c>
      <c r="F505" s="967"/>
    </row>
    <row r="506" spans="1:6">
      <c r="A506" s="1005"/>
      <c r="B506" s="1027">
        <v>4</v>
      </c>
      <c r="C506" s="1752" t="s">
        <v>2679</v>
      </c>
      <c r="D506" s="990" t="s">
        <v>2680</v>
      </c>
      <c r="E506" s="1013" t="s">
        <v>164</v>
      </c>
      <c r="F506" s="967"/>
    </row>
    <row r="507" spans="1:6">
      <c r="A507" s="1005"/>
      <c r="B507" s="1027">
        <v>6</v>
      </c>
      <c r="C507" s="1752" t="s">
        <v>2681</v>
      </c>
      <c r="D507" s="990" t="s">
        <v>2682</v>
      </c>
      <c r="E507" s="1013" t="s">
        <v>164</v>
      </c>
      <c r="F507" s="967"/>
    </row>
    <row r="508" spans="1:6">
      <c r="A508" s="1018"/>
      <c r="B508" s="1027">
        <v>9</v>
      </c>
      <c r="C508" s="1753" t="s">
        <v>2683</v>
      </c>
      <c r="D508" s="1756" t="s">
        <v>2684</v>
      </c>
      <c r="E508" s="1013" t="s">
        <v>164</v>
      </c>
      <c r="F508" s="967"/>
    </row>
    <row r="509" spans="1:6">
      <c r="A509" s="1005"/>
      <c r="B509" s="1027">
        <v>7</v>
      </c>
      <c r="C509" s="1752" t="s">
        <v>2685</v>
      </c>
      <c r="D509" s="990" t="s">
        <v>2686</v>
      </c>
      <c r="E509" s="1013" t="s">
        <v>164</v>
      </c>
      <c r="F509" s="967"/>
    </row>
    <row r="510" spans="1:6">
      <c r="A510" s="1018"/>
      <c r="B510" s="1027">
        <v>1</v>
      </c>
      <c r="C510" s="1752" t="s">
        <v>2687</v>
      </c>
      <c r="D510" s="1756" t="s">
        <v>2688</v>
      </c>
      <c r="E510" s="1013" t="s">
        <v>370</v>
      </c>
      <c r="F510" s="967"/>
    </row>
    <row r="511" spans="1:6">
      <c r="A511" s="1018"/>
      <c r="B511" s="1027">
        <v>9</v>
      </c>
      <c r="C511" s="1752" t="s">
        <v>2689</v>
      </c>
      <c r="D511" s="1756" t="s">
        <v>2690</v>
      </c>
      <c r="E511" s="1013" t="s">
        <v>177</v>
      </c>
      <c r="F511" s="967"/>
    </row>
    <row r="512" spans="1:6">
      <c r="A512" s="1030"/>
      <c r="B512" s="1027">
        <v>12</v>
      </c>
      <c r="C512" s="1752" t="s">
        <v>2691</v>
      </c>
      <c r="D512" s="1756" t="s">
        <v>2692</v>
      </c>
      <c r="E512" s="1013" t="s">
        <v>596</v>
      </c>
      <c r="F512" s="967"/>
    </row>
    <row r="513" spans="1:6">
      <c r="A513" s="1030"/>
      <c r="B513" s="1027">
        <v>9</v>
      </c>
      <c r="C513" s="1752" t="s">
        <v>2693</v>
      </c>
      <c r="D513" s="1756" t="s">
        <v>2694</v>
      </c>
      <c r="E513" s="1013" t="s">
        <v>159</v>
      </c>
      <c r="F513" s="967"/>
    </row>
    <row r="514" spans="1:6">
      <c r="A514" s="1030"/>
      <c r="B514" s="1027">
        <v>21</v>
      </c>
      <c r="C514" s="1760" t="s">
        <v>2695</v>
      </c>
      <c r="D514" s="1756" t="s">
        <v>2696</v>
      </c>
      <c r="E514" s="1013" t="s">
        <v>159</v>
      </c>
      <c r="F514" s="967"/>
    </row>
    <row r="515" spans="1:6">
      <c r="A515" s="1030"/>
      <c r="B515" s="1027">
        <v>5</v>
      </c>
      <c r="C515" s="1760" t="s">
        <v>2697</v>
      </c>
      <c r="D515" s="1756" t="s">
        <v>2698</v>
      </c>
      <c r="E515" s="1013" t="s">
        <v>164</v>
      </c>
      <c r="F515" s="967"/>
    </row>
    <row r="516" spans="1:6">
      <c r="A516" s="1030"/>
      <c r="B516" s="1027">
        <v>7</v>
      </c>
      <c r="C516" s="1760" t="s">
        <v>2699</v>
      </c>
      <c r="D516" s="1756" t="s">
        <v>2700</v>
      </c>
      <c r="E516" s="1013" t="s">
        <v>159</v>
      </c>
      <c r="F516" s="967"/>
    </row>
    <row r="517" spans="1:6">
      <c r="A517" s="1030"/>
      <c r="B517" s="1027">
        <v>8</v>
      </c>
      <c r="C517" s="1757" t="s">
        <v>2701</v>
      </c>
      <c r="D517" s="1756" t="s">
        <v>2702</v>
      </c>
      <c r="E517" s="1013" t="s">
        <v>332</v>
      </c>
      <c r="F517" s="967"/>
    </row>
    <row r="518" spans="1:6">
      <c r="A518" s="1030"/>
      <c r="B518" s="1027">
        <v>10</v>
      </c>
      <c r="C518" s="1757" t="s">
        <v>2703</v>
      </c>
      <c r="D518" s="1756" t="s">
        <v>2704</v>
      </c>
      <c r="E518" s="1013" t="s">
        <v>332</v>
      </c>
      <c r="F518" s="967"/>
    </row>
    <row r="519" spans="1:6">
      <c r="A519" s="1030"/>
      <c r="B519" s="1027">
        <v>13</v>
      </c>
      <c r="C519" s="1757" t="s">
        <v>2705</v>
      </c>
      <c r="D519" s="1756" t="s">
        <v>2706</v>
      </c>
      <c r="E519" s="1013" t="s">
        <v>332</v>
      </c>
      <c r="F519" s="967"/>
    </row>
    <row r="520" spans="1:6">
      <c r="A520" s="1030"/>
      <c r="B520" s="1027">
        <v>14</v>
      </c>
      <c r="C520" s="1757" t="s">
        <v>2707</v>
      </c>
      <c r="D520" s="1756" t="s">
        <v>2708</v>
      </c>
      <c r="E520" s="1013" t="s">
        <v>332</v>
      </c>
      <c r="F520" s="967"/>
    </row>
    <row r="521" spans="1:6">
      <c r="A521" s="1030"/>
      <c r="B521" s="1027">
        <v>6</v>
      </c>
      <c r="C521" s="1757" t="s">
        <v>2709</v>
      </c>
      <c r="D521" s="1756" t="s">
        <v>2710</v>
      </c>
      <c r="E521" s="1013" t="s">
        <v>332</v>
      </c>
      <c r="F521" s="967"/>
    </row>
    <row r="522" spans="1:6">
      <c r="A522" s="1030"/>
      <c r="B522" s="1027">
        <v>18</v>
      </c>
      <c r="C522" s="1757" t="s">
        <v>2711</v>
      </c>
      <c r="D522" s="1756" t="s">
        <v>2712</v>
      </c>
      <c r="E522" s="1013" t="s">
        <v>332</v>
      </c>
      <c r="F522" s="967"/>
    </row>
    <row r="523" spans="1:6">
      <c r="A523" s="1030"/>
      <c r="B523" s="1027">
        <v>9</v>
      </c>
      <c r="C523" s="1752" t="s">
        <v>2713</v>
      </c>
      <c r="D523" s="1756" t="s">
        <v>2714</v>
      </c>
      <c r="E523" s="1013" t="s">
        <v>2715</v>
      </c>
      <c r="F523" s="967"/>
    </row>
    <row r="524" spans="1:6">
      <c r="A524" s="1030"/>
      <c r="B524" s="1027">
        <v>23</v>
      </c>
      <c r="C524" s="1753" t="s">
        <v>2716</v>
      </c>
      <c r="D524" s="1756" t="s">
        <v>2717</v>
      </c>
      <c r="E524" s="1013" t="s">
        <v>164</v>
      </c>
      <c r="F524" s="967"/>
    </row>
    <row r="525" spans="1:6">
      <c r="A525" s="1030"/>
      <c r="B525" s="1027">
        <v>31</v>
      </c>
      <c r="C525" s="1752" t="s">
        <v>2718</v>
      </c>
      <c r="D525" s="1756" t="s">
        <v>2719</v>
      </c>
      <c r="E525" s="1013" t="s">
        <v>2720</v>
      </c>
      <c r="F525" s="967"/>
    </row>
    <row r="526" spans="1:6">
      <c r="A526" s="1030"/>
      <c r="B526" s="1027">
        <v>39</v>
      </c>
      <c r="C526" s="1752" t="s">
        <v>2721</v>
      </c>
      <c r="D526" s="1756" t="s">
        <v>2722</v>
      </c>
      <c r="E526" s="1013" t="s">
        <v>512</v>
      </c>
      <c r="F526" s="967"/>
    </row>
    <row r="527" spans="1:6">
      <c r="A527" s="1030"/>
      <c r="B527" s="1027">
        <v>22</v>
      </c>
      <c r="C527" s="1752" t="s">
        <v>2723</v>
      </c>
      <c r="D527" s="1756" t="s">
        <v>2724</v>
      </c>
      <c r="E527" s="1013" t="s">
        <v>192</v>
      </c>
      <c r="F527" s="967"/>
    </row>
    <row r="528" spans="1:6">
      <c r="A528" s="1030"/>
      <c r="B528" s="1031">
        <v>1</v>
      </c>
      <c r="C528" s="1753" t="s">
        <v>2725</v>
      </c>
      <c r="D528" s="1756" t="s">
        <v>2726</v>
      </c>
      <c r="E528" s="1013" t="s">
        <v>164</v>
      </c>
      <c r="F528" s="967"/>
    </row>
    <row r="529" spans="1:6">
      <c r="A529" s="1030"/>
      <c r="B529" s="1027"/>
      <c r="C529" s="1752" t="s">
        <v>2727</v>
      </c>
      <c r="D529" s="1756" t="s">
        <v>2728</v>
      </c>
      <c r="E529" s="1013" t="s">
        <v>164</v>
      </c>
      <c r="F529" s="967"/>
    </row>
    <row r="530" spans="1:6">
      <c r="A530" s="1030"/>
      <c r="B530" s="1027"/>
      <c r="C530" s="1752" t="s">
        <v>2729</v>
      </c>
      <c r="D530" s="1756" t="s">
        <v>2730</v>
      </c>
      <c r="E530" s="1013" t="s">
        <v>164</v>
      </c>
      <c r="F530" s="967"/>
    </row>
    <row r="531" spans="1:6">
      <c r="A531" s="1030"/>
      <c r="B531" s="1027">
        <v>41</v>
      </c>
      <c r="C531" s="1752" t="s">
        <v>2731</v>
      </c>
      <c r="D531" s="1756" t="s">
        <v>2732</v>
      </c>
      <c r="E531" s="1013" t="s">
        <v>192</v>
      </c>
      <c r="F531" s="967"/>
    </row>
    <row r="532" spans="1:6">
      <c r="A532" s="1030"/>
      <c r="B532" s="1027">
        <v>4</v>
      </c>
      <c r="C532" s="1753" t="s">
        <v>2733</v>
      </c>
      <c r="D532" s="1756" t="s">
        <v>2734</v>
      </c>
      <c r="E532" s="1013" t="s">
        <v>164</v>
      </c>
      <c r="F532" s="967"/>
    </row>
    <row r="533" spans="1:6">
      <c r="A533" s="1030"/>
      <c r="B533" s="1027">
        <v>8</v>
      </c>
      <c r="C533" s="1752" t="s">
        <v>2735</v>
      </c>
      <c r="D533" s="1756" t="s">
        <v>2736</v>
      </c>
      <c r="E533" s="1013" t="s">
        <v>159</v>
      </c>
      <c r="F533" s="967"/>
    </row>
    <row r="534" spans="1:6">
      <c r="A534" s="1030"/>
      <c r="B534" s="1027">
        <v>12</v>
      </c>
      <c r="C534" s="1753" t="s">
        <v>2737</v>
      </c>
      <c r="D534" s="1756" t="s">
        <v>2738</v>
      </c>
      <c r="E534" s="1013" t="s">
        <v>164</v>
      </c>
      <c r="F534" s="967"/>
    </row>
    <row r="535" spans="1:6">
      <c r="A535" s="1030"/>
      <c r="B535" s="1027">
        <v>21</v>
      </c>
      <c r="C535" s="1752" t="s">
        <v>2739</v>
      </c>
      <c r="D535" s="1756" t="s">
        <v>2740</v>
      </c>
      <c r="E535" s="1013" t="s">
        <v>512</v>
      </c>
      <c r="F535" s="967"/>
    </row>
    <row r="536" spans="1:6">
      <c r="A536" s="1030"/>
      <c r="B536" s="1027">
        <v>2</v>
      </c>
      <c r="C536" s="1753" t="s">
        <v>2741</v>
      </c>
      <c r="D536" s="1756" t="s">
        <v>2742</v>
      </c>
      <c r="E536" s="1013" t="s">
        <v>164</v>
      </c>
      <c r="F536" s="967"/>
    </row>
    <row r="537" spans="1:6">
      <c r="A537" s="1030"/>
      <c r="B537" s="1027">
        <v>27</v>
      </c>
      <c r="C537" s="1753" t="s">
        <v>2743</v>
      </c>
      <c r="D537" s="1756" t="s">
        <v>2744</v>
      </c>
      <c r="E537" s="1013" t="s">
        <v>164</v>
      </c>
      <c r="F537" s="967"/>
    </row>
    <row r="538" spans="1:6">
      <c r="A538" s="1030"/>
      <c r="B538" s="1027">
        <v>13</v>
      </c>
      <c r="C538" s="1752" t="s">
        <v>2745</v>
      </c>
      <c r="D538" s="1756" t="s">
        <v>2746</v>
      </c>
      <c r="E538" s="1013" t="s">
        <v>498</v>
      </c>
      <c r="F538" s="967"/>
    </row>
    <row r="539" spans="1:6">
      <c r="A539" s="1030"/>
      <c r="B539" s="1027">
        <v>14</v>
      </c>
      <c r="C539" s="1752" t="s">
        <v>2747</v>
      </c>
      <c r="D539" s="1756" t="s">
        <v>2748</v>
      </c>
      <c r="E539" s="1013" t="s">
        <v>498</v>
      </c>
      <c r="F539" s="967"/>
    </row>
    <row r="540" spans="1:6">
      <c r="A540" s="1030"/>
      <c r="B540" s="1027">
        <v>26</v>
      </c>
      <c r="C540" s="1760" t="s">
        <v>2749</v>
      </c>
      <c r="D540" s="1756" t="s">
        <v>2750</v>
      </c>
      <c r="E540" s="1013" t="s">
        <v>596</v>
      </c>
      <c r="F540" s="967"/>
    </row>
    <row r="541" spans="1:6">
      <c r="A541" s="1030"/>
      <c r="B541" s="1027">
        <v>28</v>
      </c>
      <c r="C541" s="1752" t="s">
        <v>2751</v>
      </c>
      <c r="D541" s="1756" t="s">
        <v>2752</v>
      </c>
      <c r="E541" s="1013" t="s">
        <v>177</v>
      </c>
      <c r="F541" s="967"/>
    </row>
    <row r="542" spans="1:6">
      <c r="A542" s="1030"/>
      <c r="B542" s="1027">
        <v>32</v>
      </c>
      <c r="C542" s="1752" t="s">
        <v>2753</v>
      </c>
      <c r="D542" s="1756" t="s">
        <v>2754</v>
      </c>
      <c r="E542" s="1013" t="s">
        <v>498</v>
      </c>
      <c r="F542" s="967"/>
    </row>
    <row r="543" spans="1:6">
      <c r="A543" s="1030"/>
      <c r="B543" s="1027">
        <v>33</v>
      </c>
      <c r="C543" s="1752" t="s">
        <v>2755</v>
      </c>
      <c r="D543" s="1756" t="s">
        <v>2756</v>
      </c>
      <c r="E543" s="1013" t="s">
        <v>498</v>
      </c>
      <c r="F543" s="967"/>
    </row>
    <row r="544" spans="1:6">
      <c r="A544" s="1030"/>
      <c r="B544" s="1027">
        <v>13</v>
      </c>
      <c r="C544" s="1753" t="s">
        <v>2757</v>
      </c>
      <c r="D544" s="1756" t="s">
        <v>2758</v>
      </c>
      <c r="E544" s="1013" t="s">
        <v>164</v>
      </c>
      <c r="F544" s="967"/>
    </row>
    <row r="545" spans="1:6">
      <c r="A545" s="1030"/>
      <c r="B545" s="1027">
        <v>32</v>
      </c>
      <c r="C545" s="1752" t="s">
        <v>2759</v>
      </c>
      <c r="D545" s="1756" t="s">
        <v>2760</v>
      </c>
      <c r="E545" s="1013" t="s">
        <v>2761</v>
      </c>
      <c r="F545" s="967"/>
    </row>
    <row r="546" spans="1:6">
      <c r="A546" s="1030"/>
      <c r="B546" s="1027">
        <v>30</v>
      </c>
      <c r="C546" s="1752" t="s">
        <v>2762</v>
      </c>
      <c r="D546" s="1756" t="s">
        <v>2763</v>
      </c>
      <c r="E546" s="1013" t="s">
        <v>498</v>
      </c>
      <c r="F546" s="967"/>
    </row>
    <row r="547" spans="1:6">
      <c r="A547" s="1030"/>
      <c r="B547" s="1027">
        <v>5</v>
      </c>
      <c r="C547" s="1752" t="s">
        <v>2703</v>
      </c>
      <c r="D547" s="1756" t="s">
        <v>2764</v>
      </c>
      <c r="E547" s="1013" t="s">
        <v>332</v>
      </c>
      <c r="F547" s="967"/>
    </row>
    <row r="548" spans="1:6">
      <c r="A548" s="1030"/>
      <c r="B548" s="1027">
        <v>34</v>
      </c>
      <c r="C548" s="1752" t="s">
        <v>2765</v>
      </c>
      <c r="D548" s="1756" t="s">
        <v>2766</v>
      </c>
      <c r="E548" s="1013" t="s">
        <v>159</v>
      </c>
      <c r="F548" s="967"/>
    </row>
    <row r="549" spans="1:6">
      <c r="A549" s="1030"/>
      <c r="B549" s="1027">
        <v>27</v>
      </c>
      <c r="C549" s="1752" t="s">
        <v>2767</v>
      </c>
      <c r="D549" s="1756" t="s">
        <v>2768</v>
      </c>
      <c r="E549" s="1013" t="s">
        <v>159</v>
      </c>
      <c r="F549" s="967"/>
    </row>
    <row r="550" spans="1:6">
      <c r="A550" s="1030"/>
      <c r="B550" s="1027">
        <v>28</v>
      </c>
      <c r="C550" s="1752" t="s">
        <v>2769</v>
      </c>
      <c r="D550" s="1756" t="s">
        <v>2770</v>
      </c>
      <c r="E550" s="1013" t="s">
        <v>159</v>
      </c>
      <c r="F550" s="967"/>
    </row>
    <row r="551" spans="1:6">
      <c r="A551" s="1030"/>
      <c r="B551" s="1027">
        <v>29</v>
      </c>
      <c r="C551" s="1752" t="s">
        <v>2771</v>
      </c>
      <c r="D551" s="1756" t="s">
        <v>2772</v>
      </c>
      <c r="E551" s="1013" t="s">
        <v>2773</v>
      </c>
      <c r="F551" s="967"/>
    </row>
    <row r="552" spans="1:6">
      <c r="A552" s="1030"/>
      <c r="B552" s="1027">
        <v>16</v>
      </c>
      <c r="C552" s="1752" t="s">
        <v>2774</v>
      </c>
      <c r="D552" s="1756" t="s">
        <v>2775</v>
      </c>
      <c r="E552" s="1013" t="s">
        <v>498</v>
      </c>
      <c r="F552" s="967"/>
    </row>
    <row r="553" spans="1:6">
      <c r="A553" s="1030"/>
      <c r="B553" s="1027">
        <v>17</v>
      </c>
      <c r="C553" s="1752" t="s">
        <v>2776</v>
      </c>
      <c r="D553" s="1756" t="s">
        <v>2777</v>
      </c>
      <c r="E553" s="1013" t="s">
        <v>498</v>
      </c>
      <c r="F553" s="967"/>
    </row>
    <row r="554" spans="1:6">
      <c r="A554" s="1030"/>
      <c r="B554" s="1027">
        <v>1</v>
      </c>
      <c r="C554" s="1761" t="s">
        <v>2778</v>
      </c>
      <c r="D554" s="1756" t="s">
        <v>2779</v>
      </c>
      <c r="E554" s="1013" t="s">
        <v>164</v>
      </c>
      <c r="F554" s="967"/>
    </row>
    <row r="555" spans="1:6">
      <c r="A555" s="1030"/>
      <c r="B555" s="1027">
        <v>9</v>
      </c>
      <c r="C555" s="1752" t="s">
        <v>2780</v>
      </c>
      <c r="D555" s="1756" t="s">
        <v>2781</v>
      </c>
      <c r="E555" s="1013" t="s">
        <v>2118</v>
      </c>
      <c r="F555" s="967"/>
    </row>
    <row r="556" spans="1:6">
      <c r="A556" s="1030"/>
      <c r="B556" s="1027">
        <v>12</v>
      </c>
      <c r="C556" s="1752" t="s">
        <v>2782</v>
      </c>
      <c r="D556" s="1756" t="s">
        <v>2783</v>
      </c>
      <c r="E556" s="1013" t="s">
        <v>159</v>
      </c>
      <c r="F556" s="967"/>
    </row>
    <row r="557" spans="1:6">
      <c r="A557" s="1030"/>
      <c r="B557" s="1027">
        <v>16</v>
      </c>
      <c r="C557" s="1753" t="s">
        <v>2784</v>
      </c>
      <c r="D557" s="1756" t="s">
        <v>2785</v>
      </c>
      <c r="E557" s="1013" t="s">
        <v>164</v>
      </c>
      <c r="F557" s="967"/>
    </row>
    <row r="558" spans="1:6">
      <c r="A558" s="1030"/>
      <c r="B558" s="1027">
        <v>25</v>
      </c>
      <c r="C558" s="1752" t="s">
        <v>2786</v>
      </c>
      <c r="D558" s="1756" t="s">
        <v>2787</v>
      </c>
      <c r="E558" s="1013" t="s">
        <v>512</v>
      </c>
      <c r="F558" s="967"/>
    </row>
    <row r="559" spans="1:6">
      <c r="A559" s="1030"/>
      <c r="B559" s="1027">
        <v>27</v>
      </c>
      <c r="C559" s="1752" t="s">
        <v>2788</v>
      </c>
      <c r="D559" s="1756" t="s">
        <v>2789</v>
      </c>
      <c r="E559" s="1013" t="s">
        <v>159</v>
      </c>
      <c r="F559" s="967"/>
    </row>
    <row r="560" spans="1:6">
      <c r="A560" s="1030"/>
      <c r="B560" s="1027">
        <v>33</v>
      </c>
      <c r="C560" s="1752" t="s">
        <v>2790</v>
      </c>
      <c r="D560" s="1756" t="s">
        <v>2791</v>
      </c>
      <c r="E560" s="1013" t="s">
        <v>159</v>
      </c>
      <c r="F560" s="967"/>
    </row>
    <row r="561" spans="1:6">
      <c r="A561" s="1030"/>
      <c r="B561" s="1027">
        <v>30</v>
      </c>
      <c r="C561" s="1752" t="s">
        <v>2792</v>
      </c>
      <c r="D561" s="1756" t="s">
        <v>2793</v>
      </c>
      <c r="E561" s="1013" t="s">
        <v>159</v>
      </c>
      <c r="F561" s="967"/>
    </row>
    <row r="562" spans="1:6">
      <c r="A562" s="1030"/>
      <c r="B562" s="1027">
        <v>29</v>
      </c>
      <c r="C562" s="1752" t="s">
        <v>2794</v>
      </c>
      <c r="D562" s="1756" t="s">
        <v>2795</v>
      </c>
      <c r="E562" s="1013" t="s">
        <v>159</v>
      </c>
      <c r="F562" s="967"/>
    </row>
    <row r="563" spans="1:6">
      <c r="A563" s="1030"/>
      <c r="B563" s="1027">
        <v>31</v>
      </c>
      <c r="C563" s="1752" t="s">
        <v>2796</v>
      </c>
      <c r="D563" s="1756" t="s">
        <v>2797</v>
      </c>
      <c r="E563" s="1013" t="s">
        <v>159</v>
      </c>
      <c r="F563" s="967"/>
    </row>
    <row r="564" spans="1:6">
      <c r="A564" s="1030"/>
      <c r="B564" s="1027">
        <v>19</v>
      </c>
      <c r="C564" s="1752" t="s">
        <v>2798</v>
      </c>
      <c r="D564" s="1756" t="s">
        <v>2799</v>
      </c>
      <c r="E564" s="1013" t="s">
        <v>2800</v>
      </c>
      <c r="F564" s="967"/>
    </row>
    <row r="565" spans="1:6">
      <c r="A565" s="1030"/>
      <c r="B565" s="1027">
        <v>29</v>
      </c>
      <c r="C565" s="1752" t="s">
        <v>2801</v>
      </c>
      <c r="D565" s="1756" t="s">
        <v>2802</v>
      </c>
      <c r="E565" s="1013" t="s">
        <v>159</v>
      </c>
      <c r="F565" s="967"/>
    </row>
    <row r="566" spans="1:6">
      <c r="A566" s="1030"/>
      <c r="B566" s="1027">
        <v>26</v>
      </c>
      <c r="C566" s="1752" t="s">
        <v>2803</v>
      </c>
      <c r="D566" s="1756" t="s">
        <v>2804</v>
      </c>
      <c r="E566" s="1013" t="s">
        <v>332</v>
      </c>
      <c r="F566" s="967"/>
    </row>
    <row r="567" spans="1:6">
      <c r="A567" s="1030"/>
      <c r="B567" s="1027">
        <v>16</v>
      </c>
      <c r="C567" s="1753" t="s">
        <v>2805</v>
      </c>
      <c r="D567" s="1739" t="s">
        <v>2806</v>
      </c>
      <c r="E567" s="1013" t="s">
        <v>164</v>
      </c>
      <c r="F567" s="967"/>
    </row>
    <row r="568" spans="1:6">
      <c r="A568" s="1032"/>
      <c r="B568" s="1027">
        <v>21</v>
      </c>
      <c r="C568" s="1752" t="s">
        <v>2807</v>
      </c>
      <c r="D568" s="1739" t="s">
        <v>2808</v>
      </c>
      <c r="E568" s="1006" t="s">
        <v>498</v>
      </c>
      <c r="F568" s="968"/>
    </row>
    <row r="569" spans="1:6">
      <c r="A569" s="1032"/>
      <c r="B569" s="1027">
        <v>22</v>
      </c>
      <c r="C569" s="1752" t="s">
        <v>2809</v>
      </c>
      <c r="D569" s="1739" t="s">
        <v>2810</v>
      </c>
      <c r="E569" s="1006" t="s">
        <v>498</v>
      </c>
      <c r="F569" s="968"/>
    </row>
    <row r="570" spans="1:6">
      <c r="A570" s="1030"/>
      <c r="B570" s="1027">
        <v>14</v>
      </c>
      <c r="C570" s="1753" t="s">
        <v>2811</v>
      </c>
      <c r="D570" s="1756" t="s">
        <v>2812</v>
      </c>
      <c r="E570" s="1013" t="s">
        <v>164</v>
      </c>
      <c r="F570" s="967"/>
    </row>
    <row r="571" spans="1:6">
      <c r="A571" s="1030"/>
      <c r="B571" s="1027">
        <v>29</v>
      </c>
      <c r="C571" s="1752" t="s">
        <v>2813</v>
      </c>
      <c r="D571" s="1756" t="s">
        <v>2814</v>
      </c>
      <c r="E571" s="1013" t="s">
        <v>498</v>
      </c>
      <c r="F571" s="967"/>
    </row>
    <row r="572" spans="1:6">
      <c r="A572" s="1030"/>
      <c r="B572" s="1027">
        <v>32</v>
      </c>
      <c r="C572" s="1752" t="s">
        <v>2815</v>
      </c>
      <c r="D572" s="1756" t="s">
        <v>2816</v>
      </c>
      <c r="E572" s="1013" t="s">
        <v>159</v>
      </c>
      <c r="F572" s="967"/>
    </row>
    <row r="573" spans="1:6">
      <c r="A573" s="1030"/>
      <c r="B573" s="1027">
        <v>33</v>
      </c>
      <c r="C573" s="1752" t="s">
        <v>2817</v>
      </c>
      <c r="D573" s="1756" t="s">
        <v>2818</v>
      </c>
      <c r="E573" s="1013" t="s">
        <v>498</v>
      </c>
      <c r="F573" s="967"/>
    </row>
    <row r="574" spans="1:6">
      <c r="A574" s="1030"/>
      <c r="B574" s="1027">
        <v>34</v>
      </c>
      <c r="C574" s="1752" t="s">
        <v>2819</v>
      </c>
      <c r="D574" s="1756" t="s">
        <v>2820</v>
      </c>
      <c r="E574" s="1013" t="s">
        <v>498</v>
      </c>
      <c r="F574" s="967"/>
    </row>
    <row r="575" spans="1:6">
      <c r="A575" s="1030"/>
      <c r="B575" s="1027">
        <v>35</v>
      </c>
      <c r="C575" s="1752" t="s">
        <v>2821</v>
      </c>
      <c r="D575" s="1756" t="s">
        <v>2822</v>
      </c>
      <c r="E575" s="1013" t="s">
        <v>498</v>
      </c>
      <c r="F575" s="967"/>
    </row>
    <row r="576" spans="1:6">
      <c r="A576" s="1030"/>
      <c r="B576" s="1027">
        <v>12</v>
      </c>
      <c r="C576" s="1752" t="s">
        <v>2823</v>
      </c>
      <c r="D576" s="1756" t="s">
        <v>2824</v>
      </c>
      <c r="E576" s="1013" t="s">
        <v>332</v>
      </c>
      <c r="F576" s="967"/>
    </row>
    <row r="577" spans="1:6">
      <c r="A577" s="1030"/>
      <c r="B577" s="1027">
        <v>13</v>
      </c>
      <c r="C577" s="1752" t="s">
        <v>2825</v>
      </c>
      <c r="D577" s="1756" t="s">
        <v>2826</v>
      </c>
      <c r="E577" s="1013" t="s">
        <v>332</v>
      </c>
      <c r="F577" s="967"/>
    </row>
    <row r="578" spans="1:6">
      <c r="A578" s="1030"/>
      <c r="B578" s="1027">
        <v>14</v>
      </c>
      <c r="C578" s="1752" t="s">
        <v>2827</v>
      </c>
      <c r="D578" s="1756" t="s">
        <v>2828</v>
      </c>
      <c r="E578" s="1013" t="s">
        <v>332</v>
      </c>
      <c r="F578" s="967"/>
    </row>
    <row r="579" spans="1:6">
      <c r="A579" s="1030"/>
      <c r="B579" s="1027">
        <v>39</v>
      </c>
      <c r="C579" s="1752" t="s">
        <v>2829</v>
      </c>
      <c r="D579" s="1756" t="s">
        <v>2830</v>
      </c>
      <c r="E579" s="1013" t="s">
        <v>192</v>
      </c>
      <c r="F579" s="967"/>
    </row>
    <row r="580" spans="1:6">
      <c r="A580" s="1032"/>
      <c r="B580" s="1027">
        <v>27</v>
      </c>
      <c r="C580" s="1752" t="s">
        <v>2831</v>
      </c>
      <c r="D580" s="1739" t="s">
        <v>2832</v>
      </c>
      <c r="E580" s="1006" t="s">
        <v>512</v>
      </c>
      <c r="F580" s="968"/>
    </row>
    <row r="581" spans="1:6">
      <c r="A581" s="1030"/>
      <c r="B581" s="1027">
        <v>10</v>
      </c>
      <c r="C581" s="1752" t="s">
        <v>2833</v>
      </c>
      <c r="D581" s="1756" t="s">
        <v>2834</v>
      </c>
      <c r="E581" s="1013" t="s">
        <v>2118</v>
      </c>
      <c r="F581" s="967"/>
    </row>
    <row r="582" spans="1:6">
      <c r="A582" s="1030"/>
      <c r="B582" s="1027">
        <v>7</v>
      </c>
      <c r="C582" s="1752" t="s">
        <v>2835</v>
      </c>
      <c r="D582" s="1756" t="s">
        <v>2836</v>
      </c>
      <c r="E582" s="1013" t="s">
        <v>164</v>
      </c>
      <c r="F582" s="967"/>
    </row>
    <row r="583" spans="1:6">
      <c r="A583" s="1030"/>
      <c r="B583" s="1027">
        <v>9</v>
      </c>
      <c r="C583" s="1752" t="s">
        <v>2837</v>
      </c>
      <c r="D583" s="1756" t="s">
        <v>2838</v>
      </c>
      <c r="E583" s="1013" t="s">
        <v>159</v>
      </c>
      <c r="F583" s="967"/>
    </row>
    <row r="584" spans="1:6">
      <c r="A584" s="1030"/>
      <c r="B584" s="1027">
        <v>4</v>
      </c>
      <c r="C584" s="1753" t="s">
        <v>2839</v>
      </c>
      <c r="D584" s="1756" t="s">
        <v>2840</v>
      </c>
      <c r="E584" s="1013" t="s">
        <v>164</v>
      </c>
      <c r="F584" s="967"/>
    </row>
    <row r="585" spans="1:6">
      <c r="A585" s="1030"/>
      <c r="B585" s="1027">
        <v>23</v>
      </c>
      <c r="C585" s="1752" t="s">
        <v>2841</v>
      </c>
      <c r="D585" s="1756" t="s">
        <v>2842</v>
      </c>
      <c r="E585" s="1013" t="s">
        <v>2843</v>
      </c>
      <c r="F585" s="967"/>
    </row>
    <row r="586" spans="1:6">
      <c r="A586" s="1030"/>
      <c r="B586" s="1027">
        <v>6</v>
      </c>
      <c r="C586" s="1752" t="s">
        <v>2844</v>
      </c>
      <c r="D586" s="1739" t="s">
        <v>2845</v>
      </c>
      <c r="E586" s="1013" t="s">
        <v>159</v>
      </c>
      <c r="F586" s="967"/>
    </row>
    <row r="587" spans="1:6">
      <c r="A587" s="1030"/>
      <c r="B587" s="1027">
        <v>14</v>
      </c>
      <c r="C587" s="1752" t="s">
        <v>2846</v>
      </c>
      <c r="D587" s="1756" t="s">
        <v>2847</v>
      </c>
      <c r="E587" s="1013" t="s">
        <v>159</v>
      </c>
      <c r="F587" s="967"/>
    </row>
    <row r="588" spans="1:6">
      <c r="A588" s="1030"/>
      <c r="B588" s="1027">
        <v>9</v>
      </c>
      <c r="C588" s="1752" t="s">
        <v>2848</v>
      </c>
      <c r="D588" s="1756" t="s">
        <v>2849</v>
      </c>
      <c r="E588" s="1013" t="s">
        <v>2850</v>
      </c>
      <c r="F588" s="967"/>
    </row>
    <row r="589" spans="1:6">
      <c r="A589" s="1030"/>
      <c r="B589" s="1027">
        <v>10</v>
      </c>
      <c r="C589" s="1752" t="s">
        <v>2851</v>
      </c>
      <c r="D589" s="1756" t="s">
        <v>2852</v>
      </c>
      <c r="E589" s="1013" t="s">
        <v>2850</v>
      </c>
      <c r="F589" s="967"/>
    </row>
    <row r="590" spans="1:6">
      <c r="A590" s="1032"/>
      <c r="B590" s="1027">
        <v>2</v>
      </c>
      <c r="C590" s="1752" t="s">
        <v>2853</v>
      </c>
      <c r="D590" s="1739" t="s">
        <v>2854</v>
      </c>
      <c r="E590" s="1006" t="s">
        <v>164</v>
      </c>
      <c r="F590" s="968"/>
    </row>
    <row r="591" spans="1:6">
      <c r="A591" s="1030"/>
      <c r="B591" s="1027">
        <v>20</v>
      </c>
      <c r="C591" s="1752" t="s">
        <v>2855</v>
      </c>
      <c r="D591" s="1756" t="s">
        <v>2856</v>
      </c>
      <c r="E591" s="1013" t="s">
        <v>332</v>
      </c>
      <c r="F591" s="967"/>
    </row>
    <row r="592" spans="1:6">
      <c r="A592" s="1030"/>
      <c r="B592" s="1027">
        <v>16</v>
      </c>
      <c r="C592" s="1753" t="s">
        <v>2857</v>
      </c>
      <c r="D592" s="1756" t="s">
        <v>2858</v>
      </c>
      <c r="E592" s="1013" t="s">
        <v>164</v>
      </c>
      <c r="F592" s="967"/>
    </row>
    <row r="593" spans="1:6">
      <c r="A593" s="1030"/>
      <c r="B593" s="1027">
        <v>5</v>
      </c>
      <c r="C593" s="1752" t="s">
        <v>2859</v>
      </c>
      <c r="D593" s="1756" t="s">
        <v>2860</v>
      </c>
      <c r="E593" s="1013" t="s">
        <v>159</v>
      </c>
      <c r="F593" s="967"/>
    </row>
    <row r="594" spans="1:6">
      <c r="A594" s="1030"/>
      <c r="B594" s="1027">
        <v>14</v>
      </c>
      <c r="C594" s="1752" t="s">
        <v>2861</v>
      </c>
      <c r="D594" s="1756" t="s">
        <v>2862</v>
      </c>
      <c r="E594" s="1013" t="s">
        <v>332</v>
      </c>
      <c r="F594" s="967"/>
    </row>
    <row r="595" spans="1:6">
      <c r="A595" s="1030"/>
      <c r="B595" s="1027">
        <v>19</v>
      </c>
      <c r="C595" s="1752" t="s">
        <v>2863</v>
      </c>
      <c r="D595" s="1756" t="s">
        <v>2864</v>
      </c>
      <c r="E595" s="1013" t="s">
        <v>2446</v>
      </c>
      <c r="F595" s="967"/>
    </row>
    <row r="596" spans="1:6">
      <c r="A596" s="1030"/>
      <c r="B596" s="1027">
        <v>25</v>
      </c>
      <c r="C596" s="1752" t="s">
        <v>2865</v>
      </c>
      <c r="D596" s="1756" t="s">
        <v>2866</v>
      </c>
      <c r="E596" s="1013" t="s">
        <v>332</v>
      </c>
      <c r="F596" s="967"/>
    </row>
    <row r="597" spans="1:6">
      <c r="A597" s="1030"/>
      <c r="B597" s="1027">
        <v>26</v>
      </c>
      <c r="C597" s="1752" t="s">
        <v>2867</v>
      </c>
      <c r="D597" s="1756" t="s">
        <v>2868</v>
      </c>
      <c r="E597" s="1013" t="s">
        <v>159</v>
      </c>
      <c r="F597" s="967"/>
    </row>
    <row r="598" spans="1:6">
      <c r="A598" s="1030"/>
      <c r="B598" s="1027">
        <v>23</v>
      </c>
      <c r="C598" s="1752" t="s">
        <v>2869</v>
      </c>
      <c r="D598" s="1756" t="s">
        <v>2870</v>
      </c>
      <c r="E598" s="1013" t="s">
        <v>159</v>
      </c>
      <c r="F598" s="967"/>
    </row>
    <row r="599" spans="1:6">
      <c r="A599" s="1030"/>
      <c r="B599" s="1027">
        <v>18</v>
      </c>
      <c r="C599" s="1752" t="s">
        <v>2871</v>
      </c>
      <c r="D599" s="1756" t="s">
        <v>2872</v>
      </c>
      <c r="E599" s="1013" t="s">
        <v>177</v>
      </c>
      <c r="F599" s="967"/>
    </row>
    <row r="600" spans="1:6">
      <c r="A600" s="1030"/>
      <c r="B600" s="1027">
        <v>8</v>
      </c>
      <c r="C600" s="1752" t="s">
        <v>2873</v>
      </c>
      <c r="D600" s="1756" t="s">
        <v>2874</v>
      </c>
      <c r="E600" s="1013" t="s">
        <v>159</v>
      </c>
      <c r="F600" s="967"/>
    </row>
    <row r="601" spans="1:6">
      <c r="A601" s="1030"/>
      <c r="B601" s="1027">
        <v>5</v>
      </c>
      <c r="C601" s="1752" t="s">
        <v>2875</v>
      </c>
      <c r="D601" s="1756" t="s">
        <v>2876</v>
      </c>
      <c r="E601" s="1013" t="s">
        <v>192</v>
      </c>
      <c r="F601" s="967"/>
    </row>
    <row r="602" spans="1:6">
      <c r="A602" s="1030"/>
      <c r="B602" s="1027">
        <v>20</v>
      </c>
      <c r="C602" s="1753" t="s">
        <v>2877</v>
      </c>
      <c r="D602" s="1756" t="s">
        <v>2878</v>
      </c>
      <c r="E602" s="1013" t="s">
        <v>164</v>
      </c>
      <c r="F602" s="967"/>
    </row>
    <row r="603" spans="1:6">
      <c r="A603" s="1030"/>
      <c r="B603" s="1027">
        <v>17</v>
      </c>
      <c r="C603" s="1753" t="s">
        <v>2879</v>
      </c>
      <c r="D603" s="1756" t="s">
        <v>2880</v>
      </c>
      <c r="E603" s="1013" t="s">
        <v>164</v>
      </c>
      <c r="F603" s="967"/>
    </row>
    <row r="604" spans="1:6">
      <c r="A604" s="1030"/>
      <c r="B604" s="1027">
        <v>25</v>
      </c>
      <c r="C604" s="1752" t="s">
        <v>2881</v>
      </c>
      <c r="D604" s="1756" t="s">
        <v>2882</v>
      </c>
      <c r="E604" s="1013" t="s">
        <v>164</v>
      </c>
      <c r="F604" s="967"/>
    </row>
    <row r="605" spans="1:6">
      <c r="A605" s="1030"/>
      <c r="B605" s="1027">
        <v>9</v>
      </c>
      <c r="C605" s="1752" t="s">
        <v>2883</v>
      </c>
      <c r="D605" s="1756" t="s">
        <v>2884</v>
      </c>
      <c r="E605" s="1013" t="s">
        <v>332</v>
      </c>
      <c r="F605" s="967"/>
    </row>
    <row r="606" spans="1:6">
      <c r="A606" s="1030"/>
      <c r="B606" s="1027">
        <v>8</v>
      </c>
      <c r="C606" s="1749" t="s">
        <v>2885</v>
      </c>
      <c r="D606" s="1756" t="s">
        <v>2886</v>
      </c>
      <c r="E606" s="1013" t="s">
        <v>164</v>
      </c>
      <c r="F606" s="967"/>
    </row>
    <row r="607" spans="1:6">
      <c r="A607" s="1030"/>
      <c r="B607" s="1027">
        <v>20</v>
      </c>
      <c r="C607" s="1752" t="s">
        <v>2887</v>
      </c>
      <c r="D607" s="1756" t="s">
        <v>2888</v>
      </c>
      <c r="E607" s="1013" t="s">
        <v>159</v>
      </c>
      <c r="F607" s="967"/>
    </row>
    <row r="608" spans="1:6">
      <c r="A608" s="1030"/>
      <c r="B608" s="1027">
        <v>10</v>
      </c>
      <c r="C608" s="1752" t="s">
        <v>2889</v>
      </c>
      <c r="D608" s="980">
        <v>38768772</v>
      </c>
      <c r="E608" s="1013" t="s">
        <v>2890</v>
      </c>
      <c r="F608" s="967"/>
    </row>
    <row r="609" spans="1:6">
      <c r="A609" s="1030"/>
      <c r="B609" s="1027">
        <v>9</v>
      </c>
      <c r="C609" s="1752" t="s">
        <v>2891</v>
      </c>
      <c r="D609" s="1756" t="s">
        <v>2892</v>
      </c>
      <c r="E609" s="1013" t="s">
        <v>1851</v>
      </c>
      <c r="F609" s="967"/>
    </row>
    <row r="610" spans="1:6">
      <c r="A610" s="1030"/>
      <c r="B610" s="1027">
        <v>1</v>
      </c>
      <c r="C610" s="1752" t="s">
        <v>2893</v>
      </c>
      <c r="D610" s="980">
        <v>606219</v>
      </c>
      <c r="E610" s="1013" t="s">
        <v>168</v>
      </c>
      <c r="F610" s="967"/>
    </row>
    <row r="611" spans="1:6">
      <c r="A611" s="1030"/>
      <c r="B611" s="1027">
        <v>16</v>
      </c>
      <c r="C611" s="1752" t="s">
        <v>2894</v>
      </c>
      <c r="D611" s="1756" t="s">
        <v>2895</v>
      </c>
      <c r="E611" s="1013" t="s">
        <v>2244</v>
      </c>
      <c r="F611" s="967"/>
    </row>
    <row r="612" spans="1:6">
      <c r="A612" s="1030"/>
      <c r="B612" s="1027">
        <v>5</v>
      </c>
      <c r="C612" s="1752" t="s">
        <v>2896</v>
      </c>
      <c r="D612" s="980"/>
      <c r="E612" s="1013" t="s">
        <v>332</v>
      </c>
      <c r="F612" s="967"/>
    </row>
    <row r="613" spans="1:6">
      <c r="A613" s="1030"/>
      <c r="B613" s="1027">
        <v>6</v>
      </c>
      <c r="C613" s="1752" t="s">
        <v>2897</v>
      </c>
      <c r="D613" s="1756" t="s">
        <v>2898</v>
      </c>
      <c r="E613" s="1013" t="s">
        <v>332</v>
      </c>
      <c r="F613" s="967"/>
    </row>
    <row r="614" spans="1:6">
      <c r="A614" s="1030"/>
      <c r="B614" s="1027">
        <v>2</v>
      </c>
      <c r="C614" s="1752" t="s">
        <v>2899</v>
      </c>
      <c r="D614" s="1756" t="s">
        <v>2900</v>
      </c>
      <c r="E614" s="1013" t="s">
        <v>2843</v>
      </c>
      <c r="F614" s="967"/>
    </row>
    <row r="615" spans="1:6">
      <c r="A615" s="1030"/>
      <c r="B615" s="1027">
        <v>7</v>
      </c>
      <c r="C615" s="1753" t="s">
        <v>2901</v>
      </c>
      <c r="D615" s="1756" t="s">
        <v>2902</v>
      </c>
      <c r="E615" s="1013" t="s">
        <v>164</v>
      </c>
      <c r="F615" s="967"/>
    </row>
    <row r="616" spans="1:6">
      <c r="A616" s="1030"/>
      <c r="B616" s="1027">
        <v>12</v>
      </c>
      <c r="C616" s="1752" t="s">
        <v>2903</v>
      </c>
      <c r="D616" s="1756" t="s">
        <v>2904</v>
      </c>
      <c r="E616" s="1013" t="s">
        <v>159</v>
      </c>
      <c r="F616" s="967"/>
    </row>
    <row r="617" spans="1:6">
      <c r="A617" s="1030"/>
      <c r="B617" s="1027">
        <v>2</v>
      </c>
      <c r="C617" s="1752" t="s">
        <v>2905</v>
      </c>
      <c r="D617" s="1756" t="s">
        <v>2906</v>
      </c>
      <c r="E617" s="1013" t="s">
        <v>2907</v>
      </c>
      <c r="F617" s="967"/>
    </row>
    <row r="618" spans="1:6">
      <c r="A618" s="1030"/>
      <c r="B618" s="1027">
        <v>9</v>
      </c>
      <c r="C618" s="1753" t="s">
        <v>2908</v>
      </c>
      <c r="D618" s="1756" t="s">
        <v>2909</v>
      </c>
      <c r="E618" s="1013" t="s">
        <v>164</v>
      </c>
      <c r="F618" s="967"/>
    </row>
    <row r="619" spans="1:6">
      <c r="A619" s="1030"/>
      <c r="B619" s="1027">
        <v>11</v>
      </c>
      <c r="C619" s="1753" t="s">
        <v>2910</v>
      </c>
      <c r="D619" s="1756" t="s">
        <v>2911</v>
      </c>
      <c r="E619" s="1013" t="s">
        <v>164</v>
      </c>
      <c r="F619" s="967"/>
    </row>
    <row r="620" spans="1:6">
      <c r="A620" s="1030"/>
      <c r="B620" s="1027">
        <v>17</v>
      </c>
      <c r="C620" s="1752" t="s">
        <v>2912</v>
      </c>
      <c r="D620" s="1756" t="s">
        <v>2913</v>
      </c>
      <c r="E620" s="1013" t="s">
        <v>159</v>
      </c>
      <c r="F620" s="967"/>
    </row>
    <row r="621" spans="1:6">
      <c r="A621" s="1030"/>
      <c r="B621" s="1027">
        <v>23</v>
      </c>
      <c r="C621" s="1752" t="s">
        <v>2914</v>
      </c>
      <c r="D621" s="1756" t="s">
        <v>2915</v>
      </c>
      <c r="E621" s="1013" t="s">
        <v>1922</v>
      </c>
      <c r="F621" s="967"/>
    </row>
    <row r="622" spans="1:6">
      <c r="A622" s="1030"/>
      <c r="B622" s="1027">
        <v>14</v>
      </c>
      <c r="C622" s="1752" t="s">
        <v>2916</v>
      </c>
      <c r="D622" s="1756" t="s">
        <v>2917</v>
      </c>
      <c r="E622" s="1013" t="s">
        <v>332</v>
      </c>
      <c r="F622" s="967"/>
    </row>
    <row r="623" spans="1:6">
      <c r="A623" s="1030"/>
      <c r="B623" s="1027">
        <v>7</v>
      </c>
      <c r="C623" s="1753" t="s">
        <v>2918</v>
      </c>
      <c r="D623" s="1756" t="s">
        <v>2919</v>
      </c>
      <c r="E623" s="1013" t="s">
        <v>164</v>
      </c>
      <c r="F623" s="967"/>
    </row>
    <row r="624" spans="1:6">
      <c r="A624" s="1030"/>
      <c r="B624" s="1027">
        <v>4</v>
      </c>
      <c r="C624" s="1752" t="s">
        <v>2920</v>
      </c>
      <c r="D624" s="1756" t="s">
        <v>2921</v>
      </c>
      <c r="E624" s="1013" t="s">
        <v>332</v>
      </c>
      <c r="F624" s="967"/>
    </row>
    <row r="625" spans="1:6">
      <c r="A625" s="1030"/>
      <c r="B625" s="1027">
        <v>5</v>
      </c>
      <c r="C625" s="1752" t="s">
        <v>2922</v>
      </c>
      <c r="D625" s="1756" t="s">
        <v>2923</v>
      </c>
      <c r="E625" s="1013" t="s">
        <v>332</v>
      </c>
      <c r="F625" s="967"/>
    </row>
    <row r="626" spans="1:6">
      <c r="A626" s="1030"/>
      <c r="B626" s="1027">
        <v>17</v>
      </c>
      <c r="C626" s="1752" t="s">
        <v>2924</v>
      </c>
      <c r="D626" s="1756" t="s">
        <v>2925</v>
      </c>
      <c r="E626" s="1013" t="s">
        <v>159</v>
      </c>
      <c r="F626" s="967"/>
    </row>
    <row r="627" spans="1:6">
      <c r="A627" s="1030"/>
      <c r="B627" s="1027">
        <v>18</v>
      </c>
      <c r="C627" s="1752" t="s">
        <v>2926</v>
      </c>
      <c r="D627" s="1756" t="s">
        <v>2927</v>
      </c>
      <c r="E627" s="1013" t="s">
        <v>159</v>
      </c>
      <c r="F627" s="967"/>
    </row>
    <row r="628" spans="1:6">
      <c r="A628" s="1030"/>
      <c r="B628" s="1027">
        <v>19</v>
      </c>
      <c r="C628" s="1752" t="s">
        <v>2928</v>
      </c>
      <c r="D628" s="1756" t="s">
        <v>2929</v>
      </c>
      <c r="E628" s="1013" t="s">
        <v>159</v>
      </c>
      <c r="F628" s="967"/>
    </row>
    <row r="629" spans="1:6">
      <c r="A629" s="1030"/>
      <c r="B629" s="1027">
        <v>20</v>
      </c>
      <c r="C629" s="1752" t="s">
        <v>2930</v>
      </c>
      <c r="D629" s="1756" t="s">
        <v>2931</v>
      </c>
      <c r="E629" s="1013" t="s">
        <v>159</v>
      </c>
      <c r="F629" s="967"/>
    </row>
    <row r="630" spans="1:6">
      <c r="A630" s="1030"/>
      <c r="B630" s="1027">
        <v>3</v>
      </c>
      <c r="C630" s="1753" t="s">
        <v>2932</v>
      </c>
      <c r="D630" s="1756" t="s">
        <v>2933</v>
      </c>
      <c r="E630" s="1013" t="s">
        <v>164</v>
      </c>
      <c r="F630" s="967"/>
    </row>
    <row r="631" spans="1:6">
      <c r="A631" s="1030"/>
      <c r="B631" s="1027">
        <v>8</v>
      </c>
      <c r="C631" s="1752" t="s">
        <v>2934</v>
      </c>
      <c r="D631" s="1756" t="s">
        <v>2935</v>
      </c>
      <c r="E631" s="1013" t="s">
        <v>332</v>
      </c>
      <c r="F631" s="967"/>
    </row>
    <row r="632" spans="1:6">
      <c r="A632" s="1030"/>
      <c r="B632" s="1027">
        <v>1</v>
      </c>
      <c r="C632" s="1752" t="s">
        <v>2936</v>
      </c>
      <c r="D632" s="1756" t="s">
        <v>2937</v>
      </c>
      <c r="E632" s="1013" t="s">
        <v>332</v>
      </c>
      <c r="F632" s="967"/>
    </row>
    <row r="633" spans="1:6">
      <c r="A633" s="1030"/>
      <c r="B633" s="1027">
        <v>2</v>
      </c>
      <c r="C633" s="1752" t="s">
        <v>2938</v>
      </c>
      <c r="D633" s="1756" t="s">
        <v>2939</v>
      </c>
      <c r="E633" s="1013" t="s">
        <v>332</v>
      </c>
      <c r="F633" s="967"/>
    </row>
    <row r="634" spans="1:6">
      <c r="A634" s="1030"/>
      <c r="B634" s="1027">
        <v>3</v>
      </c>
      <c r="C634" s="1752" t="s">
        <v>2940</v>
      </c>
      <c r="D634" s="1756" t="s">
        <v>2941</v>
      </c>
      <c r="E634" s="1013" t="s">
        <v>332</v>
      </c>
      <c r="F634" s="967"/>
    </row>
    <row r="635" spans="1:6">
      <c r="A635" s="1030"/>
      <c r="B635" s="1027">
        <v>4</v>
      </c>
      <c r="C635" s="1752" t="s">
        <v>2942</v>
      </c>
      <c r="D635" s="1756" t="s">
        <v>2943</v>
      </c>
      <c r="E635" s="1013" t="s">
        <v>332</v>
      </c>
      <c r="F635" s="967"/>
    </row>
    <row r="636" spans="1:6">
      <c r="A636" s="1030"/>
      <c r="B636" s="1027">
        <v>5</v>
      </c>
      <c r="C636" s="1752" t="s">
        <v>2944</v>
      </c>
      <c r="D636" s="1756" t="s">
        <v>2945</v>
      </c>
      <c r="E636" s="1013" t="s">
        <v>332</v>
      </c>
      <c r="F636" s="967"/>
    </row>
    <row r="637" spans="1:6">
      <c r="A637" s="1030"/>
      <c r="B637" s="1027">
        <v>6</v>
      </c>
      <c r="C637" s="1752" t="s">
        <v>2946</v>
      </c>
      <c r="D637" s="1756" t="s">
        <v>2947</v>
      </c>
      <c r="E637" s="1013" t="s">
        <v>332</v>
      </c>
      <c r="F637" s="967"/>
    </row>
    <row r="638" spans="1:6">
      <c r="A638" s="1030"/>
      <c r="B638" s="1027">
        <v>19</v>
      </c>
      <c r="C638" s="1752" t="s">
        <v>2948</v>
      </c>
      <c r="D638" s="1756" t="s">
        <v>2949</v>
      </c>
      <c r="E638" s="1013" t="s">
        <v>177</v>
      </c>
      <c r="F638" s="967"/>
    </row>
    <row r="639" spans="1:6">
      <c r="A639" s="1030"/>
      <c r="B639" s="1027">
        <v>20</v>
      </c>
      <c r="C639" s="1752" t="s">
        <v>2950</v>
      </c>
      <c r="D639" s="1756" t="s">
        <v>2951</v>
      </c>
      <c r="E639" s="1013" t="s">
        <v>159</v>
      </c>
      <c r="F639" s="967"/>
    </row>
    <row r="640" spans="1:6">
      <c r="A640" s="1030"/>
      <c r="B640" s="1027">
        <v>26</v>
      </c>
      <c r="C640" s="1752" t="s">
        <v>2952</v>
      </c>
      <c r="D640" s="1756" t="s">
        <v>2953</v>
      </c>
      <c r="E640" s="1013" t="s">
        <v>400</v>
      </c>
      <c r="F640" s="967"/>
    </row>
    <row r="641" spans="1:6">
      <c r="A641" s="1030"/>
      <c r="B641" s="1027">
        <v>11</v>
      </c>
      <c r="C641" s="1752" t="s">
        <v>2954</v>
      </c>
      <c r="D641" s="1756" t="s">
        <v>2955</v>
      </c>
      <c r="E641" s="1013" t="s">
        <v>159</v>
      </c>
      <c r="F641" s="967"/>
    </row>
    <row r="642" spans="1:6">
      <c r="A642" s="1030"/>
      <c r="B642" s="1027">
        <v>9</v>
      </c>
      <c r="C642" s="1752" t="s">
        <v>2956</v>
      </c>
      <c r="D642" s="1756" t="s">
        <v>2957</v>
      </c>
      <c r="E642" s="1013" t="s">
        <v>159</v>
      </c>
      <c r="F642" s="967"/>
    </row>
    <row r="643" spans="1:6">
      <c r="A643" s="1030"/>
      <c r="B643" s="1027">
        <v>17</v>
      </c>
      <c r="C643" s="1752" t="s">
        <v>2958</v>
      </c>
      <c r="D643" s="1756" t="s">
        <v>2959</v>
      </c>
      <c r="E643" s="1013" t="s">
        <v>164</v>
      </c>
      <c r="F643" s="967"/>
    </row>
    <row r="644" spans="1:6" ht="25">
      <c r="A644" s="1030"/>
      <c r="B644" s="1027">
        <v>18</v>
      </c>
      <c r="C644" s="1749" t="s">
        <v>2960</v>
      </c>
      <c r="D644" s="1756" t="s">
        <v>2961</v>
      </c>
      <c r="E644" s="1013" t="s">
        <v>164</v>
      </c>
      <c r="F644" s="967"/>
    </row>
    <row r="645" spans="1:6">
      <c r="A645" s="1030"/>
      <c r="B645" s="1027">
        <v>22</v>
      </c>
      <c r="C645" s="1752" t="s">
        <v>2962</v>
      </c>
      <c r="D645" s="1756" t="s">
        <v>2963</v>
      </c>
      <c r="E645" s="1013" t="s">
        <v>2122</v>
      </c>
      <c r="F645" s="967"/>
    </row>
    <row r="646" spans="1:6">
      <c r="A646" s="1030"/>
      <c r="B646" s="1027">
        <v>23</v>
      </c>
      <c r="C646" s="1734" t="s">
        <v>2964</v>
      </c>
      <c r="D646" s="1739" t="s">
        <v>2965</v>
      </c>
      <c r="E646" s="1013" t="s">
        <v>2658</v>
      </c>
      <c r="F646" s="967"/>
    </row>
    <row r="647" spans="1:6">
      <c r="A647" s="1030"/>
      <c r="B647" s="1027">
        <v>24</v>
      </c>
      <c r="C647" s="1752" t="s">
        <v>2966</v>
      </c>
      <c r="D647" s="1033" t="s">
        <v>2967</v>
      </c>
      <c r="E647" s="1013" t="s">
        <v>2122</v>
      </c>
      <c r="F647" s="967"/>
    </row>
    <row r="648" spans="1:6">
      <c r="A648" s="1030"/>
      <c r="B648" s="1027">
        <v>9</v>
      </c>
      <c r="C648" s="1753" t="s">
        <v>2968</v>
      </c>
      <c r="D648" s="1756" t="s">
        <v>2969</v>
      </c>
      <c r="E648" s="1013" t="s">
        <v>164</v>
      </c>
      <c r="F648" s="967"/>
    </row>
    <row r="649" spans="1:6">
      <c r="A649" s="1030"/>
      <c r="B649" s="1027">
        <v>25</v>
      </c>
      <c r="C649" s="1752" t="s">
        <v>2970</v>
      </c>
      <c r="D649" s="1756" t="s">
        <v>2971</v>
      </c>
      <c r="E649" s="1013" t="s">
        <v>159</v>
      </c>
      <c r="F649" s="967"/>
    </row>
    <row r="650" spans="1:6">
      <c r="A650" s="1030"/>
      <c r="B650" s="1027">
        <v>6</v>
      </c>
      <c r="C650" s="1752" t="s">
        <v>2972</v>
      </c>
      <c r="D650" s="980">
        <v>432038</v>
      </c>
      <c r="E650" s="1013" t="s">
        <v>2973</v>
      </c>
      <c r="F650" s="967"/>
    </row>
    <row r="651" spans="1:6">
      <c r="A651" s="1030"/>
      <c r="B651" s="1027">
        <v>18</v>
      </c>
      <c r="C651" s="1752" t="s">
        <v>2974</v>
      </c>
      <c r="D651" s="1756" t="s">
        <v>2975</v>
      </c>
      <c r="E651" s="1013" t="s">
        <v>2976</v>
      </c>
      <c r="F651" s="967"/>
    </row>
    <row r="652" spans="1:6">
      <c r="A652" s="1030"/>
      <c r="B652" s="1027">
        <v>22</v>
      </c>
      <c r="C652" s="1752" t="s">
        <v>2977</v>
      </c>
      <c r="D652" s="1756" t="s">
        <v>2978</v>
      </c>
      <c r="E652" s="1013" t="s">
        <v>2122</v>
      </c>
      <c r="F652" s="967"/>
    </row>
    <row r="653" spans="1:6">
      <c r="A653" s="1030"/>
      <c r="B653" s="1027">
        <v>9</v>
      </c>
      <c r="C653" s="1752" t="s">
        <v>2979</v>
      </c>
      <c r="D653" s="1756" t="s">
        <v>2980</v>
      </c>
      <c r="E653" s="1013" t="s">
        <v>2761</v>
      </c>
      <c r="F653" s="967"/>
    </row>
    <row r="654" spans="1:6">
      <c r="A654" s="1030"/>
      <c r="B654" s="1027">
        <v>22</v>
      </c>
      <c r="C654" s="1752" t="s">
        <v>2981</v>
      </c>
      <c r="D654" s="1756" t="s">
        <v>2982</v>
      </c>
      <c r="E654" s="1013" t="s">
        <v>2983</v>
      </c>
      <c r="F654" s="967"/>
    </row>
    <row r="655" spans="1:6">
      <c r="A655" s="1030"/>
      <c r="B655" s="1027">
        <v>23</v>
      </c>
      <c r="C655" s="1752" t="s">
        <v>2984</v>
      </c>
      <c r="D655" s="1756" t="s">
        <v>2982</v>
      </c>
      <c r="E655" s="1013" t="s">
        <v>2983</v>
      </c>
      <c r="F655" s="967"/>
    </row>
    <row r="656" spans="1:6">
      <c r="A656" s="1030"/>
      <c r="B656" s="1027">
        <v>7</v>
      </c>
      <c r="C656" s="1752" t="s">
        <v>2985</v>
      </c>
      <c r="D656" s="1756" t="s">
        <v>2986</v>
      </c>
      <c r="E656" s="1013" t="s">
        <v>159</v>
      </c>
      <c r="F656" s="967"/>
    </row>
    <row r="657" spans="1:6">
      <c r="A657" s="1030"/>
      <c r="B657" s="1027">
        <v>17</v>
      </c>
      <c r="C657" s="1753" t="s">
        <v>2987</v>
      </c>
      <c r="D657" s="1756" t="s">
        <v>2988</v>
      </c>
      <c r="E657" s="1013" t="s">
        <v>164</v>
      </c>
      <c r="F657" s="967"/>
    </row>
    <row r="658" spans="1:6">
      <c r="A658" s="1030"/>
      <c r="B658" s="1027">
        <v>16</v>
      </c>
      <c r="C658" s="1753" t="s">
        <v>2989</v>
      </c>
      <c r="D658" s="1756" t="s">
        <v>2990</v>
      </c>
      <c r="E658" s="1013" t="s">
        <v>164</v>
      </c>
      <c r="F658" s="967"/>
    </row>
    <row r="659" spans="1:6">
      <c r="A659" s="1030"/>
      <c r="B659" s="1027"/>
      <c r="C659" s="1752" t="s">
        <v>2991</v>
      </c>
      <c r="D659" s="1756" t="s">
        <v>2992</v>
      </c>
      <c r="E659" s="1013" t="s">
        <v>400</v>
      </c>
      <c r="F659" s="967"/>
    </row>
    <row r="660" spans="1:6">
      <c r="A660" s="1030"/>
      <c r="B660" s="1027">
        <v>1</v>
      </c>
      <c r="C660" s="1752" t="s">
        <v>2993</v>
      </c>
      <c r="D660" s="1756" t="s">
        <v>2994</v>
      </c>
      <c r="E660" s="1013" t="s">
        <v>159</v>
      </c>
      <c r="F660" s="967"/>
    </row>
    <row r="661" spans="1:6">
      <c r="A661" s="1030"/>
      <c r="B661" s="1027">
        <v>2</v>
      </c>
      <c r="C661" s="1752" t="s">
        <v>2995</v>
      </c>
      <c r="D661" s="1756" t="s">
        <v>2994</v>
      </c>
      <c r="E661" s="1013" t="s">
        <v>159</v>
      </c>
      <c r="F661" s="967"/>
    </row>
    <row r="662" spans="1:6">
      <c r="A662" s="1030"/>
      <c r="B662" s="1027">
        <v>3</v>
      </c>
      <c r="C662" s="1752" t="s">
        <v>2996</v>
      </c>
      <c r="D662" s="1756" t="s">
        <v>2997</v>
      </c>
      <c r="E662" s="1013" t="s">
        <v>159</v>
      </c>
      <c r="F662" s="967"/>
    </row>
    <row r="663" spans="1:6">
      <c r="A663" s="1030"/>
      <c r="B663" s="1027">
        <v>4</v>
      </c>
      <c r="C663" s="1752" t="s">
        <v>2998</v>
      </c>
      <c r="D663" s="1756" t="s">
        <v>2999</v>
      </c>
      <c r="E663" s="1013" t="s">
        <v>159</v>
      </c>
      <c r="F663" s="967"/>
    </row>
    <row r="664" spans="1:6">
      <c r="A664" s="1030"/>
      <c r="B664" s="1027">
        <v>5</v>
      </c>
      <c r="C664" s="1752" t="s">
        <v>3000</v>
      </c>
      <c r="D664" s="1756" t="s">
        <v>2994</v>
      </c>
      <c r="E664" s="1013" t="s">
        <v>159</v>
      </c>
      <c r="F664" s="967"/>
    </row>
    <row r="665" spans="1:6">
      <c r="A665" s="1018"/>
      <c r="B665" s="978"/>
      <c r="C665" s="1752" t="s">
        <v>3001</v>
      </c>
      <c r="D665" s="1756" t="s">
        <v>3002</v>
      </c>
      <c r="E665" s="1013" t="s">
        <v>2118</v>
      </c>
      <c r="F665" s="967"/>
    </row>
    <row r="666" spans="1:6">
      <c r="A666" s="1018"/>
      <c r="B666" s="978"/>
      <c r="C666" s="1752" t="s">
        <v>3003</v>
      </c>
      <c r="D666" s="1756" t="s">
        <v>3004</v>
      </c>
      <c r="E666" s="1013" t="s">
        <v>2118</v>
      </c>
      <c r="F666" s="967"/>
    </row>
    <row r="667" spans="1:6">
      <c r="A667" s="1018"/>
      <c r="B667" s="978"/>
      <c r="C667" s="1753" t="s">
        <v>3005</v>
      </c>
      <c r="D667" s="1756" t="s">
        <v>3006</v>
      </c>
      <c r="E667" s="1013" t="s">
        <v>164</v>
      </c>
      <c r="F667" s="967"/>
    </row>
    <row r="668" spans="1:6">
      <c r="A668" s="1018"/>
      <c r="B668" s="978"/>
      <c r="C668" s="1753" t="s">
        <v>3007</v>
      </c>
      <c r="D668" s="1756" t="s">
        <v>3008</v>
      </c>
      <c r="E668" s="1013" t="s">
        <v>164</v>
      </c>
      <c r="F668" s="967"/>
    </row>
    <row r="669" spans="1:6" ht="25">
      <c r="A669" s="1018"/>
      <c r="B669" s="978"/>
      <c r="C669" s="1753" t="s">
        <v>3009</v>
      </c>
      <c r="D669" s="1756" t="s">
        <v>3010</v>
      </c>
      <c r="E669" s="1013" t="s">
        <v>164</v>
      </c>
      <c r="F669" s="967"/>
    </row>
    <row r="670" spans="1:6">
      <c r="A670" s="1018"/>
      <c r="B670" s="978"/>
      <c r="C670" s="1753" t="s">
        <v>3011</v>
      </c>
      <c r="D670" s="1756" t="s">
        <v>3012</v>
      </c>
      <c r="E670" s="1013" t="s">
        <v>164</v>
      </c>
      <c r="F670" s="967"/>
    </row>
    <row r="671" spans="1:6">
      <c r="A671" s="1018"/>
      <c r="B671" s="978"/>
      <c r="C671" s="1753" t="s">
        <v>3013</v>
      </c>
      <c r="D671" s="1756" t="s">
        <v>3014</v>
      </c>
      <c r="E671" s="1013" t="s">
        <v>164</v>
      </c>
      <c r="F671" s="967"/>
    </row>
    <row r="672" spans="1:6">
      <c r="A672" s="1018"/>
      <c r="B672" s="978"/>
      <c r="C672" s="1753" t="s">
        <v>3015</v>
      </c>
      <c r="D672" s="1756" t="s">
        <v>3016</v>
      </c>
      <c r="E672" s="1013" t="s">
        <v>164</v>
      </c>
      <c r="F672" s="967"/>
    </row>
    <row r="673" spans="1:6">
      <c r="A673" s="1018"/>
      <c r="B673" s="978"/>
      <c r="C673" s="1752" t="s">
        <v>3017</v>
      </c>
      <c r="D673" s="1756" t="s">
        <v>3018</v>
      </c>
      <c r="E673" s="1013" t="s">
        <v>2976</v>
      </c>
      <c r="F673" s="967"/>
    </row>
    <row r="674" spans="1:6">
      <c r="A674" s="1034"/>
      <c r="B674" s="978"/>
      <c r="C674" s="1752" t="s">
        <v>3019</v>
      </c>
      <c r="D674" s="1739" t="s">
        <v>3020</v>
      </c>
      <c r="E674" s="1006" t="s">
        <v>164</v>
      </c>
      <c r="F674" s="968"/>
    </row>
    <row r="675" spans="1:6">
      <c r="A675" s="1018"/>
      <c r="B675" s="978"/>
      <c r="C675" s="1753" t="s">
        <v>3021</v>
      </c>
      <c r="D675" s="1756" t="s">
        <v>3022</v>
      </c>
      <c r="E675" s="1013" t="s">
        <v>164</v>
      </c>
      <c r="F675" s="967"/>
    </row>
    <row r="676" spans="1:6">
      <c r="A676" s="1018"/>
      <c r="B676" s="978"/>
      <c r="C676" s="1753" t="s">
        <v>3023</v>
      </c>
      <c r="D676" s="1756" t="s">
        <v>3024</v>
      </c>
      <c r="E676" s="1013" t="s">
        <v>164</v>
      </c>
      <c r="F676" s="967"/>
    </row>
    <row r="677" spans="1:6">
      <c r="A677" s="1018"/>
      <c r="B677" s="978"/>
      <c r="C677" s="1753" t="s">
        <v>3025</v>
      </c>
      <c r="D677" s="1756" t="s">
        <v>3026</v>
      </c>
      <c r="E677" s="1013" t="s">
        <v>2976</v>
      </c>
      <c r="F677" s="967"/>
    </row>
    <row r="678" spans="1:6">
      <c r="A678" s="1018"/>
      <c r="B678" s="978"/>
      <c r="C678" s="1752" t="s">
        <v>3027</v>
      </c>
      <c r="D678" s="1756" t="s">
        <v>3028</v>
      </c>
      <c r="E678" s="1013" t="s">
        <v>164</v>
      </c>
      <c r="F678" s="967"/>
    </row>
    <row r="679" spans="1:6">
      <c r="A679" s="1018"/>
      <c r="B679" s="978"/>
      <c r="C679" s="1753" t="s">
        <v>3029</v>
      </c>
      <c r="D679" s="1756" t="s">
        <v>3030</v>
      </c>
      <c r="E679" s="1013" t="s">
        <v>2446</v>
      </c>
      <c r="F679" s="967"/>
    </row>
    <row r="680" spans="1:6">
      <c r="A680" s="1018"/>
      <c r="B680" s="978"/>
      <c r="C680" s="1752" t="s">
        <v>3031</v>
      </c>
      <c r="D680" s="1756" t="s">
        <v>3032</v>
      </c>
      <c r="E680" s="1013" t="s">
        <v>2446</v>
      </c>
      <c r="F680" s="967"/>
    </row>
    <row r="681" spans="1:6">
      <c r="A681" s="1018"/>
      <c r="B681" s="978"/>
      <c r="C681" s="1752" t="s">
        <v>3033</v>
      </c>
      <c r="D681" s="1756" t="s">
        <v>3034</v>
      </c>
      <c r="E681" s="1013" t="s">
        <v>159</v>
      </c>
      <c r="F681" s="967"/>
    </row>
    <row r="682" spans="1:6">
      <c r="A682" s="1018"/>
      <c r="B682" s="978"/>
      <c r="C682" s="1752" t="s">
        <v>3035</v>
      </c>
      <c r="D682" s="1756" t="s">
        <v>3036</v>
      </c>
      <c r="E682" s="1013" t="s">
        <v>159</v>
      </c>
      <c r="F682" s="967"/>
    </row>
    <row r="683" spans="1:6">
      <c r="A683" s="1018"/>
      <c r="B683" s="978"/>
      <c r="C683" s="1752" t="s">
        <v>3037</v>
      </c>
      <c r="D683" s="1756" t="s">
        <v>3038</v>
      </c>
      <c r="E683" s="1013" t="s">
        <v>347</v>
      </c>
      <c r="F683" s="967"/>
    </row>
    <row r="684" spans="1:6">
      <c r="A684" s="1018"/>
      <c r="B684" s="978"/>
      <c r="C684" s="1752" t="s">
        <v>3039</v>
      </c>
      <c r="D684" s="980">
        <v>627354</v>
      </c>
      <c r="E684" s="1013" t="s">
        <v>370</v>
      </c>
      <c r="F684" s="967"/>
    </row>
    <row r="685" spans="1:6">
      <c r="A685" s="1018"/>
      <c r="B685" s="978"/>
      <c r="C685" s="1752" t="s">
        <v>3040</v>
      </c>
      <c r="D685" s="980" t="s">
        <v>3041</v>
      </c>
      <c r="E685" s="1013" t="s">
        <v>512</v>
      </c>
      <c r="F685" s="967"/>
    </row>
    <row r="686" spans="1:6">
      <c r="A686" s="1018"/>
      <c r="B686" s="978"/>
      <c r="C686" s="1752" t="s">
        <v>3042</v>
      </c>
      <c r="D686" s="1756" t="s">
        <v>3043</v>
      </c>
      <c r="E686" s="1013" t="s">
        <v>2122</v>
      </c>
      <c r="F686" s="967"/>
    </row>
    <row r="687" spans="1:6">
      <c r="A687" s="1018"/>
      <c r="B687" s="978"/>
      <c r="C687" s="1752" t="s">
        <v>3044</v>
      </c>
      <c r="D687" s="1756" t="s">
        <v>3045</v>
      </c>
      <c r="E687" s="1013" t="s">
        <v>159</v>
      </c>
      <c r="F687" s="967"/>
    </row>
    <row r="688" spans="1:6">
      <c r="A688" s="1018"/>
      <c r="B688" s="978"/>
      <c r="C688" s="1752" t="s">
        <v>3046</v>
      </c>
      <c r="D688" s="1756" t="s">
        <v>3047</v>
      </c>
      <c r="E688" s="1013" t="s">
        <v>498</v>
      </c>
      <c r="F688" s="967"/>
    </row>
    <row r="689" spans="1:6">
      <c r="A689" s="1018"/>
      <c r="B689" s="978"/>
      <c r="C689" s="1752" t="s">
        <v>3048</v>
      </c>
      <c r="D689" s="1756" t="s">
        <v>3049</v>
      </c>
      <c r="E689" s="1013" t="s">
        <v>159</v>
      </c>
      <c r="F689" s="967"/>
    </row>
    <row r="690" spans="1:6">
      <c r="A690" s="1018"/>
      <c r="B690" s="978"/>
      <c r="C690" s="1752" t="s">
        <v>3050</v>
      </c>
      <c r="D690" s="1756" t="s">
        <v>3051</v>
      </c>
      <c r="E690" s="1013" t="s">
        <v>2122</v>
      </c>
      <c r="F690" s="967"/>
    </row>
    <row r="691" spans="1:6">
      <c r="A691" s="1018"/>
      <c r="B691" s="978"/>
      <c r="C691" s="1752" t="s">
        <v>3052</v>
      </c>
      <c r="D691" s="980" t="s">
        <v>3045</v>
      </c>
      <c r="E691" s="1013" t="s">
        <v>2122</v>
      </c>
      <c r="F691" s="967"/>
    </row>
    <row r="692" spans="1:6">
      <c r="A692" s="1018"/>
      <c r="B692" s="978"/>
      <c r="C692" s="1752" t="s">
        <v>3052</v>
      </c>
      <c r="D692" s="980" t="s">
        <v>3053</v>
      </c>
      <c r="E692" s="1013" t="s">
        <v>159</v>
      </c>
      <c r="F692" s="967"/>
    </row>
    <row r="693" spans="1:6">
      <c r="A693" s="1018"/>
      <c r="B693" s="978"/>
      <c r="C693" s="1752" t="s">
        <v>3054</v>
      </c>
      <c r="D693" s="1756" t="s">
        <v>3055</v>
      </c>
      <c r="E693" s="1013" t="s">
        <v>332</v>
      </c>
      <c r="F693" s="967"/>
    </row>
    <row r="694" spans="1:6">
      <c r="A694" s="1018"/>
      <c r="B694" s="978"/>
      <c r="C694" s="1752" t="s">
        <v>3056</v>
      </c>
      <c r="D694" s="1756" t="s">
        <v>3057</v>
      </c>
      <c r="E694" s="1013" t="s">
        <v>164</v>
      </c>
      <c r="F694" s="967"/>
    </row>
    <row r="695" spans="1:6">
      <c r="A695" s="1018"/>
      <c r="B695" s="978"/>
      <c r="C695" s="1753" t="s">
        <v>3058</v>
      </c>
      <c r="D695" s="1756" t="s">
        <v>3059</v>
      </c>
      <c r="E695" s="1013" t="s">
        <v>332</v>
      </c>
      <c r="F695" s="967"/>
    </row>
    <row r="696" spans="1:6">
      <c r="A696" s="1018"/>
      <c r="B696" s="978"/>
      <c r="C696" s="1752" t="s">
        <v>3060</v>
      </c>
      <c r="D696" s="1756" t="s">
        <v>3061</v>
      </c>
      <c r="E696" s="1013" t="s">
        <v>2976</v>
      </c>
      <c r="F696" s="967"/>
    </row>
    <row r="697" spans="1:6">
      <c r="A697" s="1018"/>
      <c r="B697" s="978"/>
      <c r="C697" s="1752" t="s">
        <v>3062</v>
      </c>
      <c r="D697" s="1756" t="s">
        <v>3063</v>
      </c>
      <c r="E697" s="1013" t="s">
        <v>332</v>
      </c>
      <c r="F697" s="967"/>
    </row>
    <row r="698" spans="1:6">
      <c r="A698" s="1018"/>
      <c r="B698" s="978"/>
      <c r="C698" s="1752" t="s">
        <v>3064</v>
      </c>
      <c r="D698" s="1756" t="s">
        <v>3065</v>
      </c>
      <c r="E698" s="1013" t="s">
        <v>164</v>
      </c>
      <c r="F698" s="967"/>
    </row>
    <row r="699" spans="1:6">
      <c r="A699" s="1018"/>
      <c r="B699" s="978"/>
      <c r="C699" s="1753" t="s">
        <v>3066</v>
      </c>
      <c r="D699" s="980" t="s">
        <v>3067</v>
      </c>
      <c r="E699" s="1013" t="s">
        <v>164</v>
      </c>
      <c r="F699" s="967"/>
    </row>
    <row r="700" spans="1:6" ht="25">
      <c r="A700" s="1018"/>
      <c r="B700" s="978"/>
      <c r="C700" s="1753" t="s">
        <v>3068</v>
      </c>
      <c r="D700" s="980" t="s">
        <v>3069</v>
      </c>
      <c r="E700" s="1013" t="s">
        <v>164</v>
      </c>
      <c r="F700" s="967"/>
    </row>
    <row r="701" spans="1:6">
      <c r="A701" s="1018"/>
      <c r="B701" s="978"/>
      <c r="C701" s="1753" t="s">
        <v>3070</v>
      </c>
      <c r="D701" s="980" t="s">
        <v>3071</v>
      </c>
      <c r="E701" s="1013" t="s">
        <v>3072</v>
      </c>
      <c r="F701" s="967"/>
    </row>
    <row r="702" spans="1:6">
      <c r="A702" s="1018"/>
      <c r="B702" s="978"/>
      <c r="C702" s="1752" t="s">
        <v>3073</v>
      </c>
      <c r="D702" s="1762" t="s">
        <v>3074</v>
      </c>
      <c r="E702" s="1013" t="s">
        <v>3075</v>
      </c>
      <c r="F702" s="967"/>
    </row>
    <row r="703" spans="1:6">
      <c r="A703" s="1018"/>
      <c r="B703" s="978"/>
      <c r="C703" s="1752" t="s">
        <v>3076</v>
      </c>
      <c r="D703" s="1756" t="s">
        <v>3077</v>
      </c>
      <c r="E703" s="1013" t="s">
        <v>159</v>
      </c>
      <c r="F703" s="967"/>
    </row>
    <row r="704" spans="1:6">
      <c r="A704" s="1018"/>
      <c r="B704" s="978"/>
      <c r="C704" s="1752" t="s">
        <v>3078</v>
      </c>
      <c r="D704" s="1756" t="s">
        <v>3079</v>
      </c>
      <c r="E704" s="1013" t="s">
        <v>2658</v>
      </c>
      <c r="F704" s="967"/>
    </row>
    <row r="705" spans="1:6">
      <c r="A705" s="1018"/>
      <c r="B705" s="978"/>
      <c r="C705" s="1734" t="s">
        <v>3080</v>
      </c>
      <c r="D705" s="1756" t="s">
        <v>3081</v>
      </c>
      <c r="E705" s="1013" t="s">
        <v>164</v>
      </c>
      <c r="F705" s="967"/>
    </row>
    <row r="706" spans="1:6">
      <c r="A706" s="1034"/>
      <c r="B706" s="978"/>
      <c r="C706" s="1753" t="s">
        <v>3082</v>
      </c>
      <c r="D706" s="1739" t="s">
        <v>3083</v>
      </c>
      <c r="E706" s="1013" t="s">
        <v>164</v>
      </c>
      <c r="F706" s="968"/>
    </row>
    <row r="707" spans="1:6">
      <c r="A707" s="1018"/>
      <c r="B707" s="978"/>
      <c r="C707" s="1753" t="s">
        <v>3084</v>
      </c>
      <c r="D707" s="1756" t="s">
        <v>3085</v>
      </c>
      <c r="E707" s="1013" t="s">
        <v>164</v>
      </c>
      <c r="F707" s="967"/>
    </row>
    <row r="708" spans="1:6">
      <c r="A708" s="1018"/>
      <c r="B708" s="978"/>
      <c r="C708" s="1752" t="s">
        <v>3086</v>
      </c>
      <c r="D708" s="1756" t="s">
        <v>3087</v>
      </c>
      <c r="E708" s="1013" t="s">
        <v>332</v>
      </c>
      <c r="F708" s="967"/>
    </row>
    <row r="709" spans="1:6">
      <c r="A709" s="1018"/>
      <c r="B709" s="978"/>
      <c r="C709" s="1752" t="s">
        <v>3088</v>
      </c>
      <c r="D709" s="1756" t="s">
        <v>3089</v>
      </c>
      <c r="E709" s="1013" t="s">
        <v>159</v>
      </c>
      <c r="F709" s="967"/>
    </row>
    <row r="710" spans="1:6">
      <c r="A710" s="1018"/>
      <c r="B710" s="978"/>
      <c r="C710" s="1752" t="s">
        <v>3090</v>
      </c>
      <c r="D710" s="1756" t="s">
        <v>3091</v>
      </c>
      <c r="E710" s="1013" t="s">
        <v>159</v>
      </c>
      <c r="F710" s="967"/>
    </row>
    <row r="711" spans="1:6">
      <c r="A711" s="1018"/>
      <c r="B711" s="978"/>
      <c r="C711" s="1752" t="s">
        <v>3092</v>
      </c>
      <c r="D711" s="1756" t="s">
        <v>3093</v>
      </c>
      <c r="E711" s="1013" t="s">
        <v>2168</v>
      </c>
      <c r="F711" s="967"/>
    </row>
    <row r="712" spans="1:6">
      <c r="A712" s="1018"/>
      <c r="B712" s="978"/>
      <c r="C712" s="1019" t="s">
        <v>3094</v>
      </c>
      <c r="D712" s="1756" t="s">
        <v>3095</v>
      </c>
      <c r="E712" s="1013" t="s">
        <v>512</v>
      </c>
      <c r="F712" s="967"/>
    </row>
    <row r="713" spans="1:6">
      <c r="A713" s="1018"/>
      <c r="B713" s="978"/>
      <c r="C713" s="1752" t="s">
        <v>3096</v>
      </c>
      <c r="D713" s="1756" t="s">
        <v>3097</v>
      </c>
      <c r="E713" s="1013" t="s">
        <v>159</v>
      </c>
      <c r="F713" s="967"/>
    </row>
    <row r="714" spans="1:6">
      <c r="A714" s="1018"/>
      <c r="B714" s="978"/>
      <c r="C714" s="1752" t="s">
        <v>3098</v>
      </c>
      <c r="D714" s="1756" t="s">
        <v>3099</v>
      </c>
      <c r="E714" s="1013" t="s">
        <v>498</v>
      </c>
      <c r="F714" s="967"/>
    </row>
    <row r="715" spans="1:6">
      <c r="A715" s="1018"/>
      <c r="B715" s="978"/>
      <c r="C715" s="1752" t="s">
        <v>3100</v>
      </c>
      <c r="D715" s="1756" t="s">
        <v>3101</v>
      </c>
      <c r="E715" s="1013" t="s">
        <v>164</v>
      </c>
      <c r="F715" s="967"/>
    </row>
    <row r="716" spans="1:6">
      <c r="A716" s="1018"/>
      <c r="B716" s="978"/>
      <c r="C716" s="1753" t="s">
        <v>3102</v>
      </c>
      <c r="D716" s="1756" t="s">
        <v>3103</v>
      </c>
      <c r="E716" s="1013" t="s">
        <v>164</v>
      </c>
      <c r="F716" s="967"/>
    </row>
    <row r="717" spans="1:6">
      <c r="A717" s="1018"/>
      <c r="B717" s="978"/>
      <c r="C717" s="1753" t="s">
        <v>3104</v>
      </c>
      <c r="D717" s="1756" t="s">
        <v>3105</v>
      </c>
      <c r="E717" s="1013" t="s">
        <v>159</v>
      </c>
      <c r="F717" s="967"/>
    </row>
    <row r="718" spans="1:6">
      <c r="A718" s="1018"/>
      <c r="B718" s="978"/>
      <c r="C718" s="1752" t="s">
        <v>3106</v>
      </c>
      <c r="D718" s="1756" t="s">
        <v>3107</v>
      </c>
      <c r="E718" s="1013" t="s">
        <v>164</v>
      </c>
      <c r="F718" s="967"/>
    </row>
    <row r="719" spans="1:6">
      <c r="A719" s="1018"/>
      <c r="B719" s="978"/>
      <c r="C719" s="1753" t="s">
        <v>3108</v>
      </c>
      <c r="D719" s="1756" t="s">
        <v>3109</v>
      </c>
      <c r="E719" s="1013" t="s">
        <v>2122</v>
      </c>
      <c r="F719" s="967"/>
    </row>
    <row r="720" spans="1:6">
      <c r="A720" s="1018"/>
      <c r="B720" s="978"/>
      <c r="C720" s="1752" t="s">
        <v>3110</v>
      </c>
      <c r="D720" s="1756" t="s">
        <v>3111</v>
      </c>
      <c r="E720" s="1013" t="s">
        <v>2019</v>
      </c>
      <c r="F720" s="967"/>
    </row>
    <row r="721" spans="1:6">
      <c r="A721" s="1018"/>
      <c r="B721" s="978"/>
      <c r="C721" s="1752" t="s">
        <v>3112</v>
      </c>
      <c r="D721" s="1756" t="s">
        <v>3113</v>
      </c>
      <c r="E721" s="1013" t="s">
        <v>164</v>
      </c>
      <c r="F721" s="967"/>
    </row>
    <row r="722" spans="1:6">
      <c r="A722" s="1018"/>
      <c r="B722" s="978"/>
      <c r="C722" s="1753" t="s">
        <v>3114</v>
      </c>
      <c r="D722" s="1756" t="s">
        <v>3115</v>
      </c>
      <c r="E722" s="1013" t="s">
        <v>3075</v>
      </c>
      <c r="F722" s="967"/>
    </row>
    <row r="723" spans="1:6">
      <c r="A723" s="1018"/>
      <c r="B723" s="978"/>
      <c r="C723" s="1752" t="s">
        <v>3116</v>
      </c>
      <c r="D723" s="1036" t="s">
        <v>3117</v>
      </c>
      <c r="E723" s="1013" t="s">
        <v>159</v>
      </c>
      <c r="F723" s="967"/>
    </row>
    <row r="724" spans="1:6">
      <c r="A724" s="1018"/>
      <c r="B724" s="978"/>
      <c r="C724" s="1752" t="s">
        <v>3118</v>
      </c>
      <c r="D724" s="1756" t="s">
        <v>3119</v>
      </c>
      <c r="E724" s="1013" t="s">
        <v>2446</v>
      </c>
      <c r="F724" s="967"/>
    </row>
    <row r="725" spans="1:6">
      <c r="A725" s="1018"/>
      <c r="B725" s="978"/>
      <c r="C725" s="1752" t="s">
        <v>3120</v>
      </c>
      <c r="D725" s="1756" t="s">
        <v>3121</v>
      </c>
      <c r="E725" s="1013" t="s">
        <v>159</v>
      </c>
      <c r="F725" s="967"/>
    </row>
    <row r="726" spans="1:6">
      <c r="A726" s="1018"/>
      <c r="B726" s="978"/>
      <c r="C726" s="1752" t="s">
        <v>3122</v>
      </c>
      <c r="D726" s="1756" t="s">
        <v>3123</v>
      </c>
      <c r="E726" s="1013" t="s">
        <v>3072</v>
      </c>
      <c r="F726" s="967"/>
    </row>
    <row r="727" spans="1:6">
      <c r="A727" s="1034"/>
      <c r="B727" s="978"/>
      <c r="C727" s="1752" t="s">
        <v>3124</v>
      </c>
      <c r="D727" s="1739" t="s">
        <v>3125</v>
      </c>
      <c r="E727" s="1013" t="s">
        <v>192</v>
      </c>
      <c r="F727" s="968"/>
    </row>
    <row r="728" spans="1:6">
      <c r="A728" s="1018"/>
      <c r="B728" s="978"/>
      <c r="C728" s="1752" t="s">
        <v>3126</v>
      </c>
      <c r="D728" s="1756" t="s">
        <v>3127</v>
      </c>
      <c r="E728" s="1013" t="s">
        <v>164</v>
      </c>
      <c r="F728" s="967"/>
    </row>
    <row r="729" spans="1:6">
      <c r="A729" s="1018"/>
      <c r="B729" s="978"/>
      <c r="C729" s="1753" t="s">
        <v>3128</v>
      </c>
      <c r="D729" s="1756" t="s">
        <v>3129</v>
      </c>
      <c r="E729" s="1013" t="s">
        <v>159</v>
      </c>
      <c r="F729" s="967"/>
    </row>
    <row r="730" spans="1:6">
      <c r="A730" s="1018"/>
      <c r="B730" s="1037"/>
      <c r="C730" s="1752" t="s">
        <v>3130</v>
      </c>
      <c r="D730" s="1756" t="s">
        <v>3131</v>
      </c>
      <c r="E730" s="1013" t="s">
        <v>164</v>
      </c>
      <c r="F730" s="967"/>
    </row>
    <row r="731" spans="1:6">
      <c r="A731" s="1018"/>
      <c r="B731" s="978"/>
      <c r="C731" s="1753" t="s">
        <v>3132</v>
      </c>
      <c r="D731" s="1756" t="s">
        <v>3133</v>
      </c>
      <c r="E731" s="1013" t="s">
        <v>2383</v>
      </c>
      <c r="F731" s="967"/>
    </row>
    <row r="732" spans="1:6">
      <c r="A732" s="1018"/>
      <c r="B732" s="978"/>
      <c r="C732" s="1019" t="s">
        <v>3134</v>
      </c>
      <c r="D732" s="1756" t="s">
        <v>3135</v>
      </c>
      <c r="E732" s="1013" t="s">
        <v>2019</v>
      </c>
      <c r="F732" s="967"/>
    </row>
    <row r="733" spans="1:6">
      <c r="A733" s="1018"/>
      <c r="B733" s="978"/>
      <c r="C733" s="1752" t="s">
        <v>3136</v>
      </c>
      <c r="D733" s="1756" t="s">
        <v>3137</v>
      </c>
      <c r="E733" s="1013" t="s">
        <v>159</v>
      </c>
      <c r="F733" s="967"/>
    </row>
    <row r="734" spans="1:6">
      <c r="A734" s="1018"/>
      <c r="B734" s="978"/>
      <c r="C734" s="1752" t="s">
        <v>3138</v>
      </c>
      <c r="D734" s="1756" t="s">
        <v>3139</v>
      </c>
      <c r="E734" s="1013" t="s">
        <v>164</v>
      </c>
      <c r="F734" s="967"/>
    </row>
    <row r="735" spans="1:6">
      <c r="A735" s="1018"/>
      <c r="B735" s="978"/>
      <c r="C735" s="1753" t="s">
        <v>3140</v>
      </c>
      <c r="D735" s="1756" t="s">
        <v>3141</v>
      </c>
      <c r="E735" s="1013" t="s">
        <v>164</v>
      </c>
      <c r="F735" s="967"/>
    </row>
    <row r="736" spans="1:6">
      <c r="A736" s="1018"/>
      <c r="B736" s="978"/>
      <c r="C736" s="1752" t="s">
        <v>3142</v>
      </c>
      <c r="D736" s="1756" t="s">
        <v>3143</v>
      </c>
      <c r="E736" s="1013" t="s">
        <v>3072</v>
      </c>
      <c r="F736" s="967"/>
    </row>
    <row r="737" spans="1:6" ht="25">
      <c r="A737" s="1018"/>
      <c r="B737" s="978"/>
      <c r="C737" s="1752" t="s">
        <v>3144</v>
      </c>
      <c r="D737" s="1756" t="s">
        <v>3145</v>
      </c>
      <c r="E737" s="1013" t="s">
        <v>159</v>
      </c>
      <c r="F737" s="967"/>
    </row>
    <row r="738" spans="1:6">
      <c r="A738" s="1018"/>
      <c r="B738" s="978"/>
      <c r="C738" s="1752" t="s">
        <v>3146</v>
      </c>
      <c r="D738" s="1756" t="s">
        <v>3147</v>
      </c>
      <c r="E738" s="1013" t="s">
        <v>512</v>
      </c>
      <c r="F738" s="967"/>
    </row>
    <row r="739" spans="1:6">
      <c r="A739" s="1018"/>
      <c r="B739" s="978"/>
      <c r="C739" s="1019" t="s">
        <v>3148</v>
      </c>
      <c r="D739" s="1756" t="s">
        <v>3149</v>
      </c>
      <c r="E739" s="1013" t="s">
        <v>3150</v>
      </c>
      <c r="F739" s="967"/>
    </row>
    <row r="740" spans="1:6">
      <c r="A740" s="1018"/>
      <c r="B740" s="978"/>
      <c r="C740" s="1019" t="s">
        <v>3151</v>
      </c>
      <c r="D740" s="1756" t="s">
        <v>3152</v>
      </c>
      <c r="E740" s="1013" t="s">
        <v>159</v>
      </c>
      <c r="F740" s="967"/>
    </row>
    <row r="741" spans="1:6">
      <c r="A741" s="1018"/>
      <c r="B741" s="978"/>
      <c r="C741" s="1752" t="s">
        <v>3153</v>
      </c>
      <c r="D741" s="1756" t="s">
        <v>3154</v>
      </c>
      <c r="E741" s="1013" t="s">
        <v>332</v>
      </c>
      <c r="F741" s="967"/>
    </row>
    <row r="742" spans="1:6">
      <c r="A742" s="1018"/>
      <c r="B742" s="978"/>
      <c r="C742" s="1019" t="s">
        <v>3155</v>
      </c>
      <c r="D742" s="1756" t="s">
        <v>3156</v>
      </c>
      <c r="E742" s="1013" t="s">
        <v>512</v>
      </c>
      <c r="F742" s="967"/>
    </row>
    <row r="743" spans="1:6">
      <c r="A743" s="1018"/>
      <c r="B743" s="978"/>
      <c r="C743" s="1752" t="s">
        <v>3116</v>
      </c>
      <c r="D743" s="1756" t="s">
        <v>3157</v>
      </c>
      <c r="E743" s="1013" t="s">
        <v>164</v>
      </c>
      <c r="F743" s="967"/>
    </row>
    <row r="744" spans="1:6">
      <c r="A744" s="1018"/>
      <c r="B744" s="978"/>
      <c r="C744" s="1753" t="s">
        <v>3158</v>
      </c>
      <c r="D744" s="1756" t="s">
        <v>3159</v>
      </c>
      <c r="E744" s="1013" t="s">
        <v>332</v>
      </c>
      <c r="F744" s="967"/>
    </row>
    <row r="745" spans="1:6">
      <c r="A745" s="1018"/>
      <c r="B745" s="978"/>
      <c r="C745" s="1019" t="s">
        <v>3160</v>
      </c>
      <c r="D745" s="1756" t="s">
        <v>3161</v>
      </c>
      <c r="E745" s="1013" t="s">
        <v>159</v>
      </c>
      <c r="F745" s="967"/>
    </row>
    <row r="746" spans="1:6">
      <c r="A746" s="1018"/>
      <c r="B746" s="978"/>
      <c r="C746" s="1752" t="s">
        <v>3162</v>
      </c>
      <c r="D746" s="1756" t="s">
        <v>3163</v>
      </c>
      <c r="E746" s="1013" t="s">
        <v>1851</v>
      </c>
      <c r="F746" s="967"/>
    </row>
    <row r="747" spans="1:6">
      <c r="A747" s="1005"/>
      <c r="B747" s="978"/>
      <c r="C747" s="1019" t="s">
        <v>3164</v>
      </c>
      <c r="D747" s="1739" t="s">
        <v>3165</v>
      </c>
      <c r="E747" s="1013" t="s">
        <v>3150</v>
      </c>
      <c r="F747" s="967"/>
    </row>
    <row r="748" spans="1:6">
      <c r="A748" s="1005"/>
      <c r="B748" s="978"/>
      <c r="C748" s="1019" t="s">
        <v>3166</v>
      </c>
      <c r="D748" s="1739" t="s">
        <v>3167</v>
      </c>
      <c r="E748" s="1013" t="s">
        <v>164</v>
      </c>
      <c r="F748" s="967"/>
    </row>
    <row r="749" spans="1:6">
      <c r="A749" s="1018"/>
      <c r="B749" s="978"/>
      <c r="C749" s="1753" t="s">
        <v>3168</v>
      </c>
      <c r="D749" s="1756" t="s">
        <v>3169</v>
      </c>
      <c r="E749" s="1013" t="s">
        <v>164</v>
      </c>
      <c r="F749" s="967"/>
    </row>
    <row r="750" spans="1:6">
      <c r="A750" s="1018"/>
      <c r="B750" s="978"/>
      <c r="C750" s="1023" t="s">
        <v>3170</v>
      </c>
      <c r="D750" s="1756" t="s">
        <v>3171</v>
      </c>
      <c r="E750" s="1013" t="s">
        <v>512</v>
      </c>
      <c r="F750" s="967"/>
    </row>
    <row r="751" spans="1:6">
      <c r="A751" s="1018"/>
      <c r="B751" s="978"/>
      <c r="C751" s="1752" t="s">
        <v>3172</v>
      </c>
      <c r="D751" s="1756" t="s">
        <v>3173</v>
      </c>
      <c r="E751" s="1013" t="s">
        <v>420</v>
      </c>
      <c r="F751" s="967"/>
    </row>
    <row r="752" spans="1:6">
      <c r="A752" s="1005"/>
      <c r="B752" s="978"/>
      <c r="C752" s="1019" t="s">
        <v>3174</v>
      </c>
      <c r="D752" s="1739" t="s">
        <v>3175</v>
      </c>
      <c r="E752" s="1013" t="s">
        <v>2122</v>
      </c>
      <c r="F752" s="967"/>
    </row>
    <row r="753" spans="1:6">
      <c r="A753" s="1018"/>
      <c r="B753" s="978"/>
      <c r="C753" s="1752" t="s">
        <v>3176</v>
      </c>
      <c r="D753" s="1756" t="s">
        <v>3177</v>
      </c>
      <c r="E753" s="1013" t="s">
        <v>3072</v>
      </c>
      <c r="F753" s="967"/>
    </row>
    <row r="754" spans="1:6">
      <c r="A754" s="1018"/>
      <c r="B754" s="978"/>
      <c r="C754" s="1752" t="s">
        <v>3178</v>
      </c>
      <c r="D754" s="1756" t="s">
        <v>3179</v>
      </c>
      <c r="E754" s="1013" t="s">
        <v>192</v>
      </c>
      <c r="F754" s="967"/>
    </row>
    <row r="755" spans="1:6">
      <c r="A755" s="1018"/>
      <c r="B755" s="978"/>
      <c r="C755" s="1019" t="s">
        <v>3180</v>
      </c>
      <c r="D755" s="1756" t="s">
        <v>3181</v>
      </c>
      <c r="E755" s="1013" t="s">
        <v>192</v>
      </c>
      <c r="F755" s="967"/>
    </row>
    <row r="756" spans="1:6">
      <c r="A756" s="1018"/>
      <c r="B756" s="978"/>
      <c r="C756" s="1752" t="s">
        <v>3182</v>
      </c>
      <c r="D756" s="1756" t="s">
        <v>3183</v>
      </c>
      <c r="E756" s="1013" t="s">
        <v>3184</v>
      </c>
      <c r="F756" s="967"/>
    </row>
    <row r="757" spans="1:6">
      <c r="A757" s="1018"/>
      <c r="B757" s="978"/>
      <c r="C757" s="1019" t="s">
        <v>3185</v>
      </c>
      <c r="D757" s="980">
        <v>16023</v>
      </c>
      <c r="E757" s="1013" t="s">
        <v>3186</v>
      </c>
      <c r="F757" s="967"/>
    </row>
    <row r="758" spans="1:6">
      <c r="A758" s="1018"/>
      <c r="B758" s="978"/>
      <c r="C758" s="1752" t="s">
        <v>3187</v>
      </c>
      <c r="D758" s="1756" t="s">
        <v>3188</v>
      </c>
      <c r="E758" s="1013" t="s">
        <v>164</v>
      </c>
      <c r="F758" s="967"/>
    </row>
    <row r="759" spans="1:6">
      <c r="A759" s="1005"/>
      <c r="B759" s="978"/>
      <c r="C759" s="1753" t="s">
        <v>3189</v>
      </c>
      <c r="D759" s="1739" t="s">
        <v>3190</v>
      </c>
      <c r="E759" s="1013" t="s">
        <v>164</v>
      </c>
      <c r="F759" s="967"/>
    </row>
    <row r="760" spans="1:6">
      <c r="A760" s="1005"/>
      <c r="B760" s="978"/>
      <c r="C760" s="1753" t="s">
        <v>3191</v>
      </c>
      <c r="D760" s="1739" t="s">
        <v>3192</v>
      </c>
      <c r="E760" s="1013" t="s">
        <v>512</v>
      </c>
      <c r="F760" s="967"/>
    </row>
    <row r="761" spans="1:6">
      <c r="A761" s="1005"/>
      <c r="B761" s="978"/>
      <c r="C761" s="1019" t="s">
        <v>3193</v>
      </c>
      <c r="D761" s="1739" t="s">
        <v>3194</v>
      </c>
      <c r="E761" s="1013"/>
      <c r="F761" s="967"/>
    </row>
    <row r="762" spans="1:6">
      <c r="A762" s="1005"/>
      <c r="B762" s="978"/>
      <c r="C762" s="1019" t="s">
        <v>3195</v>
      </c>
      <c r="D762" s="990"/>
      <c r="E762" s="1013" t="s">
        <v>347</v>
      </c>
      <c r="F762" s="967"/>
    </row>
    <row r="763" spans="1:6">
      <c r="A763" s="1018"/>
      <c r="B763" s="990"/>
      <c r="C763" s="1019" t="s">
        <v>3196</v>
      </c>
      <c r="D763" s="980">
        <v>594199</v>
      </c>
      <c r="E763" s="1013" t="s">
        <v>347</v>
      </c>
      <c r="F763" s="967"/>
    </row>
    <row r="764" spans="1:6">
      <c r="A764" s="1018"/>
      <c r="B764" s="990"/>
      <c r="C764" s="1019" t="s">
        <v>3197</v>
      </c>
      <c r="D764" s="980">
        <v>594480</v>
      </c>
      <c r="E764" s="1013" t="s">
        <v>3186</v>
      </c>
      <c r="F764" s="967"/>
    </row>
    <row r="765" spans="1:6">
      <c r="A765" s="1018"/>
      <c r="B765" s="990"/>
      <c r="C765" s="1752" t="s">
        <v>3198</v>
      </c>
      <c r="D765" s="1756" t="s">
        <v>3199</v>
      </c>
      <c r="E765" s="1013" t="s">
        <v>498</v>
      </c>
      <c r="F765" s="967"/>
    </row>
    <row r="766" spans="1:6">
      <c r="A766" s="1018"/>
      <c r="B766" s="990"/>
      <c r="C766" s="1752" t="s">
        <v>3200</v>
      </c>
      <c r="D766" s="1756" t="s">
        <v>3201</v>
      </c>
      <c r="E766" s="1013" t="s">
        <v>164</v>
      </c>
      <c r="F766" s="967"/>
    </row>
    <row r="767" spans="1:6">
      <c r="A767" s="1018"/>
      <c r="B767" s="990"/>
      <c r="C767" s="1023" t="s">
        <v>3202</v>
      </c>
      <c r="D767" s="1756" t="s">
        <v>3203</v>
      </c>
      <c r="E767" s="1013" t="s">
        <v>164</v>
      </c>
      <c r="F767" s="967"/>
    </row>
    <row r="768" spans="1:6">
      <c r="A768" s="1005"/>
      <c r="B768" s="990"/>
      <c r="C768" s="1023" t="s">
        <v>3204</v>
      </c>
      <c r="D768" s="1739" t="s">
        <v>3205</v>
      </c>
      <c r="E768" s="1013" t="s">
        <v>164</v>
      </c>
      <c r="F768" s="967"/>
    </row>
    <row r="769" spans="1:6">
      <c r="A769" s="1005"/>
      <c r="B769" s="990"/>
      <c r="C769" s="1023" t="s">
        <v>3206</v>
      </c>
      <c r="D769" s="1739" t="s">
        <v>3207</v>
      </c>
      <c r="E769" s="1013" t="s">
        <v>164</v>
      </c>
      <c r="F769" s="967"/>
    </row>
    <row r="770" spans="1:6">
      <c r="A770" s="1005"/>
      <c r="B770" s="990"/>
      <c r="C770" s="1023" t="s">
        <v>3208</v>
      </c>
      <c r="D770" s="1739" t="s">
        <v>3209</v>
      </c>
      <c r="E770" s="1013" t="s">
        <v>164</v>
      </c>
      <c r="F770" s="967"/>
    </row>
    <row r="771" spans="1:6">
      <c r="A771" s="1005"/>
      <c r="B771" s="990"/>
      <c r="C771" s="1023" t="s">
        <v>3210</v>
      </c>
      <c r="D771" s="1739" t="s">
        <v>3211</v>
      </c>
      <c r="E771" s="1013" t="s">
        <v>164</v>
      </c>
      <c r="F771" s="967"/>
    </row>
    <row r="772" spans="1:6">
      <c r="A772" s="1005"/>
      <c r="B772" s="990"/>
      <c r="C772" s="1753" t="s">
        <v>3212</v>
      </c>
      <c r="D772" s="1739" t="s">
        <v>3213</v>
      </c>
      <c r="E772" s="1013" t="s">
        <v>2658</v>
      </c>
      <c r="F772" s="967"/>
    </row>
    <row r="773" spans="1:6">
      <c r="A773" s="1005"/>
      <c r="B773" s="990"/>
      <c r="C773" s="1019" t="s">
        <v>3214</v>
      </c>
      <c r="D773" s="1739" t="s">
        <v>3215</v>
      </c>
      <c r="E773" s="1013" t="s">
        <v>332</v>
      </c>
      <c r="F773" s="967"/>
    </row>
    <row r="774" spans="1:6">
      <c r="A774" s="1005"/>
      <c r="B774" s="990"/>
      <c r="C774" s="1019" t="s">
        <v>3216</v>
      </c>
      <c r="D774" s="1739" t="s">
        <v>3217</v>
      </c>
      <c r="E774" s="1013" t="s">
        <v>2658</v>
      </c>
      <c r="F774" s="967"/>
    </row>
    <row r="775" spans="1:6">
      <c r="A775" s="1034"/>
      <c r="B775" s="990"/>
      <c r="C775" s="1752" t="s">
        <v>3218</v>
      </c>
      <c r="D775" s="1739" t="s">
        <v>3219</v>
      </c>
      <c r="E775" s="1013" t="s">
        <v>420</v>
      </c>
      <c r="F775" s="968"/>
    </row>
    <row r="776" spans="1:6">
      <c r="A776" s="1005"/>
      <c r="B776" s="990"/>
      <c r="C776" s="1019" t="s">
        <v>3220</v>
      </c>
      <c r="D776" s="1739" t="s">
        <v>3221</v>
      </c>
      <c r="E776" s="1013" t="s">
        <v>420</v>
      </c>
      <c r="F776" s="967"/>
    </row>
    <row r="777" spans="1:6">
      <c r="A777" s="1034"/>
      <c r="B777" s="990"/>
      <c r="C777" s="1752" t="s">
        <v>3222</v>
      </c>
      <c r="D777" s="1739" t="s">
        <v>3223</v>
      </c>
      <c r="E777" s="1013" t="s">
        <v>420</v>
      </c>
      <c r="F777" s="968"/>
    </row>
    <row r="778" spans="1:6">
      <c r="A778" s="1005"/>
      <c r="B778" s="990"/>
      <c r="C778" s="1019" t="s">
        <v>3224</v>
      </c>
      <c r="D778" s="1739" t="s">
        <v>3225</v>
      </c>
      <c r="E778" s="1013" t="s">
        <v>1922</v>
      </c>
      <c r="F778" s="967"/>
    </row>
    <row r="779" spans="1:6">
      <c r="A779" s="1005"/>
      <c r="B779" s="990"/>
      <c r="C779" s="1019" t="s">
        <v>3226</v>
      </c>
      <c r="D779" s="1739" t="s">
        <v>3227</v>
      </c>
      <c r="E779" s="1013" t="s">
        <v>1922</v>
      </c>
      <c r="F779" s="967"/>
    </row>
    <row r="780" spans="1:6">
      <c r="A780" s="1005"/>
      <c r="B780" s="990"/>
      <c r="C780" s="1019" t="s">
        <v>3228</v>
      </c>
      <c r="D780" s="1739" t="s">
        <v>3229</v>
      </c>
      <c r="E780" s="1013" t="s">
        <v>164</v>
      </c>
      <c r="F780" s="967"/>
    </row>
    <row r="781" spans="1:6">
      <c r="A781" s="1005"/>
      <c r="B781" s="990"/>
      <c r="C781" s="1023" t="s">
        <v>3230</v>
      </c>
      <c r="D781" s="1739" t="s">
        <v>3231</v>
      </c>
      <c r="E781" s="1013" t="s">
        <v>332</v>
      </c>
      <c r="F781" s="967"/>
    </row>
    <row r="782" spans="1:6">
      <c r="A782" s="1005"/>
      <c r="B782" s="990"/>
      <c r="C782" s="1019" t="s">
        <v>3232</v>
      </c>
      <c r="D782" s="1739" t="s">
        <v>3233</v>
      </c>
      <c r="E782" s="1013" t="s">
        <v>512</v>
      </c>
      <c r="F782" s="967"/>
    </row>
    <row r="783" spans="1:6">
      <c r="A783" s="1018"/>
      <c r="B783" s="990"/>
      <c r="C783" s="1752" t="s">
        <v>3234</v>
      </c>
      <c r="D783" s="1756" t="s">
        <v>3235</v>
      </c>
      <c r="E783" s="1013" t="s">
        <v>2446</v>
      </c>
      <c r="F783" s="967"/>
    </row>
    <row r="784" spans="1:6">
      <c r="A784" s="1018"/>
      <c r="B784" s="990"/>
      <c r="C784" s="1019" t="s">
        <v>3236</v>
      </c>
      <c r="D784" s="1756" t="s">
        <v>3237</v>
      </c>
      <c r="E784" s="1013" t="s">
        <v>1851</v>
      </c>
      <c r="F784" s="967"/>
    </row>
    <row r="785" spans="1:6">
      <c r="A785" s="1018"/>
      <c r="B785" s="990"/>
      <c r="C785" s="1752" t="s">
        <v>3238</v>
      </c>
      <c r="D785" s="1756" t="s">
        <v>3239</v>
      </c>
      <c r="E785" s="1013" t="s">
        <v>420</v>
      </c>
      <c r="F785" s="967"/>
    </row>
    <row r="786" spans="1:6">
      <c r="A786" s="1034"/>
      <c r="B786" s="990"/>
      <c r="C786" s="1752" t="s">
        <v>3240</v>
      </c>
      <c r="D786" s="1739" t="s">
        <v>3241</v>
      </c>
      <c r="E786" s="1013" t="s">
        <v>164</v>
      </c>
      <c r="F786" s="968"/>
    </row>
    <row r="787" spans="1:6">
      <c r="A787" s="1018"/>
      <c r="B787" s="990"/>
      <c r="C787" s="1753" t="s">
        <v>3191</v>
      </c>
      <c r="D787" s="980" t="s">
        <v>3242</v>
      </c>
      <c r="E787" s="1013" t="s">
        <v>164</v>
      </c>
      <c r="F787" s="967"/>
    </row>
    <row r="788" spans="1:6">
      <c r="A788" s="1018"/>
      <c r="B788" s="990"/>
      <c r="C788" s="1753" t="s">
        <v>3189</v>
      </c>
      <c r="D788" s="980" t="s">
        <v>3243</v>
      </c>
      <c r="E788" s="1013" t="s">
        <v>420</v>
      </c>
      <c r="F788" s="967"/>
    </row>
    <row r="789" spans="1:6">
      <c r="A789" s="1018"/>
      <c r="B789" s="990"/>
      <c r="C789" s="1752" t="s">
        <v>3244</v>
      </c>
      <c r="D789" s="1756" t="s">
        <v>3245</v>
      </c>
      <c r="E789" s="1013" t="s">
        <v>164</v>
      </c>
      <c r="F789" s="967"/>
    </row>
    <row r="790" spans="1:6">
      <c r="A790" s="1018"/>
      <c r="B790" s="978"/>
      <c r="C790" s="1753" t="s">
        <v>3246</v>
      </c>
      <c r="D790" s="1756" t="s">
        <v>3247</v>
      </c>
      <c r="E790" s="1013" t="s">
        <v>3248</v>
      </c>
      <c r="F790" s="967"/>
    </row>
    <row r="791" spans="1:6">
      <c r="A791" s="1034"/>
      <c r="B791" s="978"/>
      <c r="C791" s="1752" t="s">
        <v>3249</v>
      </c>
      <c r="D791" s="1739" t="s">
        <v>3250</v>
      </c>
      <c r="E791" s="1013" t="s">
        <v>164</v>
      </c>
      <c r="F791" s="968"/>
    </row>
    <row r="792" spans="1:6">
      <c r="A792" s="1034"/>
      <c r="B792" s="978"/>
      <c r="C792" s="1753" t="s">
        <v>3251</v>
      </c>
      <c r="D792" s="1739" t="s">
        <v>3252</v>
      </c>
      <c r="E792" s="1013" t="s">
        <v>164</v>
      </c>
      <c r="F792" s="968"/>
    </row>
    <row r="793" spans="1:6">
      <c r="A793" s="1034"/>
      <c r="B793" s="978"/>
      <c r="C793" s="1752" t="s">
        <v>3253</v>
      </c>
      <c r="D793" s="1739" t="s">
        <v>3254</v>
      </c>
      <c r="E793" s="1013" t="s">
        <v>340</v>
      </c>
      <c r="F793" s="968"/>
    </row>
    <row r="794" spans="1:6">
      <c r="A794" s="1034"/>
      <c r="B794" s="978"/>
      <c r="C794" s="1752" t="s">
        <v>3255</v>
      </c>
      <c r="D794" s="1739" t="s">
        <v>3256</v>
      </c>
      <c r="E794" s="1013" t="s">
        <v>420</v>
      </c>
      <c r="F794" s="968"/>
    </row>
    <row r="795" spans="1:6">
      <c r="A795" s="1018"/>
      <c r="B795" s="978"/>
      <c r="C795" s="1752" t="s">
        <v>3257</v>
      </c>
      <c r="D795" s="1756" t="s">
        <v>3258</v>
      </c>
      <c r="E795" s="1013" t="s">
        <v>164</v>
      </c>
      <c r="F795" s="967"/>
    </row>
    <row r="796" spans="1:6">
      <c r="A796" s="1034"/>
      <c r="B796" s="978"/>
      <c r="C796" s="1753" t="s">
        <v>3259</v>
      </c>
      <c r="D796" s="1739" t="s">
        <v>3260</v>
      </c>
      <c r="E796" s="1013" t="s">
        <v>383</v>
      </c>
      <c r="F796" s="968"/>
    </row>
    <row r="797" spans="1:6">
      <c r="A797" s="1018"/>
      <c r="B797" s="978"/>
      <c r="C797" s="1752" t="s">
        <v>3261</v>
      </c>
      <c r="D797" s="1756" t="s">
        <v>3262</v>
      </c>
      <c r="E797" s="1013" t="s">
        <v>1922</v>
      </c>
      <c r="F797" s="967"/>
    </row>
    <row r="798" spans="1:6">
      <c r="A798" s="1018"/>
      <c r="B798" s="978"/>
      <c r="C798" s="1752" t="s">
        <v>3263</v>
      </c>
      <c r="D798" s="1756" t="s">
        <v>3264</v>
      </c>
      <c r="E798" s="1013"/>
      <c r="F798" s="967"/>
    </row>
    <row r="799" spans="1:6">
      <c r="A799" s="1034"/>
      <c r="B799" s="978"/>
      <c r="C799" s="1752" t="s">
        <v>3265</v>
      </c>
      <c r="D799" s="990"/>
      <c r="E799" s="1013" t="s">
        <v>420</v>
      </c>
      <c r="F799" s="968"/>
    </row>
    <row r="800" spans="1:6">
      <c r="A800" s="1018"/>
      <c r="B800" s="978"/>
      <c r="C800" s="1019" t="s">
        <v>3266</v>
      </c>
      <c r="D800" s="1756" t="s">
        <v>3267</v>
      </c>
      <c r="E800" s="1013" t="s">
        <v>2446</v>
      </c>
      <c r="F800" s="967"/>
    </row>
    <row r="801" spans="1:6">
      <c r="A801" s="1018"/>
      <c r="B801" s="978"/>
      <c r="C801" s="1019" t="s">
        <v>3268</v>
      </c>
      <c r="D801" s="1756" t="s">
        <v>3269</v>
      </c>
      <c r="E801" s="1013" t="s">
        <v>3150</v>
      </c>
      <c r="F801" s="967"/>
    </row>
    <row r="802" spans="1:6">
      <c r="A802" s="1018"/>
      <c r="B802" s="978"/>
      <c r="C802" s="1752" t="s">
        <v>3270</v>
      </c>
      <c r="D802" s="1756" t="s">
        <v>3271</v>
      </c>
      <c r="E802" s="1013" t="s">
        <v>3150</v>
      </c>
      <c r="F802" s="967"/>
    </row>
    <row r="803" spans="1:6">
      <c r="A803" s="1018"/>
      <c r="B803" s="978"/>
      <c r="C803" s="1752" t="s">
        <v>3272</v>
      </c>
      <c r="D803" s="1756" t="s">
        <v>3273</v>
      </c>
      <c r="E803" s="1013" t="s">
        <v>579</v>
      </c>
      <c r="F803" s="967"/>
    </row>
    <row r="804" spans="1:6">
      <c r="A804" s="1018"/>
      <c r="B804" s="978"/>
      <c r="C804" s="1752" t="s">
        <v>3274</v>
      </c>
      <c r="D804" s="1756" t="s">
        <v>3275</v>
      </c>
      <c r="E804" s="1013" t="s">
        <v>3276</v>
      </c>
      <c r="F804" s="967"/>
    </row>
    <row r="805" spans="1:6">
      <c r="A805" s="1018"/>
      <c r="B805" s="978"/>
      <c r="C805" s="1752" t="s">
        <v>3277</v>
      </c>
      <c r="D805" s="1756" t="s">
        <v>3278</v>
      </c>
      <c r="E805" s="1013" t="s">
        <v>332</v>
      </c>
      <c r="F805" s="967"/>
    </row>
    <row r="806" spans="1:6">
      <c r="A806" s="1018"/>
      <c r="B806" s="978"/>
      <c r="C806" s="1752" t="s">
        <v>3279</v>
      </c>
      <c r="D806" s="1756" t="s">
        <v>3280</v>
      </c>
      <c r="E806" s="1013" t="s">
        <v>177</v>
      </c>
      <c r="F806" s="967"/>
    </row>
    <row r="807" spans="1:6">
      <c r="A807" s="1018"/>
      <c r="B807" s="978"/>
      <c r="C807" s="1752" t="s">
        <v>3281</v>
      </c>
      <c r="D807" s="1756" t="s">
        <v>3282</v>
      </c>
      <c r="E807" s="1013" t="s">
        <v>420</v>
      </c>
      <c r="F807" s="967"/>
    </row>
    <row r="808" spans="1:6">
      <c r="A808" s="1018"/>
      <c r="B808" s="978"/>
      <c r="C808" s="1019" t="s">
        <v>3283</v>
      </c>
      <c r="D808" s="1756" t="s">
        <v>3284</v>
      </c>
      <c r="E808" s="1013" t="s">
        <v>2122</v>
      </c>
      <c r="F808" s="967"/>
    </row>
    <row r="809" spans="1:6">
      <c r="A809" s="1018"/>
      <c r="B809" s="978"/>
      <c r="C809" s="1752" t="s">
        <v>3285</v>
      </c>
      <c r="D809" s="1756" t="s">
        <v>3286</v>
      </c>
      <c r="E809" s="1013" t="s">
        <v>162</v>
      </c>
      <c r="F809" s="967"/>
    </row>
    <row r="810" spans="1:6">
      <c r="A810" s="1018"/>
      <c r="B810" s="978"/>
      <c r="C810" s="1763" t="s">
        <v>3287</v>
      </c>
      <c r="D810" s="980" t="s">
        <v>3288</v>
      </c>
      <c r="E810" s="1013" t="s">
        <v>287</v>
      </c>
      <c r="F810" s="967"/>
    </row>
    <row r="811" spans="1:6">
      <c r="A811" s="1018"/>
      <c r="B811" s="978"/>
      <c r="C811" s="1763" t="s">
        <v>3289</v>
      </c>
      <c r="D811" s="980" t="s">
        <v>3290</v>
      </c>
      <c r="E811" s="1013" t="s">
        <v>3291</v>
      </c>
      <c r="F811" s="967"/>
    </row>
    <row r="812" spans="1:6">
      <c r="A812" s="1018"/>
      <c r="B812" s="978"/>
      <c r="C812" s="1763" t="s">
        <v>3292</v>
      </c>
      <c r="D812" s="980" t="s">
        <v>3293</v>
      </c>
      <c r="E812" s="1764" t="s">
        <v>3294</v>
      </c>
      <c r="F812" s="967"/>
    </row>
    <row r="813" spans="1:6">
      <c r="A813" s="1018"/>
      <c r="B813" s="978"/>
      <c r="C813" s="1752" t="s">
        <v>3295</v>
      </c>
      <c r="D813" s="1033" t="s">
        <v>3296</v>
      </c>
      <c r="E813" s="1038" t="s">
        <v>3276</v>
      </c>
      <c r="F813" s="967"/>
    </row>
    <row r="814" spans="1:6">
      <c r="A814" s="1018"/>
      <c r="B814" s="978"/>
      <c r="C814" s="1752" t="s">
        <v>3297</v>
      </c>
      <c r="D814" s="1756" t="s">
        <v>3298</v>
      </c>
      <c r="E814" s="1013" t="s">
        <v>164</v>
      </c>
      <c r="F814" s="967"/>
    </row>
    <row r="815" spans="1:6">
      <c r="A815" s="1018"/>
      <c r="B815" s="978"/>
      <c r="C815" s="1023" t="s">
        <v>3299</v>
      </c>
      <c r="D815" s="1756" t="s">
        <v>3300</v>
      </c>
      <c r="E815" s="1013" t="s">
        <v>164</v>
      </c>
      <c r="F815" s="967"/>
    </row>
    <row r="816" spans="1:6">
      <c r="A816" s="1018"/>
      <c r="B816" s="978"/>
      <c r="C816" s="1023" t="s">
        <v>3301</v>
      </c>
      <c r="D816" s="1756" t="s">
        <v>3302</v>
      </c>
      <c r="E816" s="1013" t="s">
        <v>164</v>
      </c>
      <c r="F816" s="967"/>
    </row>
    <row r="817" spans="1:6">
      <c r="A817" s="1018"/>
      <c r="B817" s="978"/>
      <c r="C817" s="1023" t="s">
        <v>3303</v>
      </c>
      <c r="D817" s="1756" t="s">
        <v>3302</v>
      </c>
      <c r="E817" s="1013" t="s">
        <v>164</v>
      </c>
      <c r="F817" s="967"/>
    </row>
    <row r="818" spans="1:6">
      <c r="A818" s="1018"/>
      <c r="B818" s="978"/>
      <c r="C818" s="1023" t="s">
        <v>3304</v>
      </c>
      <c r="D818" s="1756" t="s">
        <v>3305</v>
      </c>
      <c r="E818" s="1013" t="s">
        <v>164</v>
      </c>
      <c r="F818" s="967"/>
    </row>
    <row r="819" spans="1:6">
      <c r="A819" s="1018"/>
      <c r="B819" s="978"/>
      <c r="C819" s="1023" t="s">
        <v>3306</v>
      </c>
      <c r="D819" s="1756" t="s">
        <v>3307</v>
      </c>
      <c r="E819" s="1013" t="s">
        <v>347</v>
      </c>
      <c r="F819" s="967"/>
    </row>
    <row r="820" spans="1:6">
      <c r="A820" s="1018"/>
      <c r="B820" s="978"/>
      <c r="C820" s="1019" t="s">
        <v>3308</v>
      </c>
      <c r="D820" s="980">
        <v>557657</v>
      </c>
      <c r="E820" s="1013" t="s">
        <v>3309</v>
      </c>
      <c r="F820" s="967"/>
    </row>
    <row r="821" spans="1:6">
      <c r="A821" s="1018"/>
      <c r="B821" s="978"/>
      <c r="C821" s="1752" t="s">
        <v>3310</v>
      </c>
      <c r="D821" s="980">
        <v>1667394988</v>
      </c>
      <c r="E821" s="1013" t="s">
        <v>2658</v>
      </c>
      <c r="F821" s="967"/>
    </row>
    <row r="822" spans="1:6">
      <c r="A822" s="1018"/>
      <c r="B822" s="978"/>
      <c r="C822" s="1734" t="s">
        <v>3311</v>
      </c>
      <c r="D822" s="1756" t="s">
        <v>3312</v>
      </c>
      <c r="E822" s="1013" t="s">
        <v>420</v>
      </c>
      <c r="F822" s="967"/>
    </row>
    <row r="823" spans="1:6">
      <c r="A823" s="1018"/>
      <c r="B823" s="978"/>
      <c r="C823" s="1019" t="s">
        <v>3313</v>
      </c>
      <c r="D823" s="1756" t="s">
        <v>3314</v>
      </c>
      <c r="E823" s="1013" t="s">
        <v>2446</v>
      </c>
      <c r="F823" s="967"/>
    </row>
    <row r="824" spans="1:6">
      <c r="A824" s="1018"/>
      <c r="B824" s="978"/>
      <c r="C824" s="1019" t="s">
        <v>3315</v>
      </c>
      <c r="D824" s="1756" t="s">
        <v>3316</v>
      </c>
      <c r="E824" s="1013" t="s">
        <v>332</v>
      </c>
      <c r="F824" s="967"/>
    </row>
    <row r="825" spans="1:6">
      <c r="A825" s="1018"/>
      <c r="B825" s="978"/>
      <c r="C825" s="1019" t="s">
        <v>3317</v>
      </c>
      <c r="D825" s="1756" t="s">
        <v>3318</v>
      </c>
      <c r="E825" s="1013" t="s">
        <v>3319</v>
      </c>
      <c r="F825" s="967"/>
    </row>
    <row r="826" spans="1:6">
      <c r="A826" s="1018"/>
      <c r="B826" s="978"/>
      <c r="C826" s="1019" t="s">
        <v>3320</v>
      </c>
      <c r="D826" s="1756" t="s">
        <v>3321</v>
      </c>
      <c r="E826" s="1038" t="s">
        <v>2446</v>
      </c>
      <c r="F826" s="967"/>
    </row>
    <row r="827" spans="1:6">
      <c r="A827" s="1018"/>
      <c r="B827" s="978"/>
      <c r="C827" s="1752" t="s">
        <v>3322</v>
      </c>
      <c r="D827" s="1756" t="s">
        <v>3323</v>
      </c>
      <c r="E827" s="1013" t="s">
        <v>164</v>
      </c>
      <c r="F827" s="967"/>
    </row>
    <row r="828" spans="1:6">
      <c r="A828" s="1018"/>
      <c r="B828" s="978"/>
      <c r="C828" s="1753" t="s">
        <v>3324</v>
      </c>
      <c r="D828" s="1756" t="s">
        <v>3325</v>
      </c>
      <c r="E828" s="1013" t="s">
        <v>420</v>
      </c>
      <c r="F828" s="967"/>
    </row>
    <row r="829" spans="1:6">
      <c r="A829" s="1018"/>
      <c r="B829" s="978"/>
      <c r="C829" s="1752" t="s">
        <v>3326</v>
      </c>
      <c r="D829" s="980" t="s">
        <v>3327</v>
      </c>
      <c r="E829" s="1013" t="s">
        <v>2907</v>
      </c>
      <c r="F829" s="967"/>
    </row>
    <row r="830" spans="1:6">
      <c r="A830" s="1018"/>
      <c r="B830" s="978"/>
      <c r="C830" s="1752" t="s">
        <v>3328</v>
      </c>
      <c r="D830" s="1033" t="s">
        <v>3329</v>
      </c>
      <c r="E830" s="1013" t="s">
        <v>512</v>
      </c>
      <c r="F830" s="967"/>
    </row>
    <row r="831" spans="1:6">
      <c r="A831" s="1018"/>
      <c r="B831" s="978"/>
      <c r="C831" s="1019" t="s">
        <v>3330</v>
      </c>
      <c r="D831" s="1756" t="s">
        <v>3331</v>
      </c>
      <c r="E831" s="1038" t="s">
        <v>3276</v>
      </c>
      <c r="F831" s="967"/>
    </row>
    <row r="832" spans="1:6">
      <c r="A832" s="1018"/>
      <c r="B832" s="978"/>
      <c r="C832" s="1752" t="s">
        <v>3332</v>
      </c>
      <c r="D832" s="1033" t="s">
        <v>3333</v>
      </c>
      <c r="E832" s="1013" t="s">
        <v>512</v>
      </c>
      <c r="F832" s="967"/>
    </row>
    <row r="833" spans="1:6">
      <c r="A833" s="1018"/>
      <c r="B833" s="978"/>
      <c r="C833" s="1752" t="s">
        <v>3334</v>
      </c>
      <c r="D833" s="1756" t="s">
        <v>3335</v>
      </c>
      <c r="E833" s="1013" t="s">
        <v>512</v>
      </c>
      <c r="F833" s="967"/>
    </row>
    <row r="834" spans="1:6">
      <c r="A834" s="1018"/>
      <c r="B834" s="978"/>
      <c r="C834" s="1019" t="s">
        <v>3336</v>
      </c>
      <c r="D834" s="1756" t="s">
        <v>3337</v>
      </c>
      <c r="E834" s="1013" t="s">
        <v>164</v>
      </c>
      <c r="F834" s="967"/>
    </row>
    <row r="835" spans="1:6">
      <c r="A835" s="1018"/>
      <c r="B835" s="978"/>
      <c r="C835" s="1023" t="s">
        <v>3338</v>
      </c>
      <c r="D835" s="1756" t="s">
        <v>3339</v>
      </c>
      <c r="E835" s="1013" t="s">
        <v>420</v>
      </c>
      <c r="F835" s="967"/>
    </row>
    <row r="836" spans="1:6">
      <c r="A836" s="1018"/>
      <c r="B836" s="978"/>
      <c r="C836" s="1752" t="s">
        <v>3340</v>
      </c>
      <c r="D836" s="1756" t="s">
        <v>3341</v>
      </c>
      <c r="E836" s="1013" t="s">
        <v>164</v>
      </c>
      <c r="F836" s="967"/>
    </row>
    <row r="837" spans="1:6">
      <c r="A837" s="1018"/>
      <c r="B837" s="978"/>
      <c r="C837" s="1753" t="s">
        <v>3342</v>
      </c>
      <c r="D837" s="1756" t="s">
        <v>3343</v>
      </c>
      <c r="E837" s="1013" t="s">
        <v>3344</v>
      </c>
      <c r="F837" s="967"/>
    </row>
    <row r="838" spans="1:6">
      <c r="A838" s="1018"/>
      <c r="B838" s="978"/>
      <c r="C838" s="1752" t="s">
        <v>3345</v>
      </c>
      <c r="D838" s="1756" t="s">
        <v>3346</v>
      </c>
      <c r="E838" s="1013" t="s">
        <v>420</v>
      </c>
      <c r="F838" s="967"/>
    </row>
    <row r="839" spans="1:6">
      <c r="A839" s="1018"/>
      <c r="B839" s="978"/>
      <c r="C839" s="1752" t="s">
        <v>3347</v>
      </c>
      <c r="D839" s="1756" t="s">
        <v>3348</v>
      </c>
      <c r="E839" s="1013" t="s">
        <v>3349</v>
      </c>
      <c r="F839" s="967"/>
    </row>
    <row r="840" spans="1:6">
      <c r="A840" s="1018"/>
      <c r="B840" s="978"/>
      <c r="C840" s="1752" t="s">
        <v>3350</v>
      </c>
      <c r="D840" s="1039" t="s">
        <v>3351</v>
      </c>
      <c r="E840" s="1013" t="s">
        <v>3352</v>
      </c>
      <c r="F840" s="967"/>
    </row>
    <row r="841" spans="1:6">
      <c r="A841" s="1018"/>
      <c r="B841" s="978"/>
      <c r="C841" s="1752" t="s">
        <v>3353</v>
      </c>
      <c r="D841" s="1756" t="s">
        <v>3354</v>
      </c>
      <c r="E841" s="1013" t="s">
        <v>420</v>
      </c>
      <c r="F841" s="967"/>
    </row>
    <row r="842" spans="1:6">
      <c r="A842" s="1018"/>
      <c r="B842" s="978"/>
      <c r="C842" s="1752" t="s">
        <v>3355</v>
      </c>
      <c r="D842" s="1756" t="s">
        <v>3356</v>
      </c>
      <c r="E842" s="1013" t="s">
        <v>420</v>
      </c>
      <c r="F842" s="967"/>
    </row>
    <row r="843" spans="1:6">
      <c r="A843" s="1018"/>
      <c r="B843" s="978"/>
      <c r="C843" s="1752" t="s">
        <v>3357</v>
      </c>
      <c r="D843" s="1756" t="s">
        <v>3358</v>
      </c>
      <c r="E843" s="1013" t="s">
        <v>3359</v>
      </c>
      <c r="F843" s="967"/>
    </row>
    <row r="844" spans="1:6">
      <c r="A844" s="1018"/>
      <c r="B844" s="978"/>
      <c r="C844" s="1752" t="s">
        <v>3360</v>
      </c>
      <c r="D844" s="980">
        <v>560488</v>
      </c>
      <c r="E844" s="1013" t="s">
        <v>164</v>
      </c>
      <c r="F844" s="967"/>
    </row>
    <row r="845" spans="1:6">
      <c r="A845" s="1018"/>
      <c r="B845" s="978"/>
      <c r="C845" s="1753" t="s">
        <v>3361</v>
      </c>
      <c r="D845" s="1039" t="s">
        <v>3362</v>
      </c>
      <c r="E845" s="1013" t="s">
        <v>2019</v>
      </c>
      <c r="F845" s="967"/>
    </row>
    <row r="846" spans="1:6">
      <c r="A846" s="1018"/>
      <c r="B846" s="978"/>
      <c r="C846" s="1752" t="s">
        <v>3363</v>
      </c>
      <c r="D846" s="1756" t="s">
        <v>3364</v>
      </c>
      <c r="E846" s="1013" t="s">
        <v>2019</v>
      </c>
      <c r="F846" s="967"/>
    </row>
    <row r="847" spans="1:6">
      <c r="A847" s="1018"/>
      <c r="B847" s="978"/>
      <c r="C847" s="1752" t="s">
        <v>3365</v>
      </c>
      <c r="D847" s="1756" t="s">
        <v>3366</v>
      </c>
      <c r="E847" s="1013"/>
      <c r="F847" s="967"/>
    </row>
    <row r="848" spans="1:6">
      <c r="A848" s="1018"/>
      <c r="B848" s="978"/>
      <c r="C848" s="1752" t="s">
        <v>3367</v>
      </c>
      <c r="D848" s="980"/>
      <c r="E848" s="1013"/>
      <c r="F848" s="967"/>
    </row>
    <row r="849" spans="1:6">
      <c r="A849" s="1018"/>
      <c r="B849" s="1040"/>
      <c r="C849" s="1752" t="s">
        <v>3367</v>
      </c>
      <c r="D849" s="980"/>
      <c r="E849" s="1013" t="s">
        <v>164</v>
      </c>
      <c r="F849" s="967"/>
    </row>
    <row r="850" spans="1:6">
      <c r="A850" s="1018"/>
      <c r="B850" s="1040"/>
      <c r="C850" s="1023" t="s">
        <v>3368</v>
      </c>
      <c r="D850" s="1765" t="s">
        <v>3369</v>
      </c>
      <c r="E850" s="1013" t="s">
        <v>164</v>
      </c>
      <c r="F850" s="967"/>
    </row>
    <row r="851" spans="1:6">
      <c r="A851" s="1018"/>
      <c r="B851" s="1040"/>
      <c r="C851" s="1023" t="s">
        <v>3370</v>
      </c>
      <c r="D851" s="990" t="s">
        <v>3371</v>
      </c>
      <c r="E851" s="1013" t="s">
        <v>164</v>
      </c>
      <c r="F851" s="967"/>
    </row>
    <row r="852" spans="1:6">
      <c r="A852" s="1018"/>
      <c r="B852" s="1040"/>
      <c r="C852" s="1753" t="s">
        <v>3372</v>
      </c>
      <c r="D852" s="1756" t="s">
        <v>3373</v>
      </c>
      <c r="E852" s="1013"/>
      <c r="F852" s="967"/>
    </row>
    <row r="853" spans="1:6">
      <c r="A853" s="1018"/>
      <c r="B853" s="1040"/>
      <c r="C853" s="1752" t="s">
        <v>3374</v>
      </c>
      <c r="D853" s="980"/>
      <c r="E853" s="1013" t="s">
        <v>164</v>
      </c>
      <c r="F853" s="967"/>
    </row>
    <row r="854" spans="1:6">
      <c r="A854" s="1018"/>
      <c r="B854" s="1040"/>
      <c r="C854" s="1752" t="s">
        <v>3375</v>
      </c>
      <c r="D854" s="980" t="s">
        <v>3376</v>
      </c>
      <c r="E854" s="1041" t="s">
        <v>2122</v>
      </c>
      <c r="F854" s="967"/>
    </row>
    <row r="855" spans="1:6">
      <c r="A855" s="1018"/>
      <c r="B855" s="1040"/>
      <c r="C855" s="1763" t="s">
        <v>3377</v>
      </c>
      <c r="D855" s="980" t="s">
        <v>3378</v>
      </c>
      <c r="E855" s="1013"/>
      <c r="F855" s="967"/>
    </row>
    <row r="856" spans="1:6">
      <c r="A856" s="1018"/>
      <c r="B856" s="1040"/>
      <c r="C856" s="1752" t="s">
        <v>3379</v>
      </c>
      <c r="D856" s="980"/>
      <c r="E856" s="1013" t="s">
        <v>332</v>
      </c>
      <c r="F856" s="967"/>
    </row>
    <row r="857" spans="1:6">
      <c r="A857" s="1018"/>
      <c r="B857" s="1040"/>
      <c r="C857" s="1752" t="s">
        <v>3380</v>
      </c>
      <c r="D857" s="1756" t="s">
        <v>3381</v>
      </c>
      <c r="E857" s="1013" t="s">
        <v>2658</v>
      </c>
      <c r="F857" s="967"/>
    </row>
    <row r="858" spans="1:6">
      <c r="A858" s="1018"/>
      <c r="B858" s="1040"/>
      <c r="C858" s="979" t="s">
        <v>3382</v>
      </c>
      <c r="D858" s="980" t="s">
        <v>3383</v>
      </c>
      <c r="E858" s="1013" t="s">
        <v>2658</v>
      </c>
      <c r="F858" s="967"/>
    </row>
    <row r="859" spans="1:6">
      <c r="A859" s="1018"/>
      <c r="B859" s="1040"/>
      <c r="C859" s="979" t="s">
        <v>3384</v>
      </c>
      <c r="D859" s="980" t="s">
        <v>3385</v>
      </c>
      <c r="E859" s="1013" t="s">
        <v>2658</v>
      </c>
      <c r="F859" s="967"/>
    </row>
    <row r="860" spans="1:6">
      <c r="A860" s="1018"/>
      <c r="B860" s="1040"/>
      <c r="C860" s="979" t="s">
        <v>3386</v>
      </c>
      <c r="D860" s="980" t="s">
        <v>3387</v>
      </c>
      <c r="E860" s="1013" t="s">
        <v>2658</v>
      </c>
      <c r="F860" s="967"/>
    </row>
    <row r="861" spans="1:6">
      <c r="A861" s="1018"/>
      <c r="B861" s="1040"/>
      <c r="C861" s="1734" t="s">
        <v>3388</v>
      </c>
      <c r="D861" s="980" t="s">
        <v>3389</v>
      </c>
      <c r="E861" s="1013" t="s">
        <v>2168</v>
      </c>
      <c r="F861" s="967"/>
    </row>
    <row r="862" spans="1:6">
      <c r="A862" s="1018"/>
      <c r="B862" s="1040"/>
      <c r="C862" s="1752" t="s">
        <v>3390</v>
      </c>
      <c r="D862" s="980" t="s">
        <v>3391</v>
      </c>
      <c r="E862" s="1013"/>
      <c r="F862" s="967"/>
    </row>
    <row r="863" spans="1:6">
      <c r="A863" s="1018"/>
      <c r="B863" s="1040"/>
      <c r="C863" s="1734" t="s">
        <v>3392</v>
      </c>
      <c r="D863" s="980" t="s">
        <v>3393</v>
      </c>
      <c r="E863" s="1013" t="s">
        <v>177</v>
      </c>
      <c r="F863" s="967"/>
    </row>
    <row r="864" spans="1:6">
      <c r="A864" s="1018"/>
      <c r="B864" s="1040"/>
      <c r="C864" s="1752" t="s">
        <v>3394</v>
      </c>
      <c r="D864" s="1033" t="s">
        <v>3395</v>
      </c>
      <c r="E864" s="1013" t="s">
        <v>2446</v>
      </c>
      <c r="F864" s="967"/>
    </row>
    <row r="865" spans="1:6">
      <c r="A865" s="1018"/>
      <c r="B865" s="980"/>
      <c r="C865" s="1752" t="s">
        <v>3396</v>
      </c>
      <c r="D865" s="980" t="s">
        <v>3397</v>
      </c>
      <c r="E865" s="1013" t="s">
        <v>1343</v>
      </c>
      <c r="F865" s="967"/>
    </row>
    <row r="866" spans="1:6">
      <c r="A866" s="1018"/>
      <c r="B866" s="980"/>
      <c r="C866" s="1752" t="s">
        <v>3398</v>
      </c>
      <c r="D866" s="980" t="s">
        <v>3399</v>
      </c>
      <c r="E866" s="1013" t="s">
        <v>162</v>
      </c>
      <c r="F866" s="967"/>
    </row>
    <row r="867" spans="1:6">
      <c r="A867" s="1018"/>
      <c r="B867" s="980"/>
      <c r="C867" s="1763" t="s">
        <v>3400</v>
      </c>
      <c r="D867" s="980" t="s">
        <v>3401</v>
      </c>
      <c r="E867" s="1013" t="s">
        <v>164</v>
      </c>
      <c r="F867" s="967"/>
    </row>
    <row r="868" spans="1:6">
      <c r="A868" s="1018"/>
      <c r="B868" s="980"/>
      <c r="C868" s="1752" t="s">
        <v>3402</v>
      </c>
      <c r="D868" s="980" t="s">
        <v>3403</v>
      </c>
      <c r="E868" s="1013" t="s">
        <v>340</v>
      </c>
      <c r="F868" s="967"/>
    </row>
    <row r="869" spans="1:6">
      <c r="A869" s="1018"/>
      <c r="B869" s="980"/>
      <c r="C869" s="1763" t="s">
        <v>3404</v>
      </c>
      <c r="D869" s="980" t="s">
        <v>3405</v>
      </c>
      <c r="E869" s="1013" t="s">
        <v>3406</v>
      </c>
      <c r="F869" s="967"/>
    </row>
    <row r="870" spans="1:6">
      <c r="A870" s="1018"/>
      <c r="B870" s="980"/>
      <c r="C870" s="1763" t="s">
        <v>3407</v>
      </c>
      <c r="D870" s="980" t="s">
        <v>3408</v>
      </c>
      <c r="E870" s="1013" t="s">
        <v>3276</v>
      </c>
      <c r="F870" s="967"/>
    </row>
    <row r="871" spans="1:6">
      <c r="A871" s="1018"/>
      <c r="B871" s="980"/>
      <c r="C871" s="1763" t="s">
        <v>3409</v>
      </c>
      <c r="D871" s="980" t="s">
        <v>3410</v>
      </c>
      <c r="E871" s="1013" t="s">
        <v>2658</v>
      </c>
      <c r="F871" s="967"/>
    </row>
    <row r="872" spans="1:6">
      <c r="A872" s="1018"/>
      <c r="B872" s="980"/>
      <c r="C872" s="979" t="s">
        <v>3411</v>
      </c>
      <c r="D872" s="980" t="s">
        <v>3412</v>
      </c>
      <c r="E872" s="1013" t="s">
        <v>2019</v>
      </c>
      <c r="F872" s="967"/>
    </row>
    <row r="873" spans="1:6">
      <c r="A873" s="1018"/>
      <c r="B873" s="980"/>
      <c r="C873" s="1763" t="s">
        <v>3413</v>
      </c>
      <c r="D873" s="980" t="s">
        <v>3414</v>
      </c>
      <c r="E873" s="1013" t="s">
        <v>3415</v>
      </c>
      <c r="F873" s="967"/>
    </row>
    <row r="874" spans="1:6">
      <c r="A874" s="1005"/>
      <c r="B874" s="1042"/>
      <c r="C874" s="995" t="s">
        <v>3416</v>
      </c>
      <c r="D874" s="980" t="s">
        <v>3417</v>
      </c>
      <c r="E874" s="1013" t="s">
        <v>162</v>
      </c>
      <c r="F874" s="967"/>
    </row>
    <row r="875" spans="1:6">
      <c r="A875" s="1018"/>
      <c r="B875" s="980"/>
      <c r="C875" s="1763" t="s">
        <v>3418</v>
      </c>
      <c r="D875" s="980" t="s">
        <v>3419</v>
      </c>
      <c r="E875" s="1013" t="s">
        <v>3420</v>
      </c>
      <c r="F875" s="967"/>
    </row>
    <row r="876" spans="1:6">
      <c r="A876" s="1018"/>
      <c r="B876" s="980"/>
      <c r="C876" s="1763" t="s">
        <v>3421</v>
      </c>
      <c r="D876" s="980" t="s">
        <v>3422</v>
      </c>
      <c r="E876" s="1013" t="s">
        <v>2658</v>
      </c>
      <c r="F876" s="967"/>
    </row>
    <row r="877" spans="1:6">
      <c r="A877" s="1018"/>
      <c r="B877" s="980"/>
      <c r="C877" s="979" t="s">
        <v>3423</v>
      </c>
      <c r="D877" s="980" t="s">
        <v>3424</v>
      </c>
      <c r="E877" s="1013" t="s">
        <v>162</v>
      </c>
      <c r="F877" s="967"/>
    </row>
    <row r="878" spans="1:6">
      <c r="A878" s="1018"/>
      <c r="B878" s="980"/>
      <c r="C878" s="995" t="s">
        <v>3425</v>
      </c>
      <c r="D878" s="980" t="s">
        <v>3426</v>
      </c>
      <c r="E878" s="1013" t="s">
        <v>3427</v>
      </c>
      <c r="F878" s="967"/>
    </row>
    <row r="879" spans="1:6">
      <c r="A879" s="1018"/>
      <c r="B879" s="980"/>
      <c r="C879" s="1763" t="s">
        <v>3428</v>
      </c>
      <c r="D879" s="980" t="s">
        <v>3429</v>
      </c>
      <c r="E879" s="1043" t="s">
        <v>1925</v>
      </c>
      <c r="F879" s="967"/>
    </row>
    <row r="880" spans="1:6">
      <c r="A880" s="1018"/>
      <c r="B880" s="1044"/>
      <c r="C880" s="1045" t="s">
        <v>3430</v>
      </c>
      <c r="D880" s="1044">
        <v>105157</v>
      </c>
      <c r="E880" s="1043" t="s">
        <v>162</v>
      </c>
      <c r="F880" s="967"/>
    </row>
    <row r="881" spans="1:6">
      <c r="A881" s="1018"/>
      <c r="B881" s="1044"/>
      <c r="C881" s="1045" t="s">
        <v>3431</v>
      </c>
      <c r="D881" s="1044" t="s">
        <v>3432</v>
      </c>
      <c r="E881" s="1013" t="s">
        <v>290</v>
      </c>
      <c r="F881" s="967"/>
    </row>
    <row r="882" spans="1:6">
      <c r="A882" s="1018"/>
      <c r="B882" s="980"/>
      <c r="C882" s="995" t="s">
        <v>3433</v>
      </c>
      <c r="D882" s="980" t="s">
        <v>3434</v>
      </c>
      <c r="E882" s="1013" t="s">
        <v>162</v>
      </c>
      <c r="F882" s="967"/>
    </row>
    <row r="883" spans="1:6">
      <c r="A883" s="1018"/>
      <c r="B883" s="980"/>
      <c r="C883" s="995" t="s">
        <v>3435</v>
      </c>
      <c r="D883" s="980" t="s">
        <v>3436</v>
      </c>
      <c r="E883" s="1013" t="s">
        <v>162</v>
      </c>
      <c r="F883" s="967"/>
    </row>
    <row r="884" spans="1:6">
      <c r="A884" s="1018"/>
      <c r="B884" s="980"/>
      <c r="C884" s="995" t="s">
        <v>3437</v>
      </c>
      <c r="D884" s="980" t="s">
        <v>3438</v>
      </c>
      <c r="E884" s="1013" t="s">
        <v>3439</v>
      </c>
      <c r="F884" s="967"/>
    </row>
    <row r="885" spans="1:6">
      <c r="A885" s="1018"/>
      <c r="B885" s="980"/>
      <c r="C885" s="995" t="s">
        <v>3440</v>
      </c>
      <c r="D885" s="980" t="s">
        <v>3441</v>
      </c>
      <c r="E885" s="1013" t="s">
        <v>162</v>
      </c>
      <c r="F885" s="967"/>
    </row>
    <row r="886" spans="1:6">
      <c r="A886" s="1018"/>
      <c r="B886" s="980"/>
      <c r="C886" s="995" t="s">
        <v>3442</v>
      </c>
      <c r="D886" s="980" t="s">
        <v>3443</v>
      </c>
      <c r="E886" s="1013" t="s">
        <v>2658</v>
      </c>
      <c r="F886" s="967"/>
    </row>
    <row r="887" spans="1:6">
      <c r="A887" s="1018"/>
      <c r="B887" s="980"/>
      <c r="C887" s="979" t="s">
        <v>3444</v>
      </c>
      <c r="D887" s="980" t="s">
        <v>3445</v>
      </c>
      <c r="E887" s="1013" t="s">
        <v>2658</v>
      </c>
      <c r="F887" s="967"/>
    </row>
    <row r="888" spans="1:6">
      <c r="A888" s="1018"/>
      <c r="B888" s="980"/>
      <c r="C888" s="979" t="s">
        <v>3446</v>
      </c>
      <c r="D888" s="980" t="s">
        <v>3447</v>
      </c>
      <c r="E888" s="1013" t="s">
        <v>2122</v>
      </c>
      <c r="F888" s="967"/>
    </row>
    <row r="889" spans="1:6">
      <c r="A889" s="1018"/>
      <c r="B889" s="980"/>
      <c r="C889" s="995" t="s">
        <v>3448</v>
      </c>
      <c r="D889" s="980" t="s">
        <v>3449</v>
      </c>
      <c r="E889" s="1013" t="s">
        <v>579</v>
      </c>
      <c r="F889" s="967"/>
    </row>
    <row r="890" spans="1:6">
      <c r="A890" s="1018"/>
      <c r="B890" s="980"/>
      <c r="C890" s="995" t="s">
        <v>3450</v>
      </c>
      <c r="D890" s="980" t="s">
        <v>3451</v>
      </c>
      <c r="E890" s="1013" t="s">
        <v>3276</v>
      </c>
      <c r="F890" s="967"/>
    </row>
    <row r="891" spans="1:6">
      <c r="A891" s="1018"/>
      <c r="B891" s="980"/>
      <c r="C891" s="995" t="s">
        <v>3452</v>
      </c>
      <c r="D891" s="980" t="s">
        <v>3453</v>
      </c>
      <c r="E891" s="1013" t="s">
        <v>162</v>
      </c>
      <c r="F891" s="967"/>
    </row>
    <row r="892" spans="1:6">
      <c r="A892" s="1018"/>
      <c r="B892" s="980"/>
      <c r="C892" s="995" t="s">
        <v>3454</v>
      </c>
      <c r="D892" s="980" t="s">
        <v>3455</v>
      </c>
      <c r="E892" s="1013" t="s">
        <v>162</v>
      </c>
      <c r="F892" s="967"/>
    </row>
    <row r="893" spans="1:6">
      <c r="A893" s="1018"/>
      <c r="B893" s="980"/>
      <c r="C893" s="995" t="s">
        <v>3456</v>
      </c>
      <c r="D893" s="980" t="s">
        <v>3457</v>
      </c>
      <c r="E893" s="1013" t="s">
        <v>2658</v>
      </c>
      <c r="F893" s="967"/>
    </row>
    <row r="894" spans="1:6">
      <c r="A894" s="1018"/>
      <c r="B894" s="980"/>
      <c r="C894" s="995" t="s">
        <v>3458</v>
      </c>
      <c r="D894" s="980" t="s">
        <v>3459</v>
      </c>
      <c r="E894" s="1013" t="s">
        <v>2658</v>
      </c>
      <c r="F894" s="967"/>
    </row>
    <row r="895" spans="1:6">
      <c r="A895" s="1018"/>
      <c r="B895" s="980"/>
      <c r="C895" s="995" t="s">
        <v>3460</v>
      </c>
      <c r="D895" s="980" t="s">
        <v>3461</v>
      </c>
      <c r="E895" s="1013" t="s">
        <v>162</v>
      </c>
      <c r="F895" s="1029"/>
    </row>
    <row r="896" spans="1:6">
      <c r="A896" s="1018"/>
      <c r="B896" s="980"/>
      <c r="C896" s="995" t="s">
        <v>3462</v>
      </c>
      <c r="D896" s="980" t="s">
        <v>3463</v>
      </c>
      <c r="E896" s="1013" t="s">
        <v>420</v>
      </c>
      <c r="F896" s="967"/>
    </row>
    <row r="897" spans="1:6">
      <c r="A897" s="1018"/>
      <c r="B897" s="980" t="s">
        <v>356</v>
      </c>
      <c r="C897" s="995" t="s">
        <v>3464</v>
      </c>
      <c r="D897" s="980" t="s">
        <v>3465</v>
      </c>
      <c r="E897" s="1013" t="s">
        <v>2446</v>
      </c>
      <c r="F897" s="967"/>
    </row>
    <row r="898" spans="1:6">
      <c r="A898" s="1018"/>
      <c r="B898" s="980" t="s">
        <v>3466</v>
      </c>
      <c r="C898" s="995" t="s">
        <v>3467</v>
      </c>
      <c r="D898" s="980" t="s">
        <v>3468</v>
      </c>
      <c r="E898" s="1013" t="s">
        <v>2446</v>
      </c>
      <c r="F898" s="967"/>
    </row>
    <row r="899" spans="1:6">
      <c r="A899" s="1018"/>
      <c r="B899" s="980" t="s">
        <v>3466</v>
      </c>
      <c r="C899" s="995" t="s">
        <v>3469</v>
      </c>
      <c r="D899" s="980" t="s">
        <v>3470</v>
      </c>
      <c r="E899" s="1013" t="s">
        <v>3276</v>
      </c>
      <c r="F899" s="967"/>
    </row>
    <row r="900" spans="1:6">
      <c r="A900" s="1018"/>
      <c r="B900" s="980" t="s">
        <v>3466</v>
      </c>
      <c r="C900" s="995" t="s">
        <v>3471</v>
      </c>
      <c r="D900" s="980" t="s">
        <v>3472</v>
      </c>
      <c r="E900" s="1013" t="s">
        <v>3473</v>
      </c>
      <c r="F900" s="967"/>
    </row>
    <row r="901" spans="1:6">
      <c r="A901" s="1018"/>
      <c r="B901" s="980" t="s">
        <v>356</v>
      </c>
      <c r="C901" s="995" t="s">
        <v>3474</v>
      </c>
      <c r="D901" s="980" t="s">
        <v>3475</v>
      </c>
      <c r="E901" s="1046" t="s">
        <v>340</v>
      </c>
      <c r="F901" s="967"/>
    </row>
    <row r="902" spans="1:6">
      <c r="A902" s="1018"/>
      <c r="B902" s="980" t="s">
        <v>356</v>
      </c>
      <c r="C902" s="995" t="s">
        <v>3476</v>
      </c>
      <c r="D902" s="980" t="s">
        <v>3477</v>
      </c>
      <c r="E902" s="1013" t="s">
        <v>3478</v>
      </c>
      <c r="F902" s="967"/>
    </row>
    <row r="903" spans="1:6">
      <c r="A903" s="1018"/>
      <c r="B903" s="980" t="s">
        <v>3479</v>
      </c>
      <c r="C903" s="995" t="s">
        <v>3480</v>
      </c>
      <c r="D903" s="980">
        <v>536375</v>
      </c>
      <c r="E903" s="1013" t="s">
        <v>3481</v>
      </c>
      <c r="F903" s="967"/>
    </row>
    <row r="904" spans="1:6" ht="25">
      <c r="A904" s="1018"/>
      <c r="B904" s="1035" t="s">
        <v>3482</v>
      </c>
      <c r="C904" s="995" t="s">
        <v>3388</v>
      </c>
      <c r="D904" s="980" t="s">
        <v>3483</v>
      </c>
      <c r="E904" s="1013" t="s">
        <v>164</v>
      </c>
      <c r="F904" s="967"/>
    </row>
    <row r="905" spans="1:6">
      <c r="A905" s="1018"/>
      <c r="B905" s="980"/>
      <c r="C905" s="995" t="s">
        <v>3484</v>
      </c>
      <c r="D905" s="980" t="s">
        <v>3485</v>
      </c>
      <c r="E905" s="1013" t="s">
        <v>162</v>
      </c>
      <c r="F905" s="967"/>
    </row>
    <row r="906" spans="1:6">
      <c r="A906" s="1018"/>
      <c r="B906" s="980"/>
      <c r="C906" s="995" t="s">
        <v>3486</v>
      </c>
      <c r="D906" s="980" t="s">
        <v>3487</v>
      </c>
      <c r="E906" s="1013" t="s">
        <v>2658</v>
      </c>
      <c r="F906" s="967"/>
    </row>
    <row r="907" spans="1:6">
      <c r="A907" s="1018"/>
      <c r="B907" s="980"/>
      <c r="C907" s="995" t="s">
        <v>3488</v>
      </c>
      <c r="D907" s="980" t="s">
        <v>3489</v>
      </c>
      <c r="E907" s="1013" t="s">
        <v>420</v>
      </c>
      <c r="F907" s="967"/>
    </row>
    <row r="908" spans="1:6">
      <c r="A908" s="1018"/>
      <c r="B908" s="980"/>
      <c r="C908" s="995" t="s">
        <v>3490</v>
      </c>
      <c r="D908" s="980" t="s">
        <v>3491</v>
      </c>
      <c r="E908" s="1013" t="s">
        <v>159</v>
      </c>
      <c r="F908" s="967"/>
    </row>
    <row r="909" spans="1:6">
      <c r="A909" s="1018"/>
      <c r="B909" s="980"/>
      <c r="C909" s="995" t="s">
        <v>3492</v>
      </c>
      <c r="D909" s="980" t="s">
        <v>3493</v>
      </c>
      <c r="E909" s="1013" t="s">
        <v>162</v>
      </c>
      <c r="F909" s="967"/>
    </row>
    <row r="910" spans="1:6">
      <c r="A910" s="1018"/>
      <c r="B910" s="980"/>
      <c r="C910" s="995" t="s">
        <v>3494</v>
      </c>
      <c r="D910" s="980" t="s">
        <v>3495</v>
      </c>
      <c r="E910" s="1013" t="s">
        <v>3294</v>
      </c>
      <c r="F910" s="967"/>
    </row>
    <row r="911" spans="1:6">
      <c r="A911" s="1018"/>
      <c r="B911" s="980"/>
      <c r="C911" s="995" t="s">
        <v>3496</v>
      </c>
      <c r="D911" s="980" t="s">
        <v>3497</v>
      </c>
      <c r="E911" s="1013" t="s">
        <v>159</v>
      </c>
      <c r="F911" s="967"/>
    </row>
    <row r="912" spans="1:6">
      <c r="A912" s="1018"/>
      <c r="B912" s="980"/>
      <c r="C912" s="995" t="s">
        <v>3498</v>
      </c>
      <c r="D912" s="980" t="s">
        <v>3499</v>
      </c>
      <c r="E912" s="1013" t="s">
        <v>164</v>
      </c>
      <c r="F912" s="967"/>
    </row>
    <row r="913" spans="1:6">
      <c r="A913" s="1018"/>
      <c r="B913" s="980"/>
      <c r="C913" s="995" t="s">
        <v>3500</v>
      </c>
      <c r="D913" s="980" t="s">
        <v>3501</v>
      </c>
      <c r="E913" s="1046" t="s">
        <v>3359</v>
      </c>
      <c r="F913" s="967"/>
    </row>
    <row r="914" spans="1:6">
      <c r="A914" s="1018"/>
      <c r="B914" s="980"/>
      <c r="C914" s="995" t="s">
        <v>3502</v>
      </c>
      <c r="D914" s="980">
        <v>505214</v>
      </c>
      <c r="E914" s="1013" t="s">
        <v>3503</v>
      </c>
      <c r="F914" s="967"/>
    </row>
    <row r="915" spans="1:6">
      <c r="A915" s="1018"/>
      <c r="B915" s="980" t="s">
        <v>3466</v>
      </c>
      <c r="C915" s="995" t="s">
        <v>3504</v>
      </c>
      <c r="D915" s="980" t="s">
        <v>3505</v>
      </c>
      <c r="E915" s="1046" t="s">
        <v>3506</v>
      </c>
      <c r="F915" s="967"/>
    </row>
    <row r="916" spans="1:6">
      <c r="A916" s="1018"/>
      <c r="B916" s="980" t="s">
        <v>356</v>
      </c>
      <c r="C916" s="995" t="s">
        <v>3507</v>
      </c>
      <c r="D916" s="980" t="s">
        <v>3508</v>
      </c>
      <c r="E916" s="1046" t="s">
        <v>3509</v>
      </c>
      <c r="F916" s="967"/>
    </row>
    <row r="917" spans="1:6">
      <c r="A917" s="1018"/>
      <c r="B917" s="980" t="s">
        <v>356</v>
      </c>
      <c r="C917" s="995" t="s">
        <v>3510</v>
      </c>
      <c r="D917" s="980" t="s">
        <v>3511</v>
      </c>
      <c r="E917" s="1046" t="s">
        <v>192</v>
      </c>
      <c r="F917" s="967"/>
    </row>
    <row r="918" spans="1:6">
      <c r="A918" s="1018"/>
      <c r="B918" s="980" t="s">
        <v>3466</v>
      </c>
      <c r="C918" s="995" t="s">
        <v>3512</v>
      </c>
      <c r="D918" s="980" t="s">
        <v>3513</v>
      </c>
      <c r="E918" s="1046" t="s">
        <v>370</v>
      </c>
      <c r="F918" s="967"/>
    </row>
    <row r="919" spans="1:6">
      <c r="A919" s="1018"/>
      <c r="B919" s="980" t="s">
        <v>356</v>
      </c>
      <c r="C919" s="995" t="s">
        <v>3514</v>
      </c>
      <c r="D919" s="980" t="s">
        <v>3515</v>
      </c>
      <c r="E919" s="1013" t="s">
        <v>3516</v>
      </c>
      <c r="F919" s="967"/>
    </row>
    <row r="920" spans="1:6">
      <c r="A920" s="1018"/>
      <c r="B920" s="980"/>
      <c r="C920" s="995" t="s">
        <v>3517</v>
      </c>
      <c r="D920" s="980" t="s">
        <v>3518</v>
      </c>
      <c r="E920" s="1046" t="s">
        <v>3509</v>
      </c>
      <c r="F920" s="967"/>
    </row>
    <row r="921" spans="1:6">
      <c r="A921" s="1018"/>
      <c r="B921" s="980"/>
      <c r="C921" s="995" t="s">
        <v>3519</v>
      </c>
      <c r="D921" s="980" t="s">
        <v>3520</v>
      </c>
      <c r="E921" s="1046" t="s">
        <v>3521</v>
      </c>
      <c r="F921" s="967"/>
    </row>
    <row r="922" spans="1:6">
      <c r="A922" s="1018"/>
      <c r="B922" s="980" t="s">
        <v>3479</v>
      </c>
      <c r="C922" s="1047" t="s">
        <v>3522</v>
      </c>
      <c r="D922" s="1039" t="s">
        <v>3523</v>
      </c>
      <c r="E922" s="1046" t="s">
        <v>2850</v>
      </c>
      <c r="F922" s="967"/>
    </row>
    <row r="923" spans="1:6">
      <c r="A923" s="1018"/>
      <c r="B923" s="980" t="s">
        <v>3479</v>
      </c>
      <c r="C923" s="1047" t="s">
        <v>3524</v>
      </c>
      <c r="D923" s="1039" t="s">
        <v>3525</v>
      </c>
      <c r="E923" s="1013" t="s">
        <v>162</v>
      </c>
      <c r="F923" s="967"/>
    </row>
    <row r="924" spans="1:6">
      <c r="A924" s="1018"/>
      <c r="B924" s="980" t="s">
        <v>356</v>
      </c>
      <c r="C924" s="1047" t="s">
        <v>3526</v>
      </c>
      <c r="D924" s="1039" t="s">
        <v>3527</v>
      </c>
      <c r="E924" s="1013" t="s">
        <v>164</v>
      </c>
      <c r="F924" s="967"/>
    </row>
    <row r="925" spans="1:6">
      <c r="A925" s="1018"/>
      <c r="B925" s="980" t="s">
        <v>356</v>
      </c>
      <c r="C925" s="1047" t="s">
        <v>3528</v>
      </c>
      <c r="D925" s="1039" t="s">
        <v>3529</v>
      </c>
      <c r="E925" s="1013" t="s">
        <v>340</v>
      </c>
      <c r="F925" s="967"/>
    </row>
    <row r="926" spans="1:6">
      <c r="A926" s="1018"/>
      <c r="B926" s="980" t="s">
        <v>3530</v>
      </c>
      <c r="C926" s="1047" t="s">
        <v>3531</v>
      </c>
      <c r="D926" s="1039" t="s">
        <v>3532</v>
      </c>
      <c r="E926" s="1013" t="s">
        <v>2446</v>
      </c>
      <c r="F926" s="967"/>
    </row>
    <row r="927" spans="1:6">
      <c r="A927" s="1018"/>
      <c r="B927" s="980" t="s">
        <v>3530</v>
      </c>
      <c r="C927" s="1047" t="s">
        <v>3533</v>
      </c>
      <c r="D927" s="1039" t="s">
        <v>3534</v>
      </c>
      <c r="E927" s="1046" t="s">
        <v>420</v>
      </c>
      <c r="F927" s="967"/>
    </row>
    <row r="928" spans="1:6">
      <c r="A928" s="1018"/>
      <c r="B928" s="980" t="s">
        <v>356</v>
      </c>
      <c r="C928" s="1047" t="s">
        <v>3535</v>
      </c>
      <c r="D928" s="1039" t="s">
        <v>3536</v>
      </c>
      <c r="E928" s="1013" t="s">
        <v>405</v>
      </c>
      <c r="F928" s="967"/>
    </row>
    <row r="929" spans="1:6">
      <c r="A929" s="1018"/>
      <c r="B929" s="980" t="s">
        <v>356</v>
      </c>
      <c r="C929" s="1047" t="s">
        <v>3537</v>
      </c>
      <c r="D929" s="1039" t="s">
        <v>3538</v>
      </c>
      <c r="E929" s="1013" t="s">
        <v>3539</v>
      </c>
      <c r="F929" s="967"/>
    </row>
    <row r="930" spans="1:6">
      <c r="A930" s="1018"/>
      <c r="B930" s="980"/>
      <c r="C930" s="1047" t="s">
        <v>3540</v>
      </c>
      <c r="D930" s="1039" t="s">
        <v>3541</v>
      </c>
      <c r="E930" s="1013" t="s">
        <v>162</v>
      </c>
      <c r="F930" s="967"/>
    </row>
    <row r="931" spans="1:6">
      <c r="A931" s="1018"/>
      <c r="B931" s="980"/>
      <c r="C931" s="1047" t="s">
        <v>3542</v>
      </c>
      <c r="D931" s="1039" t="s">
        <v>3543</v>
      </c>
      <c r="E931" s="1013" t="s">
        <v>162</v>
      </c>
      <c r="F931" s="967"/>
    </row>
    <row r="932" spans="1:6">
      <c r="A932" s="1018"/>
      <c r="B932" s="980"/>
      <c r="C932" s="1047" t="s">
        <v>3544</v>
      </c>
      <c r="D932" s="1039" t="s">
        <v>3545</v>
      </c>
      <c r="E932" s="1013" t="s">
        <v>162</v>
      </c>
      <c r="F932" s="967"/>
    </row>
    <row r="933" spans="1:6">
      <c r="A933" s="1018"/>
      <c r="B933" s="980"/>
      <c r="C933" s="1047" t="s">
        <v>3546</v>
      </c>
      <c r="D933" s="1039" t="s">
        <v>3547</v>
      </c>
      <c r="E933" s="1046" t="s">
        <v>164</v>
      </c>
      <c r="F933" s="967"/>
    </row>
    <row r="934" spans="1:6">
      <c r="A934" s="1018"/>
      <c r="B934" s="980"/>
      <c r="C934" s="1047" t="s">
        <v>3548</v>
      </c>
      <c r="D934" s="1039" t="s">
        <v>3549</v>
      </c>
      <c r="E934" s="1046" t="s">
        <v>3550</v>
      </c>
      <c r="F934" s="967"/>
    </row>
    <row r="935" spans="1:6">
      <c r="A935" s="1018"/>
      <c r="B935" s="980"/>
      <c r="C935" s="1047" t="s">
        <v>3551</v>
      </c>
      <c r="D935" s="1039" t="s">
        <v>3552</v>
      </c>
      <c r="E935" s="1013" t="s">
        <v>162</v>
      </c>
      <c r="F935" s="967"/>
    </row>
    <row r="936" spans="1:6">
      <c r="A936" s="1018"/>
      <c r="B936" s="980"/>
      <c r="C936" s="1047" t="s">
        <v>3553</v>
      </c>
      <c r="D936" s="1039" t="s">
        <v>3554</v>
      </c>
      <c r="E936" s="1046" t="s">
        <v>173</v>
      </c>
      <c r="F936" s="967"/>
    </row>
    <row r="937" spans="1:6">
      <c r="A937" s="1018"/>
      <c r="B937" s="980"/>
      <c r="C937" s="1047" t="s">
        <v>3555</v>
      </c>
      <c r="D937" s="1039" t="s">
        <v>3556</v>
      </c>
      <c r="E937" s="1013" t="s">
        <v>170</v>
      </c>
      <c r="F937" s="967"/>
    </row>
    <row r="938" spans="1:6">
      <c r="A938" s="1018"/>
      <c r="B938" s="980" t="s">
        <v>3530</v>
      </c>
      <c r="C938" s="1047" t="s">
        <v>3557</v>
      </c>
      <c r="D938" s="1039" t="s">
        <v>3558</v>
      </c>
      <c r="E938" s="1013" t="s">
        <v>290</v>
      </c>
      <c r="F938" s="967"/>
    </row>
    <row r="939" spans="1:6">
      <c r="A939" s="1018"/>
      <c r="B939" s="980"/>
      <c r="C939" s="1047" t="s">
        <v>3559</v>
      </c>
      <c r="D939" s="1039" t="s">
        <v>3560</v>
      </c>
      <c r="E939" s="1013" t="s">
        <v>3427</v>
      </c>
      <c r="F939" s="967"/>
    </row>
    <row r="940" spans="1:6">
      <c r="A940" s="1018"/>
      <c r="B940" s="980"/>
      <c r="C940" s="1047" t="s">
        <v>3561</v>
      </c>
      <c r="D940" s="1039" t="s">
        <v>3562</v>
      </c>
      <c r="E940" s="1048" t="s">
        <v>3516</v>
      </c>
      <c r="F940" s="967"/>
    </row>
    <row r="941" spans="1:6">
      <c r="A941" s="1018"/>
      <c r="B941" s="1049">
        <v>44741</v>
      </c>
      <c r="C941" s="1050" t="s">
        <v>3563</v>
      </c>
      <c r="D941" s="1051" t="s">
        <v>3564</v>
      </c>
      <c r="E941" s="1048" t="s">
        <v>162</v>
      </c>
      <c r="F941" s="967"/>
    </row>
    <row r="942" spans="1:6">
      <c r="A942" s="1018"/>
      <c r="B942" s="1049">
        <v>44740</v>
      </c>
      <c r="C942" s="1050" t="s">
        <v>3565</v>
      </c>
      <c r="D942" s="1051" t="s">
        <v>3566</v>
      </c>
      <c r="E942" s="1013" t="s">
        <v>332</v>
      </c>
      <c r="F942" s="967"/>
    </row>
    <row r="943" spans="1:6">
      <c r="A943" s="1018"/>
      <c r="B943" s="980"/>
      <c r="C943" s="1047" t="s">
        <v>3567</v>
      </c>
      <c r="D943" s="1039" t="s">
        <v>3568</v>
      </c>
      <c r="E943" s="1048" t="s">
        <v>2973</v>
      </c>
      <c r="F943" s="967"/>
    </row>
    <row r="944" spans="1:6">
      <c r="A944" s="1018"/>
      <c r="B944" s="1052"/>
      <c r="C944" s="1050" t="s">
        <v>3569</v>
      </c>
      <c r="D944" s="1051">
        <v>316073</v>
      </c>
      <c r="E944" s="1013" t="s">
        <v>420</v>
      </c>
      <c r="F944" s="967"/>
    </row>
    <row r="945" spans="1:6">
      <c r="A945" s="1018"/>
      <c r="B945" s="980"/>
      <c r="C945" s="1047" t="s">
        <v>3570</v>
      </c>
      <c r="D945" s="1039" t="s">
        <v>3571</v>
      </c>
      <c r="E945" s="1013" t="s">
        <v>170</v>
      </c>
      <c r="F945" s="967"/>
    </row>
    <row r="946" spans="1:6">
      <c r="A946" s="1018"/>
      <c r="B946" s="980"/>
      <c r="C946" s="1047" t="s">
        <v>3572</v>
      </c>
      <c r="D946" s="1039" t="s">
        <v>3573</v>
      </c>
      <c r="E946" s="1048" t="s">
        <v>420</v>
      </c>
      <c r="F946" s="967"/>
    </row>
    <row r="947" spans="1:6">
      <c r="A947" s="1018"/>
      <c r="B947" s="1052"/>
      <c r="C947" s="1050" t="s">
        <v>3535</v>
      </c>
      <c r="D947" s="1051" t="s">
        <v>3536</v>
      </c>
      <c r="E947" s="1013" t="s">
        <v>3574</v>
      </c>
      <c r="F947" s="967"/>
    </row>
    <row r="948" spans="1:6">
      <c r="A948" s="1018"/>
      <c r="B948" s="980"/>
      <c r="C948" s="1047" t="s">
        <v>3575</v>
      </c>
      <c r="D948" s="1039" t="s">
        <v>3576</v>
      </c>
      <c r="E948" s="1013" t="s">
        <v>400</v>
      </c>
      <c r="F948" s="967"/>
    </row>
    <row r="949" spans="1:6">
      <c r="A949" s="1018"/>
      <c r="B949" s="1039"/>
      <c r="C949" s="1047" t="s">
        <v>3577</v>
      </c>
      <c r="D949" s="1039" t="s">
        <v>3578</v>
      </c>
      <c r="E949" s="1048" t="s">
        <v>420</v>
      </c>
      <c r="F949" s="967"/>
    </row>
    <row r="950" spans="1:6">
      <c r="A950" s="1018"/>
      <c r="B950" s="1052"/>
      <c r="C950" s="1050" t="s">
        <v>3579</v>
      </c>
      <c r="D950" s="1051" t="s">
        <v>3580</v>
      </c>
      <c r="E950" s="1048" t="s">
        <v>420</v>
      </c>
      <c r="F950" s="967"/>
    </row>
    <row r="951" spans="1:6">
      <c r="A951" s="1018"/>
      <c r="B951" s="1052"/>
      <c r="C951" s="1050" t="s">
        <v>3581</v>
      </c>
      <c r="D951" s="1051" t="s">
        <v>3582</v>
      </c>
      <c r="E951" s="1013" t="s">
        <v>159</v>
      </c>
      <c r="F951" s="967"/>
    </row>
    <row r="952" spans="1:6">
      <c r="A952" s="1018"/>
      <c r="B952" s="980"/>
      <c r="C952" s="1047" t="s">
        <v>3583</v>
      </c>
      <c r="D952" s="1039" t="s">
        <v>3584</v>
      </c>
      <c r="E952" s="1053" t="s">
        <v>3585</v>
      </c>
      <c r="F952" s="967"/>
    </row>
    <row r="953" spans="1:6">
      <c r="A953" s="1018"/>
      <c r="B953" s="1054" t="s">
        <v>3586</v>
      </c>
      <c r="C953" s="1055" t="s">
        <v>3587</v>
      </c>
      <c r="D953" s="1054" t="s">
        <v>3588</v>
      </c>
      <c r="E953" s="1053" t="s">
        <v>170</v>
      </c>
      <c r="F953" s="967"/>
    </row>
    <row r="954" spans="1:6">
      <c r="A954" s="1018"/>
      <c r="B954" s="1054" t="s">
        <v>3586</v>
      </c>
      <c r="C954" s="1055" t="s">
        <v>3589</v>
      </c>
      <c r="D954" s="1054" t="s">
        <v>3590</v>
      </c>
      <c r="E954" s="1053" t="s">
        <v>405</v>
      </c>
      <c r="F954" s="967"/>
    </row>
    <row r="955" spans="1:6">
      <c r="A955" s="1018"/>
      <c r="B955" s="1054" t="s">
        <v>3586</v>
      </c>
      <c r="C955" s="1055" t="s">
        <v>3591</v>
      </c>
      <c r="D955" s="1054" t="s">
        <v>3592</v>
      </c>
      <c r="E955" s="1048" t="s">
        <v>420</v>
      </c>
      <c r="F955" s="967"/>
    </row>
    <row r="956" spans="1:6">
      <c r="A956" s="1056"/>
      <c r="B956" s="1051" t="s">
        <v>3593</v>
      </c>
      <c r="C956" s="1050" t="s">
        <v>3594</v>
      </c>
      <c r="D956" s="1051" t="s">
        <v>3595</v>
      </c>
      <c r="E956" s="1013" t="s">
        <v>3596</v>
      </c>
      <c r="F956" s="1057"/>
    </row>
    <row r="957" spans="1:6">
      <c r="A957" s="1056"/>
      <c r="B957" s="980"/>
      <c r="C957" s="1047" t="s">
        <v>3597</v>
      </c>
      <c r="D957" s="1039" t="s">
        <v>3598</v>
      </c>
      <c r="E957" s="1013" t="s">
        <v>3599</v>
      </c>
      <c r="F957" s="1057"/>
    </row>
    <row r="958" spans="1:6">
      <c r="A958" s="1056"/>
      <c r="B958" s="1039" t="s">
        <v>3600</v>
      </c>
      <c r="C958" s="1047" t="s">
        <v>3486</v>
      </c>
      <c r="D958" s="1039" t="s">
        <v>3601</v>
      </c>
      <c r="E958" s="1058" t="s">
        <v>179</v>
      </c>
      <c r="F958" s="1057"/>
    </row>
    <row r="959" spans="1:6">
      <c r="A959" s="1056"/>
      <c r="B959" s="1051" t="s">
        <v>3593</v>
      </c>
      <c r="C959" s="1050" t="s">
        <v>3602</v>
      </c>
      <c r="D959" s="1051" t="s">
        <v>3603</v>
      </c>
      <c r="E959" s="1058" t="s">
        <v>2122</v>
      </c>
      <c r="F959" s="1057"/>
    </row>
    <row r="960" spans="1:6">
      <c r="A960" s="1056"/>
      <c r="B960" s="1051" t="s">
        <v>3593</v>
      </c>
      <c r="C960" s="1050" t="s">
        <v>3448</v>
      </c>
      <c r="D960" s="1051" t="s">
        <v>3604</v>
      </c>
      <c r="E960" s="1013" t="s">
        <v>172</v>
      </c>
      <c r="F960" s="1057"/>
    </row>
    <row r="961" spans="1:6">
      <c r="A961" s="1056"/>
      <c r="B961" s="980"/>
      <c r="C961" s="1047" t="s">
        <v>3605</v>
      </c>
      <c r="D961" s="1039" t="s">
        <v>3606</v>
      </c>
      <c r="E961" s="1013" t="s">
        <v>162</v>
      </c>
      <c r="F961" s="1057"/>
    </row>
    <row r="962" spans="1:6">
      <c r="A962" s="1056"/>
      <c r="B962" s="1039" t="s">
        <v>3600</v>
      </c>
      <c r="C962" s="1047" t="s">
        <v>3494</v>
      </c>
      <c r="D962" s="1039" t="s">
        <v>3607</v>
      </c>
      <c r="E962" s="1059"/>
      <c r="F962" s="1057"/>
    </row>
    <row r="963" spans="1:6">
      <c r="A963" s="1056"/>
      <c r="B963" s="1060" t="s">
        <v>3608</v>
      </c>
      <c r="C963" s="1035"/>
      <c r="D963" s="980"/>
      <c r="E963" s="1043" t="s">
        <v>170</v>
      </c>
      <c r="F963" s="1057"/>
    </row>
    <row r="964" spans="1:6">
      <c r="A964" s="1056"/>
      <c r="B964" s="1054" t="s">
        <v>3586</v>
      </c>
      <c r="C964" s="1055" t="s">
        <v>3609</v>
      </c>
      <c r="D964" s="1054" t="s">
        <v>3610</v>
      </c>
      <c r="E964" s="1043" t="s">
        <v>3509</v>
      </c>
      <c r="F964" s="1057"/>
    </row>
    <row r="965" spans="1:6">
      <c r="A965" s="1056"/>
      <c r="B965" s="1054" t="s">
        <v>3586</v>
      </c>
      <c r="C965" s="1055" t="s">
        <v>3611</v>
      </c>
      <c r="D965" s="1054" t="s">
        <v>3612</v>
      </c>
      <c r="E965" s="1059"/>
      <c r="F965" s="1057"/>
    </row>
    <row r="966" spans="1:6">
      <c r="A966" s="1056"/>
      <c r="B966" s="1060" t="s">
        <v>3613</v>
      </c>
      <c r="C966" s="1035"/>
      <c r="D966" s="980"/>
      <c r="E966" s="1048" t="s">
        <v>3599</v>
      </c>
      <c r="F966" s="1057"/>
    </row>
    <row r="967" spans="1:6">
      <c r="A967" s="1056"/>
      <c r="B967" s="1051" t="s">
        <v>3593</v>
      </c>
      <c r="C967" s="1050" t="s">
        <v>3614</v>
      </c>
      <c r="D967" s="1051" t="s">
        <v>3615</v>
      </c>
      <c r="E967" s="1061" t="s">
        <v>181</v>
      </c>
      <c r="F967" s="1057"/>
    </row>
    <row r="968" spans="1:6">
      <c r="A968" s="1056"/>
      <c r="B968" s="1062" t="s">
        <v>3530</v>
      </c>
      <c r="C968" s="1063" t="s">
        <v>3616</v>
      </c>
      <c r="D968" s="1062">
        <v>22027</v>
      </c>
      <c r="E968" s="1061" t="s">
        <v>181</v>
      </c>
      <c r="F968" s="1057"/>
    </row>
    <row r="969" spans="1:6">
      <c r="A969" s="1056"/>
      <c r="B969" s="1062" t="s">
        <v>3530</v>
      </c>
      <c r="C969" s="1063" t="s">
        <v>3617</v>
      </c>
      <c r="D969" s="1062">
        <v>22019</v>
      </c>
      <c r="E969" s="1059"/>
      <c r="F969" s="1057"/>
    </row>
    <row r="970" spans="1:6">
      <c r="A970" s="1056"/>
      <c r="B970" s="1060" t="s">
        <v>3613</v>
      </c>
      <c r="C970" s="1035"/>
      <c r="D970" s="980"/>
      <c r="E970" s="1043" t="s">
        <v>3276</v>
      </c>
      <c r="F970" s="1057"/>
    </row>
    <row r="971" spans="1:6">
      <c r="A971" s="1056"/>
      <c r="B971" s="1054" t="s">
        <v>3586</v>
      </c>
      <c r="C971" s="1055" t="s">
        <v>3618</v>
      </c>
      <c r="D971" s="1064" t="s">
        <v>3619</v>
      </c>
      <c r="E971" s="1043" t="s">
        <v>3620</v>
      </c>
      <c r="F971" s="1057"/>
    </row>
    <row r="972" spans="1:6">
      <c r="A972" s="1056"/>
      <c r="B972" s="1054" t="s">
        <v>3586</v>
      </c>
      <c r="C972" s="1055" t="s">
        <v>3621</v>
      </c>
      <c r="D972" s="1054" t="s">
        <v>3622</v>
      </c>
      <c r="E972" s="1065"/>
      <c r="F972" s="1057"/>
    </row>
    <row r="973" spans="1:6">
      <c r="A973" s="1056"/>
      <c r="B973" s="990"/>
      <c r="C973" s="1066"/>
      <c r="D973" s="990"/>
      <c r="E973" s="1043" t="s">
        <v>3623</v>
      </c>
      <c r="F973" s="1057"/>
    </row>
    <row r="974" spans="1:6">
      <c r="A974" s="1056"/>
      <c r="B974" s="1054" t="s">
        <v>3586</v>
      </c>
      <c r="C974" s="1055" t="s">
        <v>3624</v>
      </c>
      <c r="D974" s="1054" t="s">
        <v>3625</v>
      </c>
      <c r="E974" s="1043" t="s">
        <v>3599</v>
      </c>
      <c r="F974" s="1057"/>
    </row>
    <row r="975" spans="1:6">
      <c r="A975" s="1056"/>
      <c r="B975" s="1054" t="s">
        <v>3586</v>
      </c>
      <c r="C975" s="1067" t="s">
        <v>3626</v>
      </c>
      <c r="D975" s="1054" t="s">
        <v>3627</v>
      </c>
      <c r="E975" s="1068" t="s">
        <v>3628</v>
      </c>
      <c r="F975" s="1057"/>
    </row>
    <row r="976" spans="1:6">
      <c r="A976" s="1056"/>
      <c r="B976" s="1069" t="s">
        <v>3629</v>
      </c>
      <c r="C976" s="1070" t="s">
        <v>3630</v>
      </c>
      <c r="D976" s="1069" t="s">
        <v>3631</v>
      </c>
      <c r="E976" s="1068" t="s">
        <v>1925</v>
      </c>
      <c r="F976" s="1057"/>
    </row>
    <row r="977" spans="1:6">
      <c r="A977" s="1056"/>
      <c r="B977" s="1069" t="s">
        <v>3629</v>
      </c>
      <c r="C977" s="1070" t="s">
        <v>3632</v>
      </c>
      <c r="D977" s="1069">
        <v>86835</v>
      </c>
      <c r="E977" s="1068" t="s">
        <v>3633</v>
      </c>
      <c r="F977" s="1057"/>
    </row>
    <row r="978" spans="1:6">
      <c r="A978" s="1056"/>
      <c r="B978" s="1069" t="s">
        <v>3629</v>
      </c>
      <c r="C978" s="1070" t="s">
        <v>2644</v>
      </c>
      <c r="D978" s="1069" t="s">
        <v>3634</v>
      </c>
      <c r="E978" s="1068" t="s">
        <v>397</v>
      </c>
      <c r="F978" s="1057"/>
    </row>
    <row r="979" spans="1:6">
      <c r="A979" s="1056"/>
      <c r="B979" s="1069" t="s">
        <v>3629</v>
      </c>
      <c r="C979" s="1070" t="s">
        <v>3635</v>
      </c>
      <c r="D979" s="1069">
        <v>93441</v>
      </c>
      <c r="E979" s="1068" t="s">
        <v>420</v>
      </c>
      <c r="F979" s="1057"/>
    </row>
    <row r="980" spans="1:6">
      <c r="A980" s="1056"/>
      <c r="B980" s="1069" t="s">
        <v>3629</v>
      </c>
      <c r="C980" s="1070" t="s">
        <v>3636</v>
      </c>
      <c r="D980" s="1069" t="s">
        <v>3637</v>
      </c>
      <c r="E980" s="1048" t="s">
        <v>2973</v>
      </c>
      <c r="F980" s="1057"/>
    </row>
    <row r="981" spans="1:6">
      <c r="A981" s="1056"/>
      <c r="B981" s="1039" t="s">
        <v>3593</v>
      </c>
      <c r="C981" s="1071" t="s">
        <v>3638</v>
      </c>
      <c r="D981" s="1051">
        <v>303304</v>
      </c>
      <c r="E981" s="1072" t="s">
        <v>2122</v>
      </c>
      <c r="F981" s="1057"/>
    </row>
    <row r="982" spans="1:6">
      <c r="A982" s="1056"/>
      <c r="B982" s="1073" t="s">
        <v>3593</v>
      </c>
      <c r="C982" s="1074" t="s">
        <v>3639</v>
      </c>
      <c r="D982" s="1073" t="s">
        <v>3640</v>
      </c>
      <c r="E982" s="1075"/>
      <c r="F982" s="1057"/>
    </row>
    <row r="983" spans="1:6">
      <c r="A983" s="1056"/>
      <c r="B983" s="1076" t="s">
        <v>3641</v>
      </c>
      <c r="C983" s="1077"/>
      <c r="D983" s="1076"/>
      <c r="E983" s="1013" t="s">
        <v>370</v>
      </c>
      <c r="F983" s="1057"/>
    </row>
    <row r="984" spans="1:6">
      <c r="A984" s="1056"/>
      <c r="B984" s="1062" t="s">
        <v>3530</v>
      </c>
      <c r="C984" s="1047" t="s">
        <v>3642</v>
      </c>
      <c r="D984" s="1039" t="s">
        <v>3643</v>
      </c>
      <c r="E984" s="1013" t="s">
        <v>2168</v>
      </c>
      <c r="F984" s="1057"/>
    </row>
    <row r="985" spans="1:6">
      <c r="A985" s="1056"/>
      <c r="B985" s="1062" t="s">
        <v>3530</v>
      </c>
      <c r="C985" s="1047" t="s">
        <v>3644</v>
      </c>
      <c r="D985" s="1039" t="s">
        <v>3645</v>
      </c>
      <c r="E985" s="1013" t="s">
        <v>405</v>
      </c>
      <c r="F985" s="1057"/>
    </row>
    <row r="986" spans="1:6">
      <c r="A986" s="1056"/>
      <c r="B986" s="1062" t="s">
        <v>3530</v>
      </c>
      <c r="C986" s="1047" t="s">
        <v>3646</v>
      </c>
      <c r="D986" s="1039" t="s">
        <v>3647</v>
      </c>
      <c r="E986" s="1013" t="s">
        <v>3648</v>
      </c>
      <c r="F986" s="1057"/>
    </row>
    <row r="987" spans="1:6">
      <c r="A987" s="1056"/>
      <c r="B987" s="1062" t="s">
        <v>3530</v>
      </c>
      <c r="C987" s="1047" t="s">
        <v>3649</v>
      </c>
      <c r="D987" s="1039" t="s">
        <v>3650</v>
      </c>
      <c r="E987" s="1013" t="s">
        <v>164</v>
      </c>
      <c r="F987" s="1057"/>
    </row>
    <row r="988" spans="1:6">
      <c r="A988" s="1056"/>
      <c r="B988" s="1062" t="s">
        <v>3530</v>
      </c>
      <c r="C988" s="1047" t="s">
        <v>3651</v>
      </c>
      <c r="D988" s="1039" t="s">
        <v>3652</v>
      </c>
      <c r="E988" s="1075"/>
      <c r="F988" s="1057"/>
    </row>
    <row r="989" spans="1:6">
      <c r="A989" s="1056"/>
      <c r="B989" s="1076" t="s">
        <v>3653</v>
      </c>
      <c r="C989" s="1077"/>
      <c r="D989" s="1076"/>
      <c r="E989" s="1078" t="s">
        <v>3654</v>
      </c>
      <c r="F989" s="1057"/>
    </row>
    <row r="990" spans="1:6">
      <c r="A990" s="1056"/>
      <c r="B990" s="1062" t="s">
        <v>3530</v>
      </c>
      <c r="C990" s="1079" t="s">
        <v>3655</v>
      </c>
      <c r="D990" s="1062" t="s">
        <v>3656</v>
      </c>
      <c r="E990" s="1078" t="s">
        <v>405</v>
      </c>
      <c r="F990" s="1057"/>
    </row>
    <row r="991" spans="1:6">
      <c r="A991" s="1056"/>
      <c r="B991" s="1062" t="s">
        <v>3530</v>
      </c>
      <c r="C991" s="1079" t="s">
        <v>3657</v>
      </c>
      <c r="D991" s="1062" t="s">
        <v>3658</v>
      </c>
      <c r="E991" s="1078" t="s">
        <v>1925</v>
      </c>
      <c r="F991" s="1057"/>
    </row>
    <row r="992" spans="1:6">
      <c r="A992" s="1056"/>
      <c r="B992" s="1062" t="s">
        <v>3530</v>
      </c>
      <c r="C992" s="1079" t="s">
        <v>3659</v>
      </c>
      <c r="D992" s="1062">
        <v>86621</v>
      </c>
      <c r="E992" s="1078" t="s">
        <v>3660</v>
      </c>
      <c r="F992" s="1057"/>
    </row>
    <row r="993" spans="1:6">
      <c r="A993" s="1056"/>
      <c r="B993" s="1062" t="s">
        <v>3530</v>
      </c>
      <c r="C993" s="1079" t="s">
        <v>3661</v>
      </c>
      <c r="D993" s="1062" t="s">
        <v>3662</v>
      </c>
      <c r="E993" s="1078" t="s">
        <v>287</v>
      </c>
      <c r="F993" s="1057"/>
    </row>
    <row r="994" spans="1:6">
      <c r="A994" s="1056"/>
      <c r="B994" s="1062" t="s">
        <v>3530</v>
      </c>
      <c r="C994" s="1079" t="s">
        <v>3663</v>
      </c>
      <c r="D994" s="1062" t="s">
        <v>3664</v>
      </c>
      <c r="E994" s="1078" t="s">
        <v>2850</v>
      </c>
      <c r="F994" s="1057"/>
    </row>
    <row r="995" spans="1:6">
      <c r="A995" s="1056"/>
      <c r="B995" s="1062" t="s">
        <v>3530</v>
      </c>
      <c r="C995" s="1079" t="s">
        <v>3665</v>
      </c>
      <c r="D995" s="1062" t="s">
        <v>3666</v>
      </c>
      <c r="E995" s="1078" t="s">
        <v>1925</v>
      </c>
      <c r="F995" s="1057"/>
    </row>
    <row r="996" spans="1:6">
      <c r="A996" s="1056"/>
      <c r="B996" s="1062" t="s">
        <v>3530</v>
      </c>
      <c r="C996" s="1079" t="s">
        <v>3667</v>
      </c>
      <c r="D996" s="1062">
        <v>94952</v>
      </c>
      <c r="E996" s="1078" t="s">
        <v>405</v>
      </c>
      <c r="F996" s="1057"/>
    </row>
    <row r="997" spans="1:6">
      <c r="A997" s="1056"/>
      <c r="B997" s="1062" t="s">
        <v>3530</v>
      </c>
      <c r="C997" s="1079" t="s">
        <v>3668</v>
      </c>
      <c r="D997" s="1062" t="s">
        <v>3669</v>
      </c>
      <c r="E997" s="1048" t="s">
        <v>3276</v>
      </c>
      <c r="F997" s="1057"/>
    </row>
    <row r="998" spans="1:6">
      <c r="A998" s="1056"/>
      <c r="B998" s="1039" t="s">
        <v>3670</v>
      </c>
      <c r="C998" s="1050" t="s">
        <v>3671</v>
      </c>
      <c r="D998" s="1051" t="s">
        <v>3672</v>
      </c>
      <c r="E998" s="1048" t="s">
        <v>579</v>
      </c>
      <c r="F998" s="1057"/>
    </row>
    <row r="999" spans="1:6">
      <c r="A999" s="1056"/>
      <c r="B999" s="1039" t="s">
        <v>3670</v>
      </c>
      <c r="C999" s="1050" t="s">
        <v>3673</v>
      </c>
      <c r="D999" s="1051" t="s">
        <v>3674</v>
      </c>
      <c r="E999" s="1048" t="s">
        <v>3620</v>
      </c>
      <c r="F999" s="1057"/>
    </row>
    <row r="1000" spans="1:6">
      <c r="A1000" s="1056"/>
      <c r="B1000" s="1039" t="s">
        <v>3670</v>
      </c>
      <c r="C1000" s="1050" t="s">
        <v>3675</v>
      </c>
      <c r="D1000" s="1051" t="s">
        <v>3676</v>
      </c>
      <c r="E1000" s="1048" t="s">
        <v>3585</v>
      </c>
      <c r="F1000" s="1057"/>
    </row>
    <row r="1001" spans="1:6">
      <c r="A1001" s="1056"/>
      <c r="B1001" s="1039" t="s">
        <v>3593</v>
      </c>
      <c r="C1001" s="1050" t="s">
        <v>3677</v>
      </c>
      <c r="D1001" s="1051" t="s">
        <v>3678</v>
      </c>
      <c r="E1001" s="1048" t="s">
        <v>3406</v>
      </c>
      <c r="F1001" s="1057"/>
    </row>
    <row r="1002" spans="1:6">
      <c r="A1002" s="1056"/>
      <c r="B1002" s="1039" t="s">
        <v>3679</v>
      </c>
      <c r="C1002" s="1050" t="s">
        <v>3680</v>
      </c>
      <c r="D1002" s="1051" t="s">
        <v>3681</v>
      </c>
      <c r="E1002" s="1048" t="s">
        <v>3150</v>
      </c>
      <c r="F1002" s="1057"/>
    </row>
    <row r="1003" spans="1:6">
      <c r="A1003" s="1056"/>
      <c r="B1003" s="1039" t="s">
        <v>3682</v>
      </c>
      <c r="C1003" s="1050" t="s">
        <v>3683</v>
      </c>
      <c r="D1003" s="1051" t="s">
        <v>3684</v>
      </c>
      <c r="E1003" s="1061" t="s">
        <v>1851</v>
      </c>
      <c r="F1003" s="1057"/>
    </row>
    <row r="1004" spans="1:6">
      <c r="A1004" s="1056"/>
      <c r="B1004" s="1062" t="s">
        <v>3530</v>
      </c>
      <c r="C1004" s="1079" t="s">
        <v>3685</v>
      </c>
      <c r="D1004" s="1062" t="s">
        <v>3686</v>
      </c>
      <c r="E1004" s="1061" t="s">
        <v>177</v>
      </c>
      <c r="F1004" s="1057"/>
    </row>
    <row r="1005" spans="1:6">
      <c r="A1005" s="1056"/>
      <c r="B1005" s="1062" t="s">
        <v>3530</v>
      </c>
      <c r="C1005" s="1079" t="s">
        <v>3687</v>
      </c>
      <c r="D1005" s="1062" t="s">
        <v>3688</v>
      </c>
      <c r="E1005" s="1061" t="s">
        <v>3521</v>
      </c>
      <c r="F1005" s="1057"/>
    </row>
    <row r="1006" spans="1:6">
      <c r="A1006" s="1056"/>
      <c r="B1006" s="1062" t="s">
        <v>3530</v>
      </c>
      <c r="C1006" s="1079" t="s">
        <v>3689</v>
      </c>
      <c r="D1006" s="1062" t="s">
        <v>3690</v>
      </c>
      <c r="E1006" s="1061" t="s">
        <v>3691</v>
      </c>
      <c r="F1006" s="1057"/>
    </row>
    <row r="1007" spans="1:6">
      <c r="A1007" s="1056"/>
      <c r="B1007" s="1062" t="s">
        <v>3530</v>
      </c>
      <c r="C1007" s="1079" t="s">
        <v>3692</v>
      </c>
      <c r="D1007" s="1062" t="s">
        <v>3693</v>
      </c>
      <c r="E1007" s="1061" t="s">
        <v>3344</v>
      </c>
      <c r="F1007" s="1057"/>
    </row>
    <row r="1008" spans="1:6">
      <c r="A1008" s="1056"/>
      <c r="B1008" s="1062" t="s">
        <v>3530</v>
      </c>
      <c r="C1008" s="1079" t="s">
        <v>3694</v>
      </c>
      <c r="D1008" s="1062" t="s">
        <v>3695</v>
      </c>
      <c r="E1008" s="1048" t="s">
        <v>3696</v>
      </c>
      <c r="F1008" s="1057"/>
    </row>
    <row r="1009" spans="1:6">
      <c r="A1009" s="1056"/>
      <c r="B1009" s="1039"/>
      <c r="C1009" s="1050" t="s">
        <v>3697</v>
      </c>
      <c r="D1009" s="1051" t="s">
        <v>3698</v>
      </c>
      <c r="E1009" s="1048" t="s">
        <v>420</v>
      </c>
      <c r="F1009" s="1057"/>
    </row>
    <row r="1010" spans="1:6">
      <c r="A1010" s="1056"/>
      <c r="B1010" s="1039"/>
      <c r="C1010" s="1050" t="s">
        <v>3699</v>
      </c>
      <c r="D1010" s="1051" t="s">
        <v>3700</v>
      </c>
      <c r="E1010" s="1080" t="s">
        <v>3654</v>
      </c>
      <c r="F1010" s="1057"/>
    </row>
    <row r="1011" spans="1:6">
      <c r="A1011" s="1081"/>
      <c r="B1011" s="1082" t="s">
        <v>3701</v>
      </c>
      <c r="C1011" s="1083" t="s">
        <v>3702</v>
      </c>
      <c r="D1011" s="1084" t="s">
        <v>3703</v>
      </c>
      <c r="E1011" s="1085" t="s">
        <v>295</v>
      </c>
      <c r="F1011" s="1086"/>
    </row>
    <row r="1012" spans="1:6">
      <c r="A1012" s="1056"/>
      <c r="B1012" s="1039"/>
      <c r="C1012" s="1050" t="s">
        <v>3704</v>
      </c>
      <c r="D1012" s="1051" t="s">
        <v>3705</v>
      </c>
      <c r="E1012" s="1048" t="s">
        <v>3439</v>
      </c>
      <c r="F1012" s="1057"/>
    </row>
    <row r="1013" spans="1:6">
      <c r="A1013" s="1056"/>
      <c r="B1013" s="1039"/>
      <c r="C1013" s="1050" t="s">
        <v>3706</v>
      </c>
      <c r="D1013" s="1051" t="s">
        <v>3707</v>
      </c>
      <c r="E1013" s="1048" t="s">
        <v>287</v>
      </c>
      <c r="F1013" s="1057"/>
    </row>
    <row r="1014" spans="1:6">
      <c r="A1014" s="1056"/>
      <c r="B1014" s="1039"/>
      <c r="C1014" s="1050" t="s">
        <v>3708</v>
      </c>
      <c r="D1014" s="1051" t="s">
        <v>3709</v>
      </c>
      <c r="E1014" s="1048" t="s">
        <v>420</v>
      </c>
      <c r="F1014" s="1057"/>
    </row>
    <row r="1015" spans="1:6">
      <c r="A1015" s="1056"/>
      <c r="B1015" s="1039"/>
      <c r="C1015" s="1050" t="s">
        <v>3710</v>
      </c>
      <c r="D1015" s="1051" t="s">
        <v>3711</v>
      </c>
      <c r="E1015" s="1048" t="s">
        <v>3654</v>
      </c>
      <c r="F1015" s="1057"/>
    </row>
    <row r="1016" spans="1:6">
      <c r="A1016" s="1056"/>
      <c r="B1016" s="1039"/>
      <c r="C1016" s="1050" t="s">
        <v>3712</v>
      </c>
      <c r="D1016" s="1051" t="s">
        <v>3713</v>
      </c>
      <c r="E1016" s="1085" t="s">
        <v>3714</v>
      </c>
      <c r="F1016" s="1057"/>
    </row>
    <row r="1017" spans="1:6">
      <c r="A1017" s="1056"/>
      <c r="B1017" s="1039"/>
      <c r="C1017" s="1050" t="s">
        <v>3715</v>
      </c>
      <c r="D1017" s="1051" t="s">
        <v>3716</v>
      </c>
      <c r="E1017" s="1085" t="s">
        <v>3717</v>
      </c>
      <c r="F1017" s="1057"/>
    </row>
    <row r="1018" spans="1:6">
      <c r="A1018" s="1056"/>
      <c r="B1018" s="1039"/>
      <c r="C1018" s="1050" t="s">
        <v>3718</v>
      </c>
      <c r="D1018" s="1051" t="s">
        <v>3719</v>
      </c>
      <c r="E1018" s="1048" t="s">
        <v>3620</v>
      </c>
      <c r="F1018" s="1057"/>
    </row>
    <row r="1019" spans="1:6">
      <c r="A1019" s="1056"/>
      <c r="B1019" s="1039"/>
      <c r="C1019" s="1050" t="s">
        <v>3720</v>
      </c>
      <c r="D1019" s="1051" t="s">
        <v>3721</v>
      </c>
      <c r="E1019" s="1048" t="s">
        <v>170</v>
      </c>
      <c r="F1019" s="1057"/>
    </row>
    <row r="1020" spans="1:6">
      <c r="A1020" s="1056"/>
      <c r="B1020" s="1039"/>
      <c r="C1020" s="1050" t="s">
        <v>3722</v>
      </c>
      <c r="D1020" s="1051" t="s">
        <v>3723</v>
      </c>
      <c r="E1020" s="1048" t="s">
        <v>162</v>
      </c>
      <c r="F1020" s="1057"/>
    </row>
    <row r="1021" spans="1:6">
      <c r="A1021" s="1056"/>
      <c r="B1021" s="1039"/>
      <c r="C1021" s="1050" t="s">
        <v>3724</v>
      </c>
      <c r="D1021" s="1051" t="s">
        <v>3725</v>
      </c>
      <c r="E1021" s="1013" t="s">
        <v>172</v>
      </c>
      <c r="F1021" s="1057"/>
    </row>
    <row r="1022" spans="1:6">
      <c r="A1022" s="1056"/>
      <c r="B1022" s="1039"/>
      <c r="C1022" s="1087" t="s">
        <v>3726</v>
      </c>
      <c r="D1022" s="1082" t="s">
        <v>3727</v>
      </c>
      <c r="E1022" s="1013" t="s">
        <v>162</v>
      </c>
      <c r="F1022" s="1057"/>
    </row>
    <row r="1023" spans="1:6">
      <c r="A1023" s="1056"/>
      <c r="B1023" s="1039"/>
      <c r="C1023" s="1087" t="s">
        <v>3706</v>
      </c>
      <c r="D1023" s="1082" t="s">
        <v>3728</v>
      </c>
      <c r="E1023" s="1013" t="s">
        <v>3729</v>
      </c>
      <c r="F1023" s="1057"/>
    </row>
    <row r="1024" spans="1:6">
      <c r="A1024" s="1056"/>
      <c r="B1024" s="1039"/>
      <c r="C1024" s="1087" t="s">
        <v>3730</v>
      </c>
      <c r="D1024" s="1082" t="s">
        <v>3731</v>
      </c>
      <c r="E1024" s="1013" t="s">
        <v>162</v>
      </c>
      <c r="F1024" s="1057"/>
    </row>
    <row r="1025" spans="1:6">
      <c r="A1025" s="1056"/>
      <c r="B1025" s="1039"/>
      <c r="C1025" s="1087" t="s">
        <v>3732</v>
      </c>
      <c r="D1025" s="1082" t="s">
        <v>3733</v>
      </c>
      <c r="E1025" s="1010" t="s">
        <v>3406</v>
      </c>
      <c r="F1025" s="1057"/>
    </row>
    <row r="1026" spans="1:6">
      <c r="A1026" s="1088"/>
      <c r="B1026" s="1089"/>
      <c r="C1026" s="1090" t="s">
        <v>3734</v>
      </c>
      <c r="D1026" s="1091" t="s">
        <v>3735</v>
      </c>
      <c r="E1026" s="1092"/>
      <c r="F1026" s="1057"/>
    </row>
  </sheetData>
  <hyperlinks>
    <hyperlink ref="E1019" r:id="rId1" xr:uid="{00000000-0004-0000-0600-000000000000}"/>
    <hyperlink ref="E976" r:id="rId2" xr:uid="{00000000-0004-0000-0600-000001000000}"/>
    <hyperlink ref="E1023" r:id="rId3" xr:uid="{00000000-0004-0000-0600-000002000000}"/>
    <hyperlink ref="E1015" r:id="rId4" xr:uid="{00000000-0004-0000-0600-000003000000}"/>
    <hyperlink ref="E1020" r:id="rId5" xr:uid="{00000000-0004-0000-0600-000004000000}"/>
    <hyperlink ref="E1018" r:id="rId6" xr:uid="{00000000-0004-0000-0600-000005000000}"/>
    <hyperlink ref="E1024" r:id="rId7" xr:uid="{00000000-0004-0000-0600-000006000000}"/>
    <hyperlink ref="E1022" r:id="rId8" xr:uid="{00000000-0004-0000-0600-000007000000}"/>
    <hyperlink ref="E977" r:id="rId9" xr:uid="{00000000-0004-0000-0600-000008000000}"/>
    <hyperlink ref="E1025" r:id="rId10" xr:uid="{00000000-0004-0000-0600-000009000000}"/>
    <hyperlink ref="E973" r:id="rId11" xr:uid="{00000000-0004-0000-0600-00000A000000}"/>
    <hyperlink ref="E961" r:id="rId12" xr:uid="{00000000-0004-0000-0600-00000B000000}"/>
    <hyperlink ref="E1010" r:id="rId13" xr:uid="{00000000-0004-0000-0600-00000C000000}"/>
    <hyperlink ref="E1016" r:id="rId14" xr:uid="{00000000-0004-0000-0600-00000D000000}"/>
    <hyperlink ref="E1001" r:id="rId15" xr:uid="{00000000-0004-0000-0600-00000E000000}"/>
    <hyperlink ref="E1013" r:id="rId16" xr:uid="{00000000-0004-0000-0600-00000F000000}"/>
    <hyperlink ref="E1012" r:id="rId17" xr:uid="{00000000-0004-0000-0600-000010000000}"/>
    <hyperlink ref="E1006" r:id="rId18" xr:uid="{00000000-0004-0000-0600-000011000000}"/>
    <hyperlink ref="E1021" r:id="rId19" xr:uid="{00000000-0004-0000-0600-000012000000}"/>
    <hyperlink ref="E1017" r:id="rId20" xr:uid="{00000000-0004-0000-0600-000013000000}"/>
    <hyperlink ref="E1004" r:id="rId21" xr:uid="{00000000-0004-0000-0600-000014000000}"/>
    <hyperlink ref="E1009" r:id="rId22" xr:uid="{00000000-0004-0000-0600-000015000000}"/>
    <hyperlink ref="E1000" r:id="rId23" xr:uid="{00000000-0004-0000-0600-000016000000}"/>
    <hyperlink ref="E1014" r:id="rId24" xr:uid="{00000000-0004-0000-0600-000017000000}"/>
    <hyperlink ref="E979" r:id="rId25" xr:uid="{00000000-0004-0000-0600-000018000000}"/>
    <hyperlink ref="E975" r:id="rId26" xr:uid="{00000000-0004-0000-0600-000019000000}"/>
    <hyperlink ref="E1005" r:id="rId27" xr:uid="{00000000-0004-0000-0600-00001A000000}"/>
    <hyperlink ref="E978" r:id="rId28" xr:uid="{00000000-0004-0000-0600-00001B000000}"/>
    <hyperlink ref="E957" r:id="rId29" xr:uid="{00000000-0004-0000-0600-00001C000000}"/>
    <hyperlink ref="E1011" r:id="rId30" xr:uid="{00000000-0004-0000-0600-00001D000000}"/>
    <hyperlink ref="E997" r:id="rId31" xr:uid="{00000000-0004-0000-0600-00001E000000}"/>
    <hyperlink ref="E1008" r:id="rId32" xr:uid="{00000000-0004-0000-0600-00001F000000}"/>
    <hyperlink ref="E1007" r:id="rId33" xr:uid="{00000000-0004-0000-0600-000020000000}"/>
    <hyperlink ref="E1002" r:id="rId34" xr:uid="{00000000-0004-0000-0600-000021000000}"/>
    <hyperlink ref="E999" r:id="rId35" xr:uid="{00000000-0004-0000-0600-000022000000}"/>
    <hyperlink ref="E1003" r:id="rId36" xr:uid="{00000000-0004-0000-0600-000023000000}"/>
    <hyperlink ref="E981" r:id="rId37" xr:uid="{00000000-0004-0000-0600-000024000000}"/>
    <hyperlink ref="E998" r:id="rId38" xr:uid="{00000000-0004-0000-0600-000025000000}"/>
    <hyperlink ref="E996" r:id="rId39" xr:uid="{00000000-0004-0000-0600-000026000000}"/>
    <hyperlink ref="E989" r:id="rId40" xr:uid="{00000000-0004-0000-0600-000027000000}"/>
    <hyperlink ref="E993" r:id="rId41" xr:uid="{00000000-0004-0000-0600-000028000000}"/>
    <hyperlink ref="E990" r:id="rId42" xr:uid="{00000000-0004-0000-0600-000029000000}"/>
    <hyperlink ref="E992" r:id="rId43" xr:uid="{00000000-0004-0000-0600-00002A000000}"/>
    <hyperlink ref="E980" r:id="rId44" xr:uid="{00000000-0004-0000-0600-00002B000000}"/>
    <hyperlink ref="E995" r:id="rId45" xr:uid="{00000000-0004-0000-0600-00002C000000}"/>
    <hyperlink ref="E991" r:id="rId46" xr:uid="{00000000-0004-0000-0600-00002D000000}"/>
    <hyperlink ref="E952" r:id="rId47" xr:uid="{00000000-0004-0000-0600-00002E000000}"/>
    <hyperlink ref="E966" r:id="rId48" xr:uid="{00000000-0004-0000-0600-00002F000000}"/>
    <hyperlink ref="E994" r:id="rId49" xr:uid="{00000000-0004-0000-0600-000030000000}"/>
    <hyperlink ref="E983" r:id="rId50" xr:uid="{00000000-0004-0000-0600-000031000000}"/>
    <hyperlink ref="E948" r:id="rId51" xr:uid="{00000000-0004-0000-0600-000032000000}"/>
    <hyperlink ref="E985" r:id="rId52" xr:uid="{00000000-0004-0000-0600-000033000000}"/>
    <hyperlink ref="E963" r:id="rId53" xr:uid="{00000000-0004-0000-0600-000034000000}"/>
    <hyperlink ref="E971" r:id="rId54" xr:uid="{00000000-0004-0000-0600-000035000000}"/>
    <hyperlink ref="E986" r:id="rId55" xr:uid="{00000000-0004-0000-0600-000036000000}"/>
    <hyperlink ref="E987" r:id="rId56" xr:uid="{00000000-0004-0000-0600-000037000000}"/>
    <hyperlink ref="E958" r:id="rId57" xr:uid="{00000000-0004-0000-0600-000038000000}"/>
    <hyperlink ref="E940" r:id="rId58" xr:uid="{00000000-0004-0000-0600-000039000000}"/>
    <hyperlink ref="E974" r:id="rId59" xr:uid="{00000000-0004-0000-0600-00003A000000}"/>
    <hyperlink ref="E984" r:id="rId60" xr:uid="{00000000-0004-0000-0600-00003B000000}"/>
    <hyperlink ref="E960" r:id="rId61" xr:uid="{00000000-0004-0000-0600-00003C000000}"/>
    <hyperlink ref="E967" r:id="rId62" xr:uid="{00000000-0004-0000-0600-00003D000000}"/>
    <hyperlink ref="E926" r:id="rId63" xr:uid="{00000000-0004-0000-0600-00003E000000}"/>
    <hyperlink ref="E968" r:id="rId64" xr:uid="{00000000-0004-0000-0600-00003F000000}"/>
    <hyperlink ref="E964" r:id="rId65" xr:uid="{00000000-0004-0000-0600-000040000000}"/>
    <hyperlink ref="E970" r:id="rId66" xr:uid="{00000000-0004-0000-0600-000041000000}"/>
    <hyperlink ref="E925" r:id="rId67" xr:uid="{00000000-0004-0000-0600-000042000000}"/>
    <hyperlink ref="E943" r:id="rId68" xr:uid="{00000000-0004-0000-0600-000043000000}"/>
    <hyperlink ref="E959" r:id="rId69" xr:uid="{00000000-0004-0000-0600-000044000000}"/>
    <hyperlink ref="E951" r:id="rId70" xr:uid="{00000000-0004-0000-0600-000045000000}"/>
    <hyperlink ref="E944" r:id="rId71" xr:uid="{00000000-0004-0000-0600-000046000000}"/>
    <hyperlink ref="E955" r:id="rId72" xr:uid="{00000000-0004-0000-0600-000047000000}"/>
    <hyperlink ref="E946" r:id="rId73" xr:uid="{00000000-0004-0000-0600-000048000000}"/>
    <hyperlink ref="E956" r:id="rId74" xr:uid="{00000000-0004-0000-0600-000049000000}"/>
    <hyperlink ref="E953" r:id="rId75" xr:uid="{00000000-0004-0000-0600-00004A000000}"/>
    <hyperlink ref="E942" r:id="rId76" xr:uid="{00000000-0004-0000-0600-00004B000000}"/>
    <hyperlink ref="E945" r:id="rId77" xr:uid="{00000000-0004-0000-0600-00004C000000}"/>
    <hyperlink ref="E954" r:id="rId78" xr:uid="{00000000-0004-0000-0600-00004D000000}"/>
    <hyperlink ref="E950" r:id="rId79" xr:uid="{00000000-0004-0000-0600-00004E000000}"/>
    <hyperlink ref="E909" r:id="rId80" xr:uid="{00000000-0004-0000-0600-00004F000000}"/>
    <hyperlink ref="E947" r:id="rId81" xr:uid="{00000000-0004-0000-0600-000050000000}"/>
    <hyperlink ref="E923" r:id="rId82" xr:uid="{00000000-0004-0000-0600-000051000000}"/>
    <hyperlink ref="E941" r:id="rId83" xr:uid="{00000000-0004-0000-0600-000052000000}"/>
    <hyperlink ref="E949" r:id="rId84" xr:uid="{00000000-0004-0000-0600-000053000000}"/>
    <hyperlink ref="E919" r:id="rId85" xr:uid="{00000000-0004-0000-0600-000054000000}"/>
    <hyperlink ref="E929" r:id="rId86" xr:uid="{00000000-0004-0000-0600-000055000000}"/>
    <hyperlink ref="E937" r:id="rId87" xr:uid="{00000000-0004-0000-0600-000056000000}"/>
    <hyperlink ref="E938" r:id="rId88" xr:uid="{00000000-0004-0000-0600-000057000000}"/>
    <hyperlink ref="E939" r:id="rId89" xr:uid="{00000000-0004-0000-0600-000058000000}"/>
    <hyperlink ref="E935" r:id="rId90" xr:uid="{00000000-0004-0000-0600-000059000000}"/>
    <hyperlink ref="E924" r:id="rId91" xr:uid="{00000000-0004-0000-0600-00005A000000}"/>
    <hyperlink ref="E928" r:id="rId92" xr:uid="{00000000-0004-0000-0600-00005B000000}"/>
    <hyperlink ref="E930" r:id="rId93" xr:uid="{00000000-0004-0000-0600-00005C000000}"/>
    <hyperlink ref="E931" r:id="rId94" xr:uid="{00000000-0004-0000-0600-00005D000000}"/>
    <hyperlink ref="E932" r:id="rId95" xr:uid="{00000000-0004-0000-0600-00005E000000}"/>
    <hyperlink ref="E922" r:id="rId96" xr:uid="{00000000-0004-0000-0600-00005F000000}"/>
    <hyperlink ref="E936" r:id="rId97" xr:uid="{00000000-0004-0000-0600-000060000000}"/>
    <hyperlink ref="E915" r:id="rId98" xr:uid="{00000000-0004-0000-0600-000061000000}"/>
    <hyperlink ref="E934" r:id="rId99" xr:uid="{00000000-0004-0000-0600-000062000000}"/>
    <hyperlink ref="E933" r:id="rId100" xr:uid="{00000000-0004-0000-0600-000063000000}"/>
    <hyperlink ref="E921" r:id="rId101" xr:uid="{00000000-0004-0000-0600-000064000000}"/>
    <hyperlink ref="E927" r:id="rId102" xr:uid="{00000000-0004-0000-0600-000065000000}"/>
    <hyperlink ref="E913" r:id="rId103" xr:uid="{00000000-0004-0000-0600-000066000000}"/>
    <hyperlink ref="E917" r:id="rId104" xr:uid="{00000000-0004-0000-0600-000067000000}"/>
    <hyperlink ref="E905" r:id="rId105" xr:uid="{00000000-0004-0000-0600-000068000000}"/>
    <hyperlink ref="E918" r:id="rId106" xr:uid="{00000000-0004-0000-0600-000069000000}"/>
    <hyperlink ref="E916" r:id="rId107" xr:uid="{00000000-0004-0000-0600-00006A000000}"/>
    <hyperlink ref="E920" r:id="rId108" xr:uid="{00000000-0004-0000-0600-00006B000000}"/>
    <hyperlink ref="E914" r:id="rId109" xr:uid="{00000000-0004-0000-0600-00006C000000}"/>
    <hyperlink ref="E912" r:id="rId110" xr:uid="{00000000-0004-0000-0600-00006D000000}"/>
    <hyperlink ref="E897" r:id="rId111" xr:uid="{00000000-0004-0000-0600-00006E000000}"/>
    <hyperlink ref="E898" r:id="rId112" xr:uid="{00000000-0004-0000-0600-00006F000000}"/>
    <hyperlink ref="E901" r:id="rId113" xr:uid="{00000000-0004-0000-0600-000070000000}"/>
    <hyperlink ref="E904" r:id="rId114" xr:uid="{00000000-0004-0000-0600-000071000000}"/>
    <hyperlink ref="E906" r:id="rId115" xr:uid="{00000000-0004-0000-0600-000072000000}"/>
    <hyperlink ref="E911" r:id="rId116" xr:uid="{00000000-0004-0000-0600-000073000000}"/>
    <hyperlink ref="E910" r:id="rId117" xr:uid="{00000000-0004-0000-0600-000074000000}"/>
    <hyperlink ref="E902" r:id="rId118" xr:uid="{00000000-0004-0000-0600-000075000000}"/>
    <hyperlink ref="E907" r:id="rId119" xr:uid="{00000000-0004-0000-0600-000076000000}"/>
    <hyperlink ref="E896" r:id="rId120" xr:uid="{00000000-0004-0000-0600-000077000000}"/>
    <hyperlink ref="E888" r:id="rId121" xr:uid="{00000000-0004-0000-0600-000078000000}"/>
    <hyperlink ref="E899" r:id="rId122" xr:uid="{00000000-0004-0000-0600-000079000000}"/>
    <hyperlink ref="E908" r:id="rId123" xr:uid="{00000000-0004-0000-0600-00007A000000}"/>
    <hyperlink ref="E884" r:id="rId124" xr:uid="{00000000-0004-0000-0600-00007B000000}"/>
    <hyperlink ref="E886" r:id="rId125" xr:uid="{00000000-0004-0000-0600-00007C000000}"/>
    <hyperlink ref="E887" r:id="rId126" xr:uid="{00000000-0004-0000-0600-00007D000000}"/>
    <hyperlink ref="E903" r:id="rId127" xr:uid="{00000000-0004-0000-0600-00007E000000}"/>
    <hyperlink ref="E900" r:id="rId128" xr:uid="{00000000-0004-0000-0600-00007F000000}"/>
    <hyperlink ref="E893" r:id="rId129" xr:uid="{00000000-0004-0000-0600-000080000000}"/>
    <hyperlink ref="E894" r:id="rId130" xr:uid="{00000000-0004-0000-0600-000081000000}"/>
    <hyperlink ref="E889" r:id="rId131" xr:uid="{00000000-0004-0000-0600-000082000000}"/>
    <hyperlink ref="E885" r:id="rId132" xr:uid="{00000000-0004-0000-0600-000083000000}"/>
    <hyperlink ref="E892" r:id="rId133" xr:uid="{00000000-0004-0000-0600-000084000000}"/>
    <hyperlink ref="E880" r:id="rId134" xr:uid="{00000000-0004-0000-0600-000085000000}"/>
    <hyperlink ref="E882" r:id="rId135" xr:uid="{00000000-0004-0000-0600-000086000000}"/>
    <hyperlink ref="E895" r:id="rId136" xr:uid="{00000000-0004-0000-0600-000087000000}"/>
    <hyperlink ref="E871" r:id="rId137" xr:uid="{00000000-0004-0000-0600-000088000000}"/>
    <hyperlink ref="E890" r:id="rId138" xr:uid="{00000000-0004-0000-0600-000089000000}"/>
    <hyperlink ref="E891" r:id="rId139" xr:uid="{00000000-0004-0000-0600-00008A000000}"/>
    <hyperlink ref="E883" r:id="rId140" xr:uid="{00000000-0004-0000-0600-00008B000000}"/>
    <hyperlink ref="E873" r:id="rId141" xr:uid="{00000000-0004-0000-0600-00008C000000}"/>
    <hyperlink ref="E881" r:id="rId142" xr:uid="{00000000-0004-0000-0600-00008D000000}"/>
    <hyperlink ref="E877" r:id="rId143" xr:uid="{00000000-0004-0000-0600-00008E000000}"/>
    <hyperlink ref="E857" r:id="rId144" xr:uid="{00000000-0004-0000-0600-00008F000000}"/>
    <hyperlink ref="E874" r:id="rId145" xr:uid="{00000000-0004-0000-0600-000090000000}"/>
    <hyperlink ref="E809" r:id="rId146" xr:uid="{00000000-0004-0000-0600-000091000000}"/>
    <hyperlink ref="E879" r:id="rId147" xr:uid="{00000000-0004-0000-0600-000092000000}"/>
    <hyperlink ref="E868" r:id="rId148" xr:uid="{00000000-0004-0000-0600-000093000000}"/>
    <hyperlink ref="E810" r:id="rId149" xr:uid="{00000000-0004-0000-0600-000094000000}"/>
    <hyperlink ref="E878" r:id="rId150" xr:uid="{00000000-0004-0000-0600-000095000000}"/>
    <hyperlink ref="E875" r:id="rId151" xr:uid="{00000000-0004-0000-0600-000096000000}"/>
    <hyperlink ref="E858" r:id="rId152" xr:uid="{00000000-0004-0000-0600-000097000000}"/>
    <hyperlink ref="E859" r:id="rId153" xr:uid="{00000000-0004-0000-0600-000098000000}"/>
    <hyperlink ref="E870" r:id="rId154" xr:uid="{00000000-0004-0000-0600-000099000000}"/>
    <hyperlink ref="E811" r:id="rId155" xr:uid="{00000000-0004-0000-0600-00009A000000}"/>
    <hyperlink ref="E869" r:id="rId156" xr:uid="{00000000-0004-0000-0600-00009B000000}"/>
    <hyperlink ref="E854" r:id="rId157" xr:uid="{00000000-0004-0000-0600-00009C000000}"/>
    <hyperlink ref="E860" r:id="rId158" xr:uid="{00000000-0004-0000-0600-00009D000000}"/>
    <hyperlink ref="E876" r:id="rId159" xr:uid="{00000000-0004-0000-0600-00009E000000}"/>
    <hyperlink ref="E872" r:id="rId160" xr:uid="{00000000-0004-0000-0600-00009F000000}"/>
    <hyperlink ref="E787" r:id="rId161" xr:uid="{00000000-0004-0000-0600-0000A0000000}"/>
    <hyperlink ref="E502" r:id="rId162" xr:uid="{00000000-0004-0000-0600-0000A1000000}"/>
    <hyperlink ref="E786" r:id="rId163" xr:uid="{00000000-0004-0000-0600-0000A2000000}"/>
    <hyperlink ref="E867" r:id="rId164" xr:uid="{00000000-0004-0000-0600-0000A3000000}"/>
    <hyperlink ref="E828" r:id="rId165" xr:uid="{00000000-0004-0000-0600-0000A4000000}"/>
    <hyperlink ref="E866" r:id="rId166" xr:uid="{00000000-0004-0000-0600-0000A5000000}"/>
    <hyperlink ref="E865" r:id="rId167" xr:uid="{00000000-0004-0000-0600-0000A6000000}"/>
    <hyperlink ref="E864" r:id="rId168" xr:uid="{00000000-0004-0000-0600-0000A7000000}"/>
    <hyperlink ref="E861" r:id="rId169" xr:uid="{00000000-0004-0000-0600-0000A8000000}"/>
    <hyperlink ref="E863" r:id="rId170" xr:uid="{00000000-0004-0000-0600-0000A9000000}"/>
    <hyperlink ref="E831" r:id="rId171" xr:uid="{00000000-0004-0000-0600-0000AA000000}"/>
    <hyperlink ref="E813" r:id="rId172" xr:uid="{00000000-0004-0000-0600-0000AB000000}"/>
    <hyperlink ref="E812" r:id="rId173" xr:uid="{00000000-0004-0000-0600-0000AC000000}"/>
    <hyperlink ref="E853" r:id="rId174" xr:uid="{00000000-0004-0000-0600-0000AD000000}"/>
    <hyperlink ref="E843" r:id="rId175" xr:uid="{00000000-0004-0000-0600-0000AE000000}"/>
    <hyperlink ref="E856" r:id="rId176" xr:uid="{00000000-0004-0000-0600-0000AF000000}"/>
    <hyperlink ref="E818" r:id="rId177" xr:uid="{00000000-0004-0000-0600-0000B0000000}"/>
    <hyperlink ref="E827" r:id="rId178" xr:uid="{00000000-0004-0000-0600-0000B1000000}"/>
    <hyperlink ref="E836" r:id="rId179" xr:uid="{00000000-0004-0000-0600-0000B2000000}"/>
    <hyperlink ref="E839" r:id="rId180" xr:uid="{00000000-0004-0000-0600-0000B3000000}"/>
    <hyperlink ref="E838" r:id="rId181" xr:uid="{00000000-0004-0000-0600-0000B4000000}"/>
    <hyperlink ref="E788" r:id="rId182" xr:uid="{00000000-0004-0000-0600-0000B5000000}"/>
    <hyperlink ref="E841" r:id="rId183" xr:uid="{00000000-0004-0000-0600-0000B6000000}"/>
    <hyperlink ref="E826" r:id="rId184" xr:uid="{00000000-0004-0000-0600-0000B7000000}"/>
    <hyperlink ref="E821" r:id="rId185" xr:uid="{00000000-0004-0000-0600-0000B8000000}"/>
    <hyperlink ref="E820" r:id="rId186" xr:uid="{00000000-0004-0000-0600-0000B9000000}"/>
    <hyperlink ref="E842" r:id="rId187" xr:uid="{00000000-0004-0000-0600-0000BA000000}"/>
    <hyperlink ref="E837" r:id="rId188" xr:uid="{00000000-0004-0000-0600-0000BB000000}"/>
    <hyperlink ref="E765" r:id="rId189" xr:uid="{00000000-0004-0000-0600-0000BC000000}"/>
    <hyperlink ref="E840" r:id="rId190" xr:uid="{00000000-0004-0000-0600-0000BD000000}"/>
    <hyperlink ref="E851" r:id="rId191" xr:uid="{00000000-0004-0000-0600-0000BE000000}"/>
    <hyperlink ref="E844" r:id="rId192" xr:uid="{00000000-0004-0000-0600-0000BF000000}"/>
    <hyperlink ref="E808" r:id="rId193" xr:uid="{00000000-0004-0000-0600-0000C0000000}"/>
    <hyperlink ref="E846" r:id="rId194" xr:uid="{00000000-0004-0000-0600-0000C1000000}"/>
    <hyperlink ref="E845" r:id="rId195" xr:uid="{00000000-0004-0000-0600-0000C2000000}"/>
    <hyperlink ref="E807" r:id="rId196" xr:uid="{00000000-0004-0000-0600-0000C3000000}"/>
    <hyperlink ref="E835" r:id="rId197" xr:uid="{00000000-0004-0000-0600-0000C4000000}"/>
    <hyperlink ref="E756" r:id="rId198" xr:uid="{00000000-0004-0000-0600-0000C5000000}"/>
    <hyperlink ref="E850" r:id="rId199" xr:uid="{00000000-0004-0000-0600-0000C6000000}"/>
    <hyperlink ref="E817" r:id="rId200" xr:uid="{00000000-0004-0000-0600-0000C7000000}"/>
    <hyperlink ref="E834" r:id="rId201" xr:uid="{00000000-0004-0000-0600-0000C8000000}"/>
    <hyperlink ref="E849" r:id="rId202" xr:uid="{00000000-0004-0000-0600-0000C9000000}"/>
    <hyperlink ref="E799" r:id="rId203" xr:uid="{00000000-0004-0000-0600-0000CA000000}"/>
    <hyperlink ref="E805" r:id="rId204" xr:uid="{00000000-0004-0000-0600-0000CB000000}"/>
    <hyperlink ref="E797" r:id="rId205" xr:uid="{00000000-0004-0000-0600-0000CC000000}"/>
    <hyperlink ref="E825" r:id="rId206" xr:uid="{00000000-0004-0000-0600-0000CD000000}"/>
    <hyperlink ref="E832" r:id="rId207" xr:uid="{00000000-0004-0000-0600-0000CE000000}"/>
    <hyperlink ref="E819" r:id="rId208" xr:uid="{00000000-0004-0000-0600-0000CF000000}"/>
    <hyperlink ref="E830" r:id="rId209" xr:uid="{00000000-0004-0000-0600-0000D0000000}"/>
    <hyperlink ref="E824" r:id="rId210" xr:uid="{00000000-0004-0000-0600-0000D1000000}"/>
    <hyperlink ref="E766" r:id="rId211" xr:uid="{00000000-0004-0000-0600-0000D2000000}"/>
    <hyperlink ref="E829" r:id="rId212" xr:uid="{00000000-0004-0000-0600-0000D3000000}"/>
    <hyperlink ref="E783" r:id="rId213" xr:uid="{00000000-0004-0000-0600-0000D4000000}"/>
    <hyperlink ref="E738" r:id="rId214" xr:uid="{00000000-0004-0000-0600-0000D5000000}"/>
    <hyperlink ref="E822" r:id="rId215" xr:uid="{00000000-0004-0000-0600-0000D6000000}"/>
    <hyperlink ref="E816" r:id="rId216" xr:uid="{00000000-0004-0000-0600-0000D7000000}"/>
    <hyperlink ref="E815" r:id="rId217" xr:uid="{00000000-0004-0000-0600-0000D8000000}"/>
    <hyperlink ref="E823" r:id="rId218" xr:uid="{00000000-0004-0000-0600-0000D9000000}"/>
    <hyperlink ref="E814" r:id="rId219" xr:uid="{00000000-0004-0000-0600-0000DA000000}"/>
    <hyperlink ref="E800" r:id="rId220" xr:uid="{00000000-0004-0000-0600-0000DB000000}"/>
    <hyperlink ref="E727" r:id="rId221" xr:uid="{00000000-0004-0000-0600-0000DC000000}"/>
    <hyperlink ref="E802" r:id="rId222" xr:uid="{00000000-0004-0000-0600-0000DD000000}"/>
    <hyperlink ref="E801" r:id="rId223" xr:uid="{00000000-0004-0000-0600-0000DE000000}"/>
    <hyperlink ref="E804" r:id="rId224" xr:uid="{00000000-0004-0000-0600-0000DF000000}"/>
    <hyperlink ref="E784" r:id="rId225" xr:uid="{00000000-0004-0000-0600-0000E0000000}"/>
    <hyperlink ref="E794" r:id="rId226" xr:uid="{00000000-0004-0000-0600-0000E1000000}"/>
    <hyperlink ref="E806" r:id="rId227" xr:uid="{00000000-0004-0000-0600-0000E2000000}"/>
    <hyperlink ref="E803" r:id="rId228" xr:uid="{00000000-0004-0000-0600-0000E3000000}"/>
    <hyperlink ref="E782" r:id="rId229" xr:uid="{00000000-0004-0000-0600-0000E4000000}"/>
    <hyperlink ref="E796" r:id="rId230" xr:uid="{00000000-0004-0000-0600-0000E5000000}"/>
    <hyperlink ref="E790" r:id="rId231" xr:uid="{00000000-0004-0000-0600-0000E6000000}"/>
    <hyperlink ref="E789" r:id="rId232" xr:uid="{00000000-0004-0000-0600-0000E7000000}"/>
    <hyperlink ref="E791" r:id="rId233" xr:uid="{00000000-0004-0000-0600-0000E8000000}"/>
    <hyperlink ref="E776" r:id="rId234" xr:uid="{00000000-0004-0000-0600-0000E9000000}"/>
    <hyperlink ref="E785" r:id="rId235" xr:uid="{00000000-0004-0000-0600-0000EA000000}"/>
    <hyperlink ref="E795" r:id="rId236" xr:uid="{00000000-0004-0000-0600-0000EB000000}"/>
    <hyperlink ref="E774" r:id="rId237" xr:uid="{00000000-0004-0000-0600-0000EC000000}"/>
    <hyperlink ref="E793" r:id="rId238" xr:uid="{00000000-0004-0000-0600-0000ED000000}"/>
    <hyperlink ref="E792" r:id="rId239" xr:uid="{00000000-0004-0000-0600-0000EE000000}"/>
    <hyperlink ref="E705" r:id="rId240" xr:uid="{00000000-0004-0000-0600-0000EF000000}"/>
    <hyperlink ref="E726" r:id="rId241" xr:uid="{00000000-0004-0000-0600-0000F0000000}"/>
    <hyperlink ref="E779" r:id="rId242" xr:uid="{00000000-0004-0000-0600-0000F1000000}"/>
    <hyperlink ref="E778" r:id="rId243" xr:uid="{00000000-0004-0000-0600-0000F2000000}"/>
    <hyperlink ref="E759" r:id="rId244" xr:uid="{00000000-0004-0000-0600-0000F3000000}"/>
    <hyperlink ref="E758" r:id="rId245" xr:uid="{00000000-0004-0000-0600-0000F4000000}"/>
    <hyperlink ref="E781" r:id="rId246" xr:uid="{00000000-0004-0000-0600-0000F5000000}"/>
    <hyperlink ref="E775" r:id="rId247" xr:uid="{00000000-0004-0000-0600-0000F6000000}"/>
    <hyperlink ref="E780" r:id="rId248" xr:uid="{00000000-0004-0000-0600-0000F7000000}"/>
    <hyperlink ref="E771" r:id="rId249" xr:uid="{00000000-0004-0000-0600-0000F8000000}"/>
    <hyperlink ref="E777" r:id="rId250" xr:uid="{00000000-0004-0000-0600-0000F9000000}"/>
    <hyperlink ref="E773" r:id="rId251" xr:uid="{00000000-0004-0000-0600-0000FA000000}"/>
    <hyperlink ref="E769" r:id="rId252" xr:uid="{00000000-0004-0000-0600-0000FB000000}"/>
    <hyperlink ref="E746" r:id="rId253" xr:uid="{00000000-0004-0000-0600-0000FC000000}"/>
    <hyperlink ref="E770" r:id="rId254" xr:uid="{00000000-0004-0000-0600-0000FD000000}"/>
    <hyperlink ref="E768" r:id="rId255" xr:uid="{00000000-0004-0000-0600-0000FE000000}"/>
    <hyperlink ref="E751" r:id="rId256" xr:uid="{00000000-0004-0000-0600-0000FF000000}"/>
    <hyperlink ref="E760" r:id="rId257" xr:uid="{00000000-0004-0000-0600-000000010000}"/>
    <hyperlink ref="E772" r:id="rId258" xr:uid="{00000000-0004-0000-0600-000001010000}"/>
    <hyperlink ref="E747" r:id="rId259" xr:uid="{00000000-0004-0000-0600-000002010000}"/>
    <hyperlink ref="E767" r:id="rId260" xr:uid="{00000000-0004-0000-0600-000003010000}"/>
    <hyperlink ref="E764" r:id="rId261" xr:uid="{00000000-0004-0000-0600-000004010000}"/>
    <hyperlink ref="E757" r:id="rId262" xr:uid="{00000000-0004-0000-0600-000005010000}"/>
    <hyperlink ref="E763" r:id="rId263" xr:uid="{00000000-0004-0000-0600-000006010000}"/>
    <hyperlink ref="E762" r:id="rId264" xr:uid="{00000000-0004-0000-0600-000007010000}"/>
    <hyperlink ref="E741" r:id="rId265" xr:uid="{00000000-0004-0000-0600-000008010000}"/>
    <hyperlink ref="E753" r:id="rId266" xr:uid="{00000000-0004-0000-0600-000009010000}"/>
    <hyperlink ref="E731" r:id="rId267" xr:uid="{00000000-0004-0000-0600-00000A010000}"/>
    <hyperlink ref="E744" r:id="rId268" xr:uid="{00000000-0004-0000-0600-00000B010000}"/>
    <hyperlink ref="E749" r:id="rId269" xr:uid="{00000000-0004-0000-0600-00000C010000}"/>
    <hyperlink ref="E754" r:id="rId270" xr:uid="{00000000-0004-0000-0600-00000D010000}"/>
    <hyperlink ref="E711" r:id="rId271" xr:uid="{00000000-0004-0000-0600-00000E010000}"/>
    <hyperlink ref="E739" r:id="rId272" xr:uid="{00000000-0004-0000-0600-00000F010000}"/>
    <hyperlink ref="E745" r:id="rId273" xr:uid="{00000000-0004-0000-0600-000010010000}"/>
    <hyperlink ref="E743" r:id="rId274" xr:uid="{00000000-0004-0000-0600-000011010000}"/>
    <hyperlink ref="E755" r:id="rId275" xr:uid="{00000000-0004-0000-0600-000012010000}"/>
    <hyperlink ref="E750" r:id="rId276" xr:uid="{00000000-0004-0000-0600-000013010000}"/>
    <hyperlink ref="E748" r:id="rId277" xr:uid="{00000000-0004-0000-0600-000014010000}"/>
    <hyperlink ref="E752" r:id="rId278" xr:uid="{00000000-0004-0000-0600-000015010000}"/>
    <hyperlink ref="E742" r:id="rId279" xr:uid="{00000000-0004-0000-0600-000016010000}"/>
    <hyperlink ref="E701" r:id="rId280" xr:uid="{00000000-0004-0000-0600-000017010000}"/>
    <hyperlink ref="E740" r:id="rId281" xr:uid="{00000000-0004-0000-0600-000018010000}"/>
    <hyperlink ref="E708" r:id="rId282" xr:uid="{00000000-0004-0000-0600-000019010000}"/>
    <hyperlink ref="E709" r:id="rId283" xr:uid="{00000000-0004-0000-0600-00001A010000}"/>
    <hyperlink ref="E737" r:id="rId284" xr:uid="{00000000-0004-0000-0600-00001B010000}"/>
    <hyperlink ref="E724" r:id="rId285" xr:uid="{00000000-0004-0000-0600-00001C010000}"/>
    <hyperlink ref="E722" r:id="rId286" xr:uid="{00000000-0004-0000-0600-00001D010000}"/>
    <hyperlink ref="D723" r:id="rId287" location="firstLink5" xr:uid="{00000000-0004-0000-0600-00001E010000}"/>
    <hyperlink ref="E725" r:id="rId288" xr:uid="{00000000-0004-0000-0600-00001F010000}"/>
    <hyperlink ref="E728" r:id="rId289" xr:uid="{00000000-0004-0000-0600-000020010000}"/>
    <hyperlink ref="E712" r:id="rId290" xr:uid="{00000000-0004-0000-0600-000021010000}"/>
    <hyperlink ref="E723" r:id="rId291" xr:uid="{00000000-0004-0000-0600-000022010000}"/>
    <hyperlink ref="E704" r:id="rId292" xr:uid="{00000000-0004-0000-0600-000023010000}"/>
    <hyperlink ref="E732" r:id="rId293" xr:uid="{00000000-0004-0000-0600-000024010000}"/>
    <hyperlink ref="E717" r:id="rId294" xr:uid="{00000000-0004-0000-0600-000025010000}"/>
    <hyperlink ref="E718" r:id="rId295" xr:uid="{00000000-0004-0000-0600-000026010000}"/>
    <hyperlink ref="E734" r:id="rId296" xr:uid="{00000000-0004-0000-0600-000027010000}"/>
    <hyperlink ref="E730" r:id="rId297" xr:uid="{00000000-0004-0000-0600-000028010000}"/>
    <hyperlink ref="E733" r:id="rId298" xr:uid="{00000000-0004-0000-0600-000029010000}"/>
    <hyperlink ref="E729" r:id="rId299" xr:uid="{00000000-0004-0000-0600-00002A010000}"/>
    <hyperlink ref="E721" r:id="rId300" xr:uid="{00000000-0004-0000-0600-00002B010000}"/>
    <hyperlink ref="E716" r:id="rId301" xr:uid="{00000000-0004-0000-0600-00002C010000}"/>
    <hyperlink ref="E714" r:id="rId302" xr:uid="{00000000-0004-0000-0600-00002D010000}"/>
    <hyperlink ref="E679" r:id="rId303" xr:uid="{00000000-0004-0000-0600-00002E010000}"/>
    <hyperlink ref="E680" r:id="rId304" xr:uid="{00000000-0004-0000-0600-00002F010000}"/>
    <hyperlink ref="E715" r:id="rId305" xr:uid="{00000000-0004-0000-0600-000030010000}"/>
    <hyperlink ref="E720" r:id="rId306" xr:uid="{00000000-0004-0000-0600-000031010000}"/>
    <hyperlink ref="E696" r:id="rId307" xr:uid="{00000000-0004-0000-0600-000032010000}"/>
    <hyperlink ref="E719" r:id="rId308" xr:uid="{00000000-0004-0000-0600-000033010000}"/>
    <hyperlink ref="E694" r:id="rId309" xr:uid="{00000000-0004-0000-0600-000034010000}"/>
    <hyperlink ref="E713" r:id="rId310" xr:uid="{00000000-0004-0000-0600-000035010000}"/>
    <hyperlink ref="E706" r:id="rId311" xr:uid="{00000000-0004-0000-0600-000036010000}"/>
    <hyperlink ref="E647" r:id="rId312" xr:uid="{00000000-0004-0000-0600-000037010000}"/>
    <hyperlink ref="E645" r:id="rId313" xr:uid="{00000000-0004-0000-0600-000038010000}"/>
    <hyperlink ref="E693" r:id="rId314" xr:uid="{00000000-0004-0000-0600-000039010000}"/>
    <hyperlink ref="E689" r:id="rId315" xr:uid="{00000000-0004-0000-0600-00003A010000}"/>
    <hyperlink ref="E703" r:id="rId316" xr:uid="{00000000-0004-0000-0600-00003B010000}"/>
    <hyperlink ref="E707" r:id="rId317" xr:uid="{00000000-0004-0000-0600-00003C010000}"/>
    <hyperlink ref="E710" r:id="rId318" xr:uid="{00000000-0004-0000-0600-00003D010000}"/>
    <hyperlink ref="E688" r:id="rId319" xr:uid="{00000000-0004-0000-0600-00003E010000}"/>
    <hyperlink ref="E639" r:id="rId320" xr:uid="{00000000-0004-0000-0600-00003F010000}"/>
    <hyperlink ref="E686" r:id="rId321" xr:uid="{00000000-0004-0000-0600-000040010000}"/>
    <hyperlink ref="E702" r:id="rId322" xr:uid="{00000000-0004-0000-0600-000041010000}"/>
    <hyperlink ref="E684" r:id="rId323" xr:uid="{00000000-0004-0000-0600-000042010000}"/>
    <hyperlink ref="E691" r:id="rId324" xr:uid="{00000000-0004-0000-0600-000043010000}"/>
    <hyperlink ref="E698" r:id="rId325" xr:uid="{00000000-0004-0000-0600-000044010000}"/>
    <hyperlink ref="E699" r:id="rId326" xr:uid="{00000000-0004-0000-0600-000045010000}"/>
    <hyperlink ref="E700" r:id="rId327" xr:uid="{00000000-0004-0000-0600-000046010000}"/>
    <hyperlink ref="E685" r:id="rId328" xr:uid="{00000000-0004-0000-0600-000047010000}"/>
    <hyperlink ref="E690" r:id="rId329" xr:uid="{00000000-0004-0000-0600-000048010000}"/>
    <hyperlink ref="E687" r:id="rId330" xr:uid="{00000000-0004-0000-0600-000049010000}"/>
    <hyperlink ref="E646" r:id="rId331" xr:uid="{00000000-0004-0000-0600-00004A010000}"/>
    <hyperlink ref="E654" r:id="rId332" xr:uid="{00000000-0004-0000-0600-00004B010000}"/>
    <hyperlink ref="E655" r:id="rId333" xr:uid="{00000000-0004-0000-0600-00004C010000}"/>
    <hyperlink ref="E652" r:id="rId334" xr:uid="{00000000-0004-0000-0600-00004D010000}"/>
    <hyperlink ref="E649" r:id="rId335" xr:uid="{00000000-0004-0000-0600-00004E010000}"/>
    <hyperlink ref="E640" r:id="rId336" xr:uid="{00000000-0004-0000-0600-00004F010000}"/>
    <hyperlink ref="E667" r:id="rId337" xr:uid="{00000000-0004-0000-0600-000050010000}"/>
    <hyperlink ref="E695" r:id="rId338" xr:uid="{00000000-0004-0000-0600-000051010000}"/>
    <hyperlink ref="E697" r:id="rId339" xr:uid="{00000000-0004-0000-0600-000052010000}"/>
    <hyperlink ref="E668" r:id="rId340" xr:uid="{00000000-0004-0000-0600-000053010000}"/>
    <hyperlink ref="E676" r:id="rId341" xr:uid="{00000000-0004-0000-0600-000054010000}"/>
    <hyperlink ref="E644" r:id="rId342" xr:uid="{00000000-0004-0000-0600-000055010000}"/>
    <hyperlink ref="E675" r:id="rId343" xr:uid="{00000000-0004-0000-0600-000056010000}"/>
    <hyperlink ref="E669" r:id="rId344" xr:uid="{00000000-0004-0000-0600-000057010000}"/>
    <hyperlink ref="E692" r:id="rId345" xr:uid="{00000000-0004-0000-0600-000058010000}"/>
    <hyperlink ref="E666" r:id="rId346" xr:uid="{00000000-0004-0000-0600-000059010000}"/>
    <hyperlink ref="E665" r:id="rId347" xr:uid="{00000000-0004-0000-0600-00005A010000}"/>
    <hyperlink ref="E678" r:id="rId348" xr:uid="{00000000-0004-0000-0600-00005B010000}"/>
    <hyperlink ref="E670" r:id="rId349" xr:uid="{00000000-0004-0000-0600-00005C010000}"/>
    <hyperlink ref="E671" r:id="rId350" xr:uid="{00000000-0004-0000-0600-00005D010000}"/>
    <hyperlink ref="E672" r:id="rId351" xr:uid="{00000000-0004-0000-0600-00005E010000}"/>
    <hyperlink ref="E658" r:id="rId352" xr:uid="{00000000-0004-0000-0600-00005F010000}"/>
    <hyperlink ref="E643" r:id="rId353" xr:uid="{00000000-0004-0000-0600-000060010000}"/>
    <hyperlink ref="E657" r:id="rId354" xr:uid="{00000000-0004-0000-0600-000061010000}"/>
    <hyperlink ref="E673" r:id="rId355" xr:uid="{00000000-0004-0000-0600-000062010000}"/>
    <hyperlink ref="E677" r:id="rId356" xr:uid="{00000000-0004-0000-0600-000063010000}"/>
    <hyperlink ref="E651" r:id="rId357" xr:uid="{00000000-0004-0000-0600-000064010000}"/>
    <hyperlink ref="E674" r:id="rId358" xr:uid="{00000000-0004-0000-0600-000065010000}"/>
    <hyperlink ref="E585" r:id="rId359" xr:uid="{00000000-0004-0000-0600-000066010000}"/>
    <hyperlink ref="E683" r:id="rId360" xr:uid="{00000000-0004-0000-0600-000067010000}"/>
    <hyperlink ref="E681" r:id="rId361" xr:uid="{00000000-0004-0000-0600-000068010000}"/>
    <hyperlink ref="E629" r:id="rId362" xr:uid="{00000000-0004-0000-0600-000069010000}"/>
    <hyperlink ref="E628" r:id="rId363" xr:uid="{00000000-0004-0000-0600-00006A010000}"/>
    <hyperlink ref="E627" r:id="rId364" xr:uid="{00000000-0004-0000-0600-00006B010000}"/>
    <hyperlink ref="E626" r:id="rId365" xr:uid="{00000000-0004-0000-0600-00006C010000}"/>
    <hyperlink ref="E682" r:id="rId366" xr:uid="{00000000-0004-0000-0600-00006D010000}"/>
    <hyperlink ref="E621" r:id="rId367" xr:uid="{00000000-0004-0000-0600-00006E010000}"/>
    <hyperlink ref="E641" r:id="rId368" xr:uid="{00000000-0004-0000-0600-00006F010000}"/>
    <hyperlink ref="E656" r:id="rId369" xr:uid="{00000000-0004-0000-0600-000070010000}"/>
    <hyperlink ref="E642" r:id="rId370" xr:uid="{00000000-0004-0000-0600-000071010000}"/>
    <hyperlink ref="E659" r:id="rId371" xr:uid="{00000000-0004-0000-0600-000072010000}"/>
    <hyperlink ref="E664" r:id="rId372" xr:uid="{00000000-0004-0000-0600-000073010000}"/>
    <hyperlink ref="E663" r:id="rId373" xr:uid="{00000000-0004-0000-0600-000074010000}"/>
    <hyperlink ref="E662" r:id="rId374" xr:uid="{00000000-0004-0000-0600-000075010000}"/>
    <hyperlink ref="E661" r:id="rId375" xr:uid="{00000000-0004-0000-0600-000076010000}"/>
    <hyperlink ref="E660" r:id="rId376" xr:uid="{00000000-0004-0000-0600-000077010000}"/>
    <hyperlink ref="E648" r:id="rId377" xr:uid="{00000000-0004-0000-0600-000078010000}"/>
    <hyperlink ref="E653" r:id="rId378" xr:uid="{00000000-0004-0000-0600-000079010000}"/>
    <hyperlink ref="E638" r:id="rId379" xr:uid="{00000000-0004-0000-0600-00007A010000}"/>
    <hyperlink ref="E650" r:id="rId380" xr:uid="{00000000-0004-0000-0600-00007B010000}"/>
    <hyperlink ref="E611" r:id="rId381" xr:uid="{00000000-0004-0000-0600-00007C010000}"/>
    <hyperlink ref="E475" r:id="rId382" xr:uid="{00000000-0004-0000-0600-00007D010000}"/>
    <hyperlink ref="E474" r:id="rId383" xr:uid="{00000000-0004-0000-0600-00007E010000}"/>
    <hyperlink ref="E607" r:id="rId384" xr:uid="{00000000-0004-0000-0600-00007F010000}"/>
    <hyperlink ref="E548" r:id="rId385" xr:uid="{00000000-0004-0000-0600-000080010000}"/>
    <hyperlink ref="E620" r:id="rId386" xr:uid="{00000000-0004-0000-0600-000081010000}"/>
    <hyperlink ref="E597" r:id="rId387" xr:uid="{00000000-0004-0000-0600-000082010000}"/>
    <hyperlink ref="E596" r:id="rId388" xr:uid="{00000000-0004-0000-0600-000083010000}"/>
    <hyperlink ref="E622" r:id="rId389" xr:uid="{00000000-0004-0000-0600-000084010000}"/>
    <hyperlink ref="E616" r:id="rId390" xr:uid="{00000000-0004-0000-0600-000085010000}"/>
    <hyperlink ref="E619" r:id="rId391" xr:uid="{00000000-0004-0000-0600-000086010000}"/>
    <hyperlink ref="E630" r:id="rId392" xr:uid="{00000000-0004-0000-0600-000087010000}"/>
    <hyperlink ref="E580" r:id="rId393" xr:uid="{00000000-0004-0000-0600-000088010000}"/>
    <hyperlink ref="E735" r:id="rId394" xr:uid="{00000000-0004-0000-0600-000089010000}"/>
    <hyperlink ref="E736" r:id="rId395" xr:uid="{00000000-0004-0000-0600-00008A010000}"/>
    <hyperlink ref="E631" r:id="rId396" xr:uid="{00000000-0004-0000-0600-00008B010000}"/>
    <hyperlink ref="E591" r:id="rId397" xr:uid="{00000000-0004-0000-0600-00008C010000}"/>
    <hyperlink ref="E637" r:id="rId398" xr:uid="{00000000-0004-0000-0600-00008D010000}"/>
    <hyperlink ref="E636" r:id="rId399" xr:uid="{00000000-0004-0000-0600-00008E010000}"/>
    <hyperlink ref="E635" r:id="rId400" xr:uid="{00000000-0004-0000-0600-00008F010000}"/>
    <hyperlink ref="E634" r:id="rId401" xr:uid="{00000000-0004-0000-0600-000090010000}"/>
    <hyperlink ref="E633" r:id="rId402" xr:uid="{00000000-0004-0000-0600-000091010000}"/>
    <hyperlink ref="E632" r:id="rId403" xr:uid="{00000000-0004-0000-0600-000092010000}"/>
    <hyperlink ref="E618" r:id="rId404" xr:uid="{00000000-0004-0000-0600-000093010000}"/>
    <hyperlink ref="E615" r:id="rId405" xr:uid="{00000000-0004-0000-0600-000094010000}"/>
    <hyperlink ref="E625" r:id="rId406" xr:uid="{00000000-0004-0000-0600-000095010000}"/>
    <hyperlink ref="E623" r:id="rId407" xr:uid="{00000000-0004-0000-0600-000096010000}"/>
    <hyperlink ref="E604" r:id="rId408" xr:uid="{00000000-0004-0000-0600-000097010000}"/>
    <hyperlink ref="E624" r:id="rId409" xr:uid="{00000000-0004-0000-0600-000098010000}"/>
    <hyperlink ref="E609" r:id="rId410" xr:uid="{00000000-0004-0000-0600-000099010000}"/>
    <hyperlink ref="E617" r:id="rId411" xr:uid="{00000000-0004-0000-0600-00009A010000}"/>
    <hyperlink ref="E531" r:id="rId412" xr:uid="{00000000-0004-0000-0600-00009B010000}"/>
    <hyperlink ref="E598" r:id="rId413" xr:uid="{00000000-0004-0000-0600-00009C010000}"/>
    <hyperlink ref="E613" r:id="rId414" xr:uid="{00000000-0004-0000-0600-00009D010000}"/>
    <hyperlink ref="E612" r:id="rId415" xr:uid="{00000000-0004-0000-0600-00009E010000}"/>
    <hyperlink ref="E608" r:id="rId416" xr:uid="{00000000-0004-0000-0600-00009F010000}"/>
    <hyperlink ref="E614" r:id="rId417" xr:uid="{00000000-0004-0000-0600-0000A0010000}"/>
    <hyperlink ref="E610" r:id="rId418" xr:uid="{00000000-0004-0000-0600-0000A1010000}"/>
    <hyperlink ref="E579" r:id="rId419" xr:uid="{00000000-0004-0000-0600-0000A2010000}"/>
    <hyperlink ref="E560" r:id="rId420" xr:uid="{00000000-0004-0000-0600-0000A3010000}"/>
    <hyperlink ref="E605" r:id="rId421" xr:uid="{00000000-0004-0000-0600-0000A4010000}"/>
    <hyperlink ref="E606" r:id="rId422" xr:uid="{00000000-0004-0000-0600-0000A5010000}"/>
    <hyperlink ref="E595" r:id="rId423" xr:uid="{00000000-0004-0000-0600-0000A6010000}"/>
    <hyperlink ref="E599" r:id="rId424" xr:uid="{00000000-0004-0000-0600-0000A7010000}"/>
    <hyperlink ref="E602" r:id="rId425" xr:uid="{00000000-0004-0000-0600-0000A8010000}"/>
    <hyperlink ref="E592" r:id="rId426" xr:uid="{00000000-0004-0000-0600-0000A9010000}"/>
    <hyperlink ref="E603" r:id="rId427" xr:uid="{00000000-0004-0000-0600-0000AA010000}"/>
    <hyperlink ref="E501" r:id="rId428" xr:uid="{00000000-0004-0000-0600-0000AB010000}"/>
    <hyperlink ref="E563" r:id="rId429" xr:uid="{00000000-0004-0000-0600-0000AC010000}"/>
    <hyperlink ref="E587" r:id="rId430" xr:uid="{00000000-0004-0000-0600-0000AD010000}"/>
    <hyperlink ref="E594" r:id="rId431" xr:uid="{00000000-0004-0000-0600-0000AE010000}"/>
    <hyperlink ref="E575" r:id="rId432" xr:uid="{00000000-0004-0000-0600-0000AF010000}"/>
    <hyperlink ref="E600" r:id="rId433" xr:uid="{00000000-0004-0000-0600-0000B0010000}"/>
    <hyperlink ref="E589" r:id="rId434" xr:uid="{00000000-0004-0000-0600-0000B1010000}"/>
    <hyperlink ref="E588" r:id="rId435" xr:uid="{00000000-0004-0000-0600-0000B2010000}"/>
    <hyperlink ref="E601" r:id="rId436" xr:uid="{00000000-0004-0000-0600-0000B3010000}"/>
    <hyperlink ref="E572" r:id="rId437" xr:uid="{00000000-0004-0000-0600-0000B4010000}"/>
    <hyperlink ref="E574" r:id="rId438" xr:uid="{00000000-0004-0000-0600-0000B5010000}"/>
    <hyperlink ref="E573" r:id="rId439" xr:uid="{00000000-0004-0000-0600-0000B6010000}"/>
    <hyperlink ref="E583" r:id="rId440" xr:uid="{00000000-0004-0000-0600-0000B7010000}"/>
    <hyperlink ref="E586" r:id="rId441" xr:uid="{00000000-0004-0000-0600-0000B8010000}"/>
    <hyperlink ref="E593" r:id="rId442" xr:uid="{00000000-0004-0000-0600-0000B9010000}"/>
    <hyperlink ref="E584" r:id="rId443" xr:uid="{00000000-0004-0000-0600-0000BA010000}"/>
    <hyperlink ref="E561" r:id="rId444" xr:uid="{00000000-0004-0000-0600-0000BB010000}"/>
    <hyperlink ref="E562" r:id="rId445" xr:uid="{00000000-0004-0000-0600-0000BC010000}"/>
    <hyperlink ref="E590" r:id="rId446" xr:uid="{00000000-0004-0000-0600-0000BD010000}"/>
    <hyperlink ref="E571" r:id="rId447" xr:uid="{00000000-0004-0000-0600-0000BE010000}"/>
    <hyperlink ref="E545" r:id="rId448" xr:uid="{00000000-0004-0000-0600-0000BF010000}"/>
    <hyperlink ref="E565" r:id="rId449" xr:uid="{00000000-0004-0000-0600-0000C0010000}"/>
    <hyperlink ref="E559" r:id="rId450" xr:uid="{00000000-0004-0000-0600-0000C1010000}"/>
    <hyperlink ref="E582" r:id="rId451" xr:uid="{00000000-0004-0000-0600-0000C2010000}"/>
    <hyperlink ref="E581" r:id="rId452" xr:uid="{00000000-0004-0000-0600-0000C3010000}"/>
    <hyperlink ref="E551" r:id="rId453" xr:uid="{00000000-0004-0000-0600-0000C4010000}"/>
    <hyperlink ref="E569" r:id="rId454" xr:uid="{00000000-0004-0000-0600-0000C5010000}"/>
    <hyperlink ref="E568" r:id="rId455" xr:uid="{00000000-0004-0000-0600-0000C6010000}"/>
    <hyperlink ref="E566" r:id="rId456" xr:uid="{00000000-0004-0000-0600-0000C7010000}"/>
    <hyperlink ref="E550" r:id="rId457" xr:uid="{00000000-0004-0000-0600-0000C8010000}"/>
    <hyperlink ref="E549" r:id="rId458" xr:uid="{00000000-0004-0000-0600-0000C9010000}"/>
    <hyperlink ref="E526" r:id="rId459" xr:uid="{00000000-0004-0000-0600-0000CA010000}"/>
    <hyperlink ref="E546" r:id="rId460" xr:uid="{00000000-0004-0000-0600-0000CB010000}"/>
    <hyperlink ref="E567" r:id="rId461" xr:uid="{00000000-0004-0000-0600-0000CC010000}"/>
    <hyperlink ref="E490" r:id="rId462" xr:uid="{00000000-0004-0000-0600-0000CD010000}"/>
    <hyperlink ref="E578" r:id="rId463" xr:uid="{00000000-0004-0000-0600-0000CE010000}"/>
    <hyperlink ref="E577" r:id="rId464" xr:uid="{00000000-0004-0000-0600-0000CF010000}"/>
    <hyperlink ref="E576" r:id="rId465" xr:uid="{00000000-0004-0000-0600-0000D0010000}"/>
    <hyperlink ref="E570" r:id="rId466" xr:uid="{00000000-0004-0000-0600-0000D1010000}"/>
    <hyperlink ref="E564" r:id="rId467" xr:uid="{00000000-0004-0000-0600-0000D2010000}"/>
    <hyperlink ref="E514" r:id="rId468" xr:uid="{00000000-0004-0000-0600-0000D3010000}"/>
    <hyperlink ref="E557" r:id="rId469" xr:uid="{00000000-0004-0000-0600-0000D4010000}"/>
    <hyperlink ref="E524" r:id="rId470" xr:uid="{00000000-0004-0000-0600-0000D5010000}"/>
    <hyperlink ref="E500" r:id="rId471" xr:uid="{00000000-0004-0000-0600-0000D6010000}"/>
    <hyperlink ref="E499" r:id="rId472" xr:uid="{00000000-0004-0000-0600-0000D7010000}"/>
    <hyperlink ref="E525" r:id="rId473" xr:uid="{00000000-0004-0000-0600-0000D8010000}"/>
    <hyperlink ref="E527" r:id="rId474" xr:uid="{00000000-0004-0000-0600-0000D9010000}"/>
    <hyperlink ref="E552" r:id="rId475" xr:uid="{00000000-0004-0000-0600-0000DA010000}"/>
    <hyperlink ref="E553" r:id="rId476" xr:uid="{00000000-0004-0000-0600-0000DB010000}"/>
    <hyperlink ref="E542" r:id="rId477" xr:uid="{00000000-0004-0000-0600-0000DC010000}"/>
    <hyperlink ref="E543" r:id="rId478" xr:uid="{00000000-0004-0000-0600-0000DD010000}"/>
    <hyperlink ref="E512" r:id="rId479" xr:uid="{00000000-0004-0000-0600-0000DE010000}"/>
    <hyperlink ref="E556" r:id="rId480" xr:uid="{00000000-0004-0000-0600-0000DF010000}"/>
    <hyperlink ref="E541" r:id="rId481" xr:uid="{00000000-0004-0000-0600-0000E0010000}"/>
    <hyperlink ref="E537" r:id="rId482" xr:uid="{00000000-0004-0000-0600-0000E1010000}"/>
    <hyperlink ref="E555" r:id="rId483" xr:uid="{00000000-0004-0000-0600-0000E2010000}"/>
    <hyperlink ref="E540" r:id="rId484" xr:uid="{00000000-0004-0000-0600-0000E3010000}"/>
    <hyperlink ref="E504" r:id="rId485" xr:uid="{00000000-0004-0000-0600-0000E4010000}"/>
    <hyperlink ref="E558" r:id="rId486" xr:uid="{00000000-0004-0000-0600-0000E5010000}"/>
    <hyperlink ref="E487" r:id="rId487" xr:uid="{00000000-0004-0000-0600-0000E6010000}"/>
    <hyperlink ref="E511" r:id="rId488" xr:uid="{00000000-0004-0000-0600-0000E7010000}"/>
    <hyperlink ref="E513" r:id="rId489" xr:uid="{00000000-0004-0000-0600-0000E8010000}"/>
    <hyperlink ref="E544" r:id="rId490" xr:uid="{00000000-0004-0000-0600-0000E9010000}"/>
    <hyperlink ref="E554" r:id="rId491" xr:uid="{00000000-0004-0000-0600-0000EA010000}"/>
    <hyperlink ref="E535" r:id="rId492" xr:uid="{00000000-0004-0000-0600-0000EB010000}"/>
    <hyperlink ref="E482" r:id="rId493" xr:uid="{00000000-0004-0000-0600-0000EC010000}"/>
    <hyperlink ref="E489" r:id="rId494" xr:uid="{00000000-0004-0000-0600-0000ED010000}"/>
    <hyperlink ref="E520" r:id="rId495" xr:uid="{00000000-0004-0000-0600-0000EE010000}"/>
    <hyperlink ref="E519" r:id="rId496" xr:uid="{00000000-0004-0000-0600-0000EF010000}"/>
    <hyperlink ref="E547" r:id="rId497" xr:uid="{00000000-0004-0000-0600-0000F0010000}"/>
    <hyperlink ref="E492" r:id="rId498" xr:uid="{00000000-0004-0000-0600-0000F1010000}"/>
    <hyperlink ref="E539" r:id="rId499" xr:uid="{00000000-0004-0000-0600-0000F2010000}"/>
    <hyperlink ref="E538" r:id="rId500" xr:uid="{00000000-0004-0000-0600-0000F3010000}"/>
    <hyperlink ref="E522" r:id="rId501" xr:uid="{00000000-0004-0000-0600-0000F4010000}"/>
    <hyperlink ref="E534" r:id="rId502" xr:uid="{00000000-0004-0000-0600-0000F5010000}"/>
    <hyperlink ref="E518" r:id="rId503" xr:uid="{00000000-0004-0000-0600-0000F6010000}"/>
    <hyperlink ref="E523" r:id="rId504" xr:uid="{00000000-0004-0000-0600-0000F7010000}"/>
    <hyperlink ref="E469" r:id="rId505" xr:uid="{00000000-0004-0000-0600-0000F8010000}"/>
    <hyperlink ref="E516" r:id="rId506" xr:uid="{00000000-0004-0000-0600-0000F9010000}"/>
    <hyperlink ref="E533" r:id="rId507" xr:uid="{00000000-0004-0000-0600-0000FA010000}"/>
    <hyperlink ref="E521" r:id="rId508" xr:uid="{00000000-0004-0000-0600-0000FB010000}"/>
    <hyperlink ref="E532" r:id="rId509" xr:uid="{00000000-0004-0000-0600-0000FC010000}"/>
    <hyperlink ref="E536" r:id="rId510" xr:uid="{00000000-0004-0000-0600-0000FD010000}"/>
    <hyperlink ref="E528" r:id="rId511" xr:uid="{00000000-0004-0000-0600-0000FE010000}"/>
    <hyperlink ref="E515" r:id="rId512" xr:uid="{00000000-0004-0000-0600-0000FF010000}"/>
    <hyperlink ref="E529" r:id="rId513" xr:uid="{00000000-0004-0000-0600-000000020000}"/>
    <hyperlink ref="E530" r:id="rId514" xr:uid="{00000000-0004-0000-0600-000001020000}"/>
    <hyperlink ref="E510" r:id="rId515" xr:uid="{00000000-0004-0000-0600-000002020000}"/>
    <hyperlink ref="E503" r:id="rId516" xr:uid="{00000000-0004-0000-0600-000003020000}"/>
    <hyperlink ref="E479" r:id="rId517" xr:uid="{00000000-0004-0000-0600-000004020000}"/>
    <hyperlink ref="E505" r:id="rId518" xr:uid="{00000000-0004-0000-0600-000005020000}"/>
    <hyperlink ref="E498" r:id="rId519" xr:uid="{00000000-0004-0000-0600-000006020000}"/>
    <hyperlink ref="E508" r:id="rId520" xr:uid="{00000000-0004-0000-0600-000007020000}"/>
    <hyperlink ref="E517" r:id="rId521" xr:uid="{00000000-0004-0000-0600-000008020000}"/>
    <hyperlink ref="E488" r:id="rId522" xr:uid="{00000000-0004-0000-0600-000009020000}"/>
    <hyperlink ref="E478" r:id="rId523" xr:uid="{00000000-0004-0000-0600-00000A020000}"/>
    <hyperlink ref="E497:E509" r:id="rId524" display="https://gem.gov.in/" xr:uid="{00000000-0004-0000-0600-00000B020000}"/>
    <hyperlink ref="E431" r:id="rId525" xr:uid="{00000000-0004-0000-0600-00000C020000}"/>
    <hyperlink ref="E496" r:id="rId526" xr:uid="{00000000-0004-0000-0600-00000D020000}"/>
    <hyperlink ref="E495" r:id="rId527" xr:uid="{00000000-0004-0000-0600-00000E020000}"/>
    <hyperlink ref="E491" r:id="rId528" xr:uid="{00000000-0004-0000-0600-00000F020000}"/>
    <hyperlink ref="E493" r:id="rId529" xr:uid="{00000000-0004-0000-0600-000010020000}"/>
    <hyperlink ref="E494" r:id="rId530" xr:uid="{00000000-0004-0000-0600-000011020000}"/>
    <hyperlink ref="E462" r:id="rId531" xr:uid="{00000000-0004-0000-0600-000012020000}"/>
    <hyperlink ref="E486" r:id="rId532" xr:uid="{00000000-0004-0000-0600-000013020000}"/>
    <hyperlink ref="E480" r:id="rId533" xr:uid="{00000000-0004-0000-0600-000014020000}"/>
    <hyperlink ref="E471" r:id="rId534" xr:uid="{00000000-0004-0000-0600-000015020000}"/>
    <hyperlink ref="E461" r:id="rId535" xr:uid="{00000000-0004-0000-0600-000016020000}"/>
    <hyperlink ref="E458" r:id="rId536" xr:uid="{00000000-0004-0000-0600-000017020000}"/>
    <hyperlink ref="E483" r:id="rId537" xr:uid="{00000000-0004-0000-0600-000018020000}"/>
    <hyperlink ref="E477" r:id="rId538" xr:uid="{00000000-0004-0000-0600-000019020000}"/>
    <hyperlink ref="E470" r:id="rId539" xr:uid="{00000000-0004-0000-0600-00001A020000}"/>
    <hyperlink ref="E463" r:id="rId540" xr:uid="{00000000-0004-0000-0600-00001B020000}"/>
    <hyperlink ref="E484" r:id="rId541" xr:uid="{00000000-0004-0000-0600-00001C020000}"/>
    <hyperlink ref="E472" r:id="rId542" xr:uid="{00000000-0004-0000-0600-00001D020000}"/>
    <hyperlink ref="E481" r:id="rId543" xr:uid="{00000000-0004-0000-0600-00001E020000}"/>
    <hyperlink ref="E451" r:id="rId544" xr:uid="{00000000-0004-0000-0600-00001F020000}"/>
    <hyperlink ref="E460" r:id="rId545" xr:uid="{00000000-0004-0000-0600-000020020000}"/>
    <hyperlink ref="E473" r:id="rId546" xr:uid="{00000000-0004-0000-0600-000021020000}"/>
    <hyperlink ref="E459" r:id="rId547" xr:uid="{00000000-0004-0000-0600-000022020000}"/>
    <hyperlink ref="E454" r:id="rId548" xr:uid="{00000000-0004-0000-0600-000023020000}"/>
    <hyperlink ref="E438" r:id="rId549" xr:uid="{00000000-0004-0000-0600-000024020000}"/>
    <hyperlink ref="E464" r:id="rId550" xr:uid="{00000000-0004-0000-0600-000025020000}"/>
    <hyperlink ref="E457" r:id="rId551" xr:uid="{00000000-0004-0000-0600-000026020000}"/>
    <hyperlink ref="E456" r:id="rId552" xr:uid="{00000000-0004-0000-0600-000027020000}"/>
    <hyperlink ref="E432" r:id="rId553" xr:uid="{00000000-0004-0000-0600-000028020000}"/>
    <hyperlink ref="E445" r:id="rId554" xr:uid="{00000000-0004-0000-0600-000029020000}"/>
    <hyperlink ref="E424" r:id="rId555" xr:uid="{00000000-0004-0000-0600-00002A020000}"/>
    <hyperlink ref="E441" r:id="rId556" xr:uid="{00000000-0004-0000-0600-00002B020000}"/>
    <hyperlink ref="E448" r:id="rId557" xr:uid="{00000000-0004-0000-0600-00002C020000}"/>
    <hyperlink ref="E447" r:id="rId558" xr:uid="{00000000-0004-0000-0600-00002D020000}"/>
    <hyperlink ref="E450" r:id="rId559" xr:uid="{00000000-0004-0000-0600-00002E020000}"/>
    <hyperlink ref="E422:E423" r:id="rId560" display="https://mptenders.gov.in/" xr:uid="{00000000-0004-0000-0600-00002F020000}"/>
    <hyperlink ref="E453" r:id="rId561" xr:uid="{00000000-0004-0000-0600-000030020000}"/>
    <hyperlink ref="E440" r:id="rId562" xr:uid="{00000000-0004-0000-0600-000031020000}"/>
    <hyperlink ref="E425" r:id="rId563" xr:uid="{00000000-0004-0000-0600-000032020000}"/>
    <hyperlink ref="E452" r:id="rId564" xr:uid="{00000000-0004-0000-0600-000033020000}"/>
    <hyperlink ref="E435" r:id="rId565" xr:uid="{00000000-0004-0000-0600-000034020000}"/>
    <hyperlink ref="E401" r:id="rId566" xr:uid="{00000000-0004-0000-0600-000035020000}"/>
    <hyperlink ref="E442" r:id="rId567" xr:uid="{00000000-0004-0000-0600-000036020000}"/>
    <hyperlink ref="E429" r:id="rId568" xr:uid="{00000000-0004-0000-0600-000037020000}"/>
    <hyperlink ref="E434" r:id="rId569" xr:uid="{00000000-0004-0000-0600-000038020000}"/>
    <hyperlink ref="E439" r:id="rId570" xr:uid="{00000000-0004-0000-0600-000039020000}"/>
    <hyperlink ref="E444" r:id="rId571" xr:uid="{00000000-0004-0000-0600-00003A020000}"/>
    <hyperlink ref="E436" r:id="rId572" xr:uid="{00000000-0004-0000-0600-00003B020000}"/>
    <hyperlink ref="E437" r:id="rId573" xr:uid="{00000000-0004-0000-0600-00003C020000}"/>
    <hyperlink ref="E415" r:id="rId574" xr:uid="{00000000-0004-0000-0600-00003D020000}"/>
    <hyperlink ref="E412" r:id="rId575" xr:uid="{00000000-0004-0000-0600-00003E020000}"/>
    <hyperlink ref="E402" r:id="rId576" xr:uid="{00000000-0004-0000-0600-00003F020000}"/>
    <hyperlink ref="E390" r:id="rId577" xr:uid="{00000000-0004-0000-0600-000040020000}"/>
    <hyperlink ref="E433" r:id="rId578" xr:uid="{00000000-0004-0000-0600-000041020000}"/>
    <hyperlink ref="E428" r:id="rId579" xr:uid="{00000000-0004-0000-0600-000042020000}"/>
    <hyperlink ref="E361" r:id="rId580" xr:uid="{00000000-0004-0000-0600-000043020000}"/>
    <hyperlink ref="E426" r:id="rId581" xr:uid="{00000000-0004-0000-0600-000044020000}"/>
    <hyperlink ref="E427" r:id="rId582" xr:uid="{00000000-0004-0000-0600-000045020000}"/>
    <hyperlink ref="E421" r:id="rId583" xr:uid="{00000000-0004-0000-0600-000046020000}"/>
    <hyperlink ref="E419" r:id="rId584" xr:uid="{00000000-0004-0000-0600-000047020000}"/>
    <hyperlink ref="E399" r:id="rId585" xr:uid="{00000000-0004-0000-0600-000048020000}"/>
    <hyperlink ref="E418" r:id="rId586" xr:uid="{00000000-0004-0000-0600-000049020000}"/>
    <hyperlink ref="E417" r:id="rId587" xr:uid="{00000000-0004-0000-0600-00004A020000}"/>
    <hyperlink ref="E430" r:id="rId588" xr:uid="{00000000-0004-0000-0600-00004B020000}"/>
    <hyperlink ref="E383" r:id="rId589" xr:uid="{00000000-0004-0000-0600-00004C020000}"/>
    <hyperlink ref="E398" r:id="rId590" xr:uid="{00000000-0004-0000-0600-00004D020000}"/>
    <hyperlink ref="E414" r:id="rId591" xr:uid="{00000000-0004-0000-0600-00004E020000}"/>
    <hyperlink ref="E408" r:id="rId592" xr:uid="{00000000-0004-0000-0600-00004F020000}"/>
    <hyperlink ref="E409" r:id="rId593" xr:uid="{00000000-0004-0000-0600-000050020000}"/>
    <hyperlink ref="E369" r:id="rId594" xr:uid="{00000000-0004-0000-0600-000051020000}"/>
    <hyperlink ref="E410" r:id="rId595" xr:uid="{00000000-0004-0000-0600-000052020000}"/>
    <hyperlink ref="E86" r:id="rId596" xr:uid="{00000000-0004-0000-0600-000053020000}"/>
    <hyperlink ref="E384" r:id="rId597" xr:uid="{00000000-0004-0000-0600-000054020000}"/>
    <hyperlink ref="E392" r:id="rId598" xr:uid="{00000000-0004-0000-0600-000055020000}"/>
    <hyperlink ref="E379" r:id="rId599" xr:uid="{00000000-0004-0000-0600-000056020000}"/>
    <hyperlink ref="E411" r:id="rId600" xr:uid="{00000000-0004-0000-0600-000057020000}"/>
    <hyperlink ref="E358" r:id="rId601" xr:uid="{00000000-0004-0000-0600-000058020000}"/>
    <hyperlink ref="E388" r:id="rId602" xr:uid="{00000000-0004-0000-0600-000059020000}"/>
    <hyperlink ref="E327" r:id="rId603" xr:uid="{00000000-0004-0000-0600-00005A020000}"/>
    <hyperlink ref="E405" r:id="rId604" xr:uid="{00000000-0004-0000-0600-00005B020000}"/>
    <hyperlink ref="E406" r:id="rId605" xr:uid="{00000000-0004-0000-0600-00005C020000}"/>
    <hyperlink ref="E403" r:id="rId606" xr:uid="{00000000-0004-0000-0600-00005D020000}"/>
    <hyperlink ref="E407" r:id="rId607" xr:uid="{00000000-0004-0000-0600-00005E020000}"/>
    <hyperlink ref="E404" r:id="rId608" xr:uid="{00000000-0004-0000-0600-00005F020000}"/>
    <hyperlink ref="E400" r:id="rId609" xr:uid="{00000000-0004-0000-0600-000060020000}"/>
    <hyperlink ref="E396" r:id="rId610" xr:uid="{00000000-0004-0000-0600-000061020000}"/>
    <hyperlink ref="E374" r:id="rId611" xr:uid="{00000000-0004-0000-0600-000062020000}"/>
    <hyperlink ref="E397" r:id="rId612" xr:uid="{00000000-0004-0000-0600-000063020000}"/>
    <hyperlink ref="E381" r:id="rId613" xr:uid="{00000000-0004-0000-0600-000064020000}"/>
    <hyperlink ref="E370" r:id="rId614" xr:uid="{00000000-0004-0000-0600-000065020000}"/>
    <hyperlink ref="E387" r:id="rId615" xr:uid="{00000000-0004-0000-0600-000066020000}"/>
    <hyperlink ref="E393" r:id="rId616" xr:uid="{00000000-0004-0000-0600-000067020000}"/>
    <hyperlink ref="E391" r:id="rId617" xr:uid="{00000000-0004-0000-0600-000068020000}"/>
    <hyperlink ref="E382" r:id="rId618" xr:uid="{00000000-0004-0000-0600-000069020000}"/>
    <hyperlink ref="E378" r:id="rId619" xr:uid="{00000000-0004-0000-0600-00006A020000}"/>
    <hyperlink ref="E395" r:id="rId620" xr:uid="{00000000-0004-0000-0600-00006B020000}"/>
    <hyperlink ref="E376" r:id="rId621" xr:uid="{00000000-0004-0000-0600-00006C020000}"/>
    <hyperlink ref="E385" r:id="rId622" xr:uid="{00000000-0004-0000-0600-00006D020000}"/>
    <hyperlink ref="E368" r:id="rId623" xr:uid="{00000000-0004-0000-0600-00006E020000}"/>
    <hyperlink ref="E394" r:id="rId624" xr:uid="{00000000-0004-0000-0600-00006F020000}"/>
    <hyperlink ref="E389" r:id="rId625" xr:uid="{00000000-0004-0000-0600-000070020000}"/>
    <hyperlink ref="E377" r:id="rId626" xr:uid="{00000000-0004-0000-0600-000071020000}"/>
    <hyperlink ref="E367" r:id="rId627" xr:uid="{00000000-0004-0000-0600-000072020000}"/>
    <hyperlink ref="E386" r:id="rId628" xr:uid="{00000000-0004-0000-0600-000073020000}"/>
    <hyperlink ref="E275" r:id="rId629" xr:uid="{00000000-0004-0000-0600-000074020000}"/>
    <hyperlink ref="E375" r:id="rId630" xr:uid="{00000000-0004-0000-0600-000075020000}"/>
    <hyperlink ref="E380" r:id="rId631" xr:uid="{00000000-0004-0000-0600-000076020000}"/>
    <hyperlink ref="E343" r:id="rId632" xr:uid="{00000000-0004-0000-0600-000077020000}"/>
    <hyperlink ref="E413" r:id="rId633" xr:uid="{00000000-0004-0000-0600-000078020000}"/>
    <hyperlink ref="E362" r:id="rId634" xr:uid="{00000000-0004-0000-0600-000079020000}"/>
    <hyperlink ref="E371" r:id="rId635" xr:uid="{00000000-0004-0000-0600-00007A020000}"/>
    <hyperlink ref="E359" r:id="rId636" xr:uid="{00000000-0004-0000-0600-00007B020000}"/>
    <hyperlink ref="E372" r:id="rId637" xr:uid="{00000000-0004-0000-0600-00007C020000}"/>
    <hyperlink ref="E373" r:id="rId638" xr:uid="{00000000-0004-0000-0600-00007D020000}"/>
    <hyperlink ref="E357" r:id="rId639" xr:uid="{00000000-0004-0000-0600-00007E020000}"/>
    <hyperlink ref="E344" r:id="rId640" xr:uid="{00000000-0004-0000-0600-00007F020000}"/>
    <hyperlink ref="E351" r:id="rId641" xr:uid="{00000000-0004-0000-0600-000080020000}"/>
    <hyperlink ref="E363:E366" r:id="rId642" display="https://mptenders.gov.in/" xr:uid="{00000000-0004-0000-0600-000081020000}"/>
    <hyperlink ref="E355" r:id="rId643" xr:uid="{00000000-0004-0000-0600-000082020000}"/>
    <hyperlink ref="E335" r:id="rId644" xr:uid="{00000000-0004-0000-0600-000083020000}"/>
    <hyperlink ref="E356" r:id="rId645" xr:uid="{00000000-0004-0000-0600-000084020000}"/>
    <hyperlink ref="E316" r:id="rId646" xr:uid="{00000000-0004-0000-0600-000085020000}"/>
    <hyperlink ref="E276" r:id="rId647" xr:uid="{00000000-0004-0000-0600-000086020000}"/>
    <hyperlink ref="E277" r:id="rId648" xr:uid="{00000000-0004-0000-0600-000087020000}"/>
    <hyperlink ref="E345" r:id="rId649" xr:uid="{00000000-0004-0000-0600-000088020000}"/>
    <hyperlink ref="E329" r:id="rId650" xr:uid="{00000000-0004-0000-0600-000089020000}"/>
    <hyperlink ref="E346" r:id="rId651" xr:uid="{00000000-0004-0000-0600-00008A020000}"/>
    <hyperlink ref="E334" r:id="rId652" xr:uid="{00000000-0004-0000-0600-00008B020000}"/>
    <hyperlink ref="E328" r:id="rId653" xr:uid="{00000000-0004-0000-0600-00008C020000}"/>
    <hyperlink ref="E352" r:id="rId654" xr:uid="{00000000-0004-0000-0600-00008D020000}"/>
    <hyperlink ref="E353" r:id="rId655" xr:uid="{00000000-0004-0000-0600-00008E020000}"/>
    <hyperlink ref="E336" r:id="rId656" xr:uid="{00000000-0004-0000-0600-00008F020000}"/>
    <hyperlink ref="E354" r:id="rId657" xr:uid="{00000000-0004-0000-0600-000090020000}"/>
    <hyperlink ref="E297" r:id="rId658" xr:uid="{00000000-0004-0000-0600-000091020000}"/>
    <hyperlink ref="E338" r:id="rId659" xr:uid="{00000000-0004-0000-0600-000092020000}"/>
    <hyperlink ref="E339" r:id="rId660" xr:uid="{00000000-0004-0000-0600-000093020000}"/>
    <hyperlink ref="E337" r:id="rId661" xr:uid="{00000000-0004-0000-0600-000094020000}"/>
    <hyperlink ref="E342" r:id="rId662" xr:uid="{00000000-0004-0000-0600-000095020000}"/>
    <hyperlink ref="E326" r:id="rId663" xr:uid="{00000000-0004-0000-0600-000096020000}"/>
    <hyperlink ref="E333" r:id="rId664" xr:uid="{00000000-0004-0000-0600-000097020000}"/>
    <hyperlink ref="E347" r:id="rId665" xr:uid="{00000000-0004-0000-0600-000098020000}"/>
    <hyperlink ref="E348" r:id="rId666" xr:uid="{00000000-0004-0000-0600-000099020000}"/>
    <hyperlink ref="E349" r:id="rId667" xr:uid="{00000000-0004-0000-0600-00009A020000}"/>
    <hyperlink ref="E350" r:id="rId668" xr:uid="{00000000-0004-0000-0600-00009B020000}"/>
    <hyperlink ref="E321" r:id="rId669" xr:uid="{00000000-0004-0000-0600-00009C020000}"/>
    <hyperlink ref="E324" r:id="rId670" xr:uid="{00000000-0004-0000-0600-00009D020000}"/>
    <hyperlink ref="E341" r:id="rId671" xr:uid="{00000000-0004-0000-0600-00009E020000}"/>
    <hyperlink ref="E340" r:id="rId672" xr:uid="{00000000-0004-0000-0600-00009F020000}"/>
    <hyperlink ref="E320" r:id="rId673" xr:uid="{00000000-0004-0000-0600-0000A0020000}"/>
    <hyperlink ref="E300" r:id="rId674" xr:uid="{00000000-0004-0000-0600-0000A1020000}"/>
    <hyperlink ref="E315" r:id="rId675" xr:uid="{00000000-0004-0000-0600-0000A2020000}"/>
    <hyperlink ref="E306" r:id="rId676" xr:uid="{00000000-0004-0000-0600-0000A3020000}"/>
    <hyperlink ref="E331" r:id="rId677" xr:uid="{00000000-0004-0000-0600-0000A4020000}"/>
    <hyperlink ref="E332" r:id="rId678" xr:uid="{00000000-0004-0000-0600-0000A5020000}"/>
    <hyperlink ref="E325" r:id="rId679" xr:uid="{00000000-0004-0000-0600-0000A6020000}"/>
    <hyperlink ref="E330" r:id="rId680" xr:uid="{00000000-0004-0000-0600-0000A7020000}"/>
    <hyperlink ref="E323" r:id="rId681" xr:uid="{00000000-0004-0000-0600-0000A8020000}"/>
    <hyperlink ref="E311" r:id="rId682" xr:uid="{00000000-0004-0000-0600-0000A9020000}"/>
    <hyperlink ref="E318" r:id="rId683" xr:uid="{00000000-0004-0000-0600-0000AA020000}"/>
    <hyperlink ref="E322" r:id="rId684" xr:uid="{00000000-0004-0000-0600-0000AB020000}"/>
    <hyperlink ref="E319" r:id="rId685" xr:uid="{00000000-0004-0000-0600-0000AC020000}"/>
    <hyperlink ref="E302" r:id="rId686" xr:uid="{00000000-0004-0000-0600-0000AD020000}"/>
    <hyperlink ref="E312" r:id="rId687" xr:uid="{00000000-0004-0000-0600-0000AE020000}"/>
    <hyperlink ref="E313" r:id="rId688" xr:uid="{00000000-0004-0000-0600-0000AF020000}"/>
    <hyperlink ref="E287" r:id="rId689" xr:uid="{00000000-0004-0000-0600-0000B0020000}"/>
    <hyperlink ref="E310" r:id="rId690" xr:uid="{00000000-0004-0000-0600-0000B1020000}"/>
    <hyperlink ref="E317" r:id="rId691" xr:uid="{00000000-0004-0000-0600-0000B2020000}"/>
    <hyperlink ref="E314" r:id="rId692" xr:uid="{00000000-0004-0000-0600-0000B3020000}"/>
    <hyperlink ref="E305" r:id="rId693" xr:uid="{00000000-0004-0000-0600-0000B4020000}"/>
    <hyperlink ref="E244" r:id="rId694" xr:uid="{00000000-0004-0000-0600-0000B5020000}"/>
    <hyperlink ref="E304" r:id="rId695" xr:uid="{00000000-0004-0000-0600-0000B6020000}"/>
    <hyperlink ref="E307" r:id="rId696" xr:uid="{00000000-0004-0000-0600-0000B7020000}"/>
    <hyperlink ref="E303" r:id="rId697" xr:uid="{00000000-0004-0000-0600-0000B8020000}"/>
    <hyperlink ref="E309" r:id="rId698" xr:uid="{00000000-0004-0000-0600-0000B9020000}"/>
    <hyperlink ref="E295" r:id="rId699" xr:uid="{00000000-0004-0000-0600-0000BA020000}"/>
    <hyperlink ref="E299" r:id="rId700" xr:uid="{00000000-0004-0000-0600-0000BB020000}"/>
    <hyperlink ref="E308" r:id="rId701" xr:uid="{00000000-0004-0000-0600-0000BC020000}"/>
    <hyperlink ref="E296" r:id="rId702" xr:uid="{00000000-0004-0000-0600-0000BD020000}"/>
    <hyperlink ref="E298" r:id="rId703" xr:uid="{00000000-0004-0000-0600-0000BE020000}"/>
    <hyperlink ref="E301" r:id="rId704" xr:uid="{00000000-0004-0000-0600-0000BF020000}"/>
    <hyperlink ref="E256" r:id="rId705" xr:uid="{00000000-0004-0000-0600-0000C0020000}"/>
    <hyperlink ref="E293" r:id="rId706" xr:uid="{00000000-0004-0000-0600-0000C1020000}"/>
    <hyperlink ref="E294" r:id="rId707" xr:uid="{00000000-0004-0000-0600-0000C2020000}"/>
    <hyperlink ref="E245" r:id="rId708" xr:uid="{00000000-0004-0000-0600-0000C3020000}"/>
    <hyperlink ref="E270" r:id="rId709" xr:uid="{00000000-0004-0000-0600-0000C4020000}"/>
    <hyperlink ref="E257" r:id="rId710" xr:uid="{00000000-0004-0000-0600-0000C5020000}"/>
    <hyperlink ref="E288" r:id="rId711" xr:uid="{00000000-0004-0000-0600-0000C6020000}"/>
    <hyperlink ref="E282" r:id="rId712" xr:uid="{00000000-0004-0000-0600-0000C7020000}"/>
    <hyperlink ref="E290" r:id="rId713" xr:uid="{00000000-0004-0000-0600-0000C8020000}"/>
    <hyperlink ref="E279" r:id="rId714" xr:uid="{00000000-0004-0000-0600-0000C9020000}"/>
    <hyperlink ref="E286" r:id="rId715" xr:uid="{00000000-0004-0000-0600-0000CA020000}"/>
    <hyperlink ref="E292" r:id="rId716" xr:uid="{00000000-0004-0000-0600-0000CB020000}"/>
    <hyperlink ref="E269" r:id="rId717" xr:uid="{00000000-0004-0000-0600-0000CC020000}"/>
    <hyperlink ref="E273" r:id="rId718" xr:uid="{00000000-0004-0000-0600-0000CD020000}"/>
    <hyperlink ref="E219" r:id="rId719" xr:uid="{00000000-0004-0000-0600-0000CE020000}"/>
    <hyperlink ref="E291" r:id="rId720" xr:uid="{00000000-0004-0000-0600-0000CF020000}"/>
    <hyperlink ref="E280" r:id="rId721" xr:uid="{00000000-0004-0000-0600-0000D0020000}"/>
    <hyperlink ref="E289" r:id="rId722" xr:uid="{00000000-0004-0000-0600-0000D1020000}"/>
    <hyperlink ref="E284" r:id="rId723" xr:uid="{00000000-0004-0000-0600-0000D2020000}"/>
    <hyperlink ref="E274" r:id="rId724" xr:uid="{00000000-0004-0000-0600-0000D3020000}"/>
    <hyperlink ref="E267" r:id="rId725" xr:uid="{00000000-0004-0000-0600-0000D4020000}"/>
    <hyperlink ref="E285" r:id="rId726" xr:uid="{00000000-0004-0000-0600-0000D5020000}"/>
    <hyperlink ref="E283" r:id="rId727" xr:uid="{00000000-0004-0000-0600-0000D6020000}"/>
    <hyperlink ref="E252" r:id="rId728" xr:uid="{00000000-0004-0000-0600-0000D7020000}"/>
    <hyperlink ref="E271" r:id="rId729" xr:uid="{00000000-0004-0000-0600-0000D8020000}"/>
    <hyperlink ref="E278" r:id="rId730" xr:uid="{00000000-0004-0000-0600-0000D9020000}"/>
    <hyperlink ref="E266" r:id="rId731" xr:uid="{00000000-0004-0000-0600-0000DA020000}"/>
    <hyperlink ref="E281" r:id="rId732" xr:uid="{00000000-0004-0000-0600-0000DB020000}"/>
    <hyperlink ref="E272" r:id="rId733" xr:uid="{00000000-0004-0000-0600-0000DC020000}"/>
    <hyperlink ref="E255" r:id="rId734" xr:uid="{00000000-0004-0000-0600-0000DD020000}"/>
    <hyperlink ref="E253" r:id="rId735" xr:uid="{00000000-0004-0000-0600-0000DE020000}"/>
    <hyperlink ref="E268" r:id="rId736" xr:uid="{00000000-0004-0000-0600-0000DF020000}"/>
    <hyperlink ref="E241" r:id="rId737" xr:uid="{00000000-0004-0000-0600-0000E0020000}"/>
    <hyperlink ref="E265" r:id="rId738" xr:uid="{00000000-0004-0000-0600-0000E1020000}"/>
    <hyperlink ref="E231" r:id="rId739" xr:uid="{00000000-0004-0000-0600-0000E2020000}"/>
    <hyperlink ref="E264" r:id="rId740" xr:uid="{00000000-0004-0000-0600-0000E3020000}"/>
    <hyperlink ref="E259" r:id="rId741" xr:uid="{00000000-0004-0000-0600-0000E4020000}"/>
    <hyperlink ref="E202" r:id="rId742" xr:uid="{00000000-0004-0000-0600-0000E5020000}"/>
    <hyperlink ref="E201" r:id="rId743" xr:uid="{00000000-0004-0000-0600-0000E6020000}"/>
    <hyperlink ref="E243" r:id="rId744" xr:uid="{00000000-0004-0000-0600-0000E7020000}"/>
    <hyperlink ref="E254" r:id="rId745" xr:uid="{00000000-0004-0000-0600-0000E8020000}"/>
    <hyperlink ref="E258" r:id="rId746" xr:uid="{00000000-0004-0000-0600-0000E9020000}"/>
    <hyperlink ref="E260" r:id="rId747" xr:uid="{00000000-0004-0000-0600-0000EA020000}"/>
    <hyperlink ref="E261" r:id="rId748" xr:uid="{00000000-0004-0000-0600-0000EB020000}"/>
    <hyperlink ref="E251" r:id="rId749" xr:uid="{00000000-0004-0000-0600-0000EC020000}"/>
    <hyperlink ref="E249" r:id="rId750" xr:uid="{00000000-0004-0000-0600-0000ED020000}"/>
    <hyperlink ref="E263" r:id="rId751" xr:uid="{00000000-0004-0000-0600-0000EE020000}"/>
    <hyperlink ref="E233" r:id="rId752" xr:uid="{00000000-0004-0000-0600-0000EF020000}"/>
    <hyperlink ref="E193" r:id="rId753" xr:uid="{00000000-0004-0000-0600-0000F0020000}"/>
    <hyperlink ref="E262" r:id="rId754" xr:uid="{00000000-0004-0000-0600-0000F1020000}"/>
    <hyperlink ref="E246" r:id="rId755" xr:uid="{00000000-0004-0000-0600-0000F2020000}"/>
    <hyperlink ref="E248" r:id="rId756" xr:uid="{00000000-0004-0000-0600-0000F3020000}"/>
    <hyperlink ref="E250" r:id="rId757" xr:uid="{00000000-0004-0000-0600-0000F4020000}"/>
    <hyperlink ref="E235" r:id="rId758" xr:uid="{00000000-0004-0000-0600-0000F5020000}"/>
    <hyperlink ref="E247" r:id="rId759" xr:uid="{00000000-0004-0000-0600-0000F6020000}"/>
    <hyperlink ref="E225" r:id="rId760" xr:uid="{00000000-0004-0000-0600-0000F7020000}"/>
    <hyperlink ref="E240" r:id="rId761" xr:uid="{00000000-0004-0000-0600-0000F8020000}"/>
    <hyperlink ref="E239" r:id="rId762" xr:uid="{00000000-0004-0000-0600-0000F9020000}"/>
    <hyperlink ref="E238" r:id="rId763" xr:uid="{00000000-0004-0000-0600-0000FA020000}"/>
    <hyperlink ref="E237" r:id="rId764" xr:uid="{00000000-0004-0000-0600-0000FB020000}"/>
    <hyperlink ref="E242" r:id="rId765" xr:uid="{00000000-0004-0000-0600-0000FC020000}"/>
    <hyperlink ref="E62" r:id="rId766" xr:uid="{00000000-0004-0000-0600-0000FD020000}"/>
    <hyperlink ref="E226" r:id="rId767" xr:uid="{00000000-0004-0000-0600-0000FE020000}"/>
    <hyperlink ref="E232" r:id="rId768" xr:uid="{00000000-0004-0000-0600-0000FF020000}"/>
    <hyperlink ref="E218" r:id="rId769" xr:uid="{00000000-0004-0000-0600-000000030000}"/>
    <hyperlink ref="E234" r:id="rId770" xr:uid="{00000000-0004-0000-0600-000001030000}"/>
    <hyperlink ref="E228" r:id="rId771" xr:uid="{00000000-0004-0000-0600-000002030000}"/>
    <hyperlink ref="E229" r:id="rId772" xr:uid="{00000000-0004-0000-0600-000003030000}"/>
    <hyperlink ref="E230" r:id="rId773" xr:uid="{00000000-0004-0000-0600-000004030000}"/>
    <hyperlink ref="E236" r:id="rId774" xr:uid="{00000000-0004-0000-0600-000005030000}"/>
    <hyperlink ref="E224" r:id="rId775" xr:uid="{00000000-0004-0000-0600-000006030000}"/>
    <hyperlink ref="E200" r:id="rId776" xr:uid="{00000000-0004-0000-0600-000007030000}"/>
    <hyperlink ref="E210" r:id="rId777" xr:uid="{00000000-0004-0000-0600-000008030000}"/>
    <hyperlink ref="E221" r:id="rId778" xr:uid="{00000000-0004-0000-0600-000009030000}"/>
    <hyperlink ref="E227" r:id="rId779" xr:uid="{00000000-0004-0000-0600-00000A030000}"/>
    <hyperlink ref="E211" r:id="rId780" xr:uid="{00000000-0004-0000-0600-00000B030000}"/>
    <hyperlink ref="E212" r:id="rId781" xr:uid="{00000000-0004-0000-0600-00000C030000}"/>
    <hyperlink ref="E216" r:id="rId782" xr:uid="{00000000-0004-0000-0600-00000D030000}"/>
    <hyperlink ref="E208" r:id="rId783" xr:uid="{00000000-0004-0000-0600-00000E030000}"/>
    <hyperlink ref="E209" r:id="rId784" xr:uid="{00000000-0004-0000-0600-00000F030000}"/>
    <hyperlink ref="E220" r:id="rId785" xr:uid="{00000000-0004-0000-0600-000010030000}"/>
    <hyperlink ref="E191" r:id="rId786" xr:uid="{00000000-0004-0000-0600-000011030000}"/>
    <hyperlink ref="E222" r:id="rId787" xr:uid="{00000000-0004-0000-0600-000012030000}"/>
    <hyperlink ref="E215" r:id="rId788" xr:uid="{00000000-0004-0000-0600-000013030000}"/>
    <hyperlink ref="E213" r:id="rId789" xr:uid="{00000000-0004-0000-0600-000014030000}"/>
    <hyperlink ref="E217" r:id="rId790" xr:uid="{00000000-0004-0000-0600-000015030000}"/>
    <hyperlink ref="E223" r:id="rId791" xr:uid="{00000000-0004-0000-0600-000016030000}"/>
    <hyperlink ref="E214" r:id="rId792" xr:uid="{00000000-0004-0000-0600-000017030000}"/>
    <hyperlink ref="E136" r:id="rId793" xr:uid="{00000000-0004-0000-0600-000018030000}"/>
    <hyperlink ref="E205" r:id="rId794" xr:uid="{00000000-0004-0000-0600-000019030000}"/>
    <hyperlink ref="E186" r:id="rId795" xr:uid="{00000000-0004-0000-0600-00001A030000}"/>
    <hyperlink ref="E203" r:id="rId796" xr:uid="{00000000-0004-0000-0600-00001B030000}"/>
    <hyperlink ref="E181" r:id="rId797" xr:uid="{00000000-0004-0000-0600-00001C030000}"/>
    <hyperlink ref="E163" r:id="rId798" xr:uid="{00000000-0004-0000-0600-00001D030000}"/>
    <hyperlink ref="E190" r:id="rId799" xr:uid="{00000000-0004-0000-0600-00001E030000}"/>
    <hyperlink ref="E204" r:id="rId800" xr:uid="{00000000-0004-0000-0600-00001F030000}"/>
    <hyperlink ref="E206" r:id="rId801" xr:uid="{00000000-0004-0000-0600-000020030000}"/>
    <hyperlink ref="E180" r:id="rId802" xr:uid="{00000000-0004-0000-0600-000021030000}"/>
    <hyperlink ref="E197" r:id="rId803" xr:uid="{00000000-0004-0000-0600-000022030000}"/>
    <hyperlink ref="E188" r:id="rId804" xr:uid="{00000000-0004-0000-0600-000023030000}"/>
    <hyperlink ref="E196" r:id="rId805" xr:uid="{00000000-0004-0000-0600-000024030000}"/>
    <hyperlink ref="E178" r:id="rId806" xr:uid="{00000000-0004-0000-0600-000025030000}"/>
    <hyperlink ref="E199" r:id="rId807" xr:uid="{00000000-0004-0000-0600-000026030000}"/>
    <hyperlink ref="E189" r:id="rId808" xr:uid="{00000000-0004-0000-0600-000027030000}"/>
    <hyperlink ref="E207" r:id="rId809" xr:uid="{00000000-0004-0000-0600-000028030000}"/>
    <hyperlink ref="E198" r:id="rId810" xr:uid="{00000000-0004-0000-0600-000029030000}"/>
    <hyperlink ref="E195" r:id="rId811" xr:uid="{00000000-0004-0000-0600-00002A030000}"/>
    <hyperlink ref="E187" r:id="rId812" xr:uid="{00000000-0004-0000-0600-00002B030000}"/>
    <hyperlink ref="E183" r:id="rId813" xr:uid="{00000000-0004-0000-0600-00002C030000}"/>
    <hyperlink ref="E143" r:id="rId814" xr:uid="{00000000-0004-0000-0600-00002D030000}"/>
    <hyperlink ref="E185" r:id="rId815" xr:uid="{00000000-0004-0000-0600-00002E030000}"/>
    <hyperlink ref="E182" r:id="rId816" xr:uid="{00000000-0004-0000-0600-00002F030000}"/>
    <hyperlink ref="E173" r:id="rId817" xr:uid="{00000000-0004-0000-0600-000030030000}"/>
    <hyperlink ref="E176" r:id="rId818" xr:uid="{00000000-0004-0000-0600-000031030000}"/>
    <hyperlink ref="E194" r:id="rId819" xr:uid="{00000000-0004-0000-0600-000032030000}"/>
    <hyperlink ref="E192" r:id="rId820" xr:uid="{00000000-0004-0000-0600-000033030000}"/>
    <hyperlink ref="E147" r:id="rId821" xr:uid="{00000000-0004-0000-0600-000034030000}"/>
    <hyperlink ref="E179" r:id="rId822" xr:uid="{00000000-0004-0000-0600-000035030000}"/>
    <hyperlink ref="E150" r:id="rId823" xr:uid="{00000000-0004-0000-0600-000036030000}"/>
    <hyperlink ref="E154" r:id="rId824" xr:uid="{00000000-0004-0000-0600-000037030000}"/>
    <hyperlink ref="E138" r:id="rId825" xr:uid="{00000000-0004-0000-0600-000038030000}"/>
    <hyperlink ref="E170" r:id="rId826" xr:uid="{00000000-0004-0000-0600-000039030000}"/>
    <hyperlink ref="E174" r:id="rId827" xr:uid="{00000000-0004-0000-0600-00003A030000}"/>
    <hyperlink ref="E184" r:id="rId828" xr:uid="{00000000-0004-0000-0600-00003B030000}"/>
    <hyperlink ref="E155" r:id="rId829" xr:uid="{00000000-0004-0000-0600-00003C030000}"/>
    <hyperlink ref="E156" r:id="rId830" xr:uid="{00000000-0004-0000-0600-00003D030000}"/>
    <hyperlink ref="E169" r:id="rId831" xr:uid="{00000000-0004-0000-0600-00003E030000}"/>
    <hyperlink ref="E167" r:id="rId832" xr:uid="{00000000-0004-0000-0600-00003F030000}"/>
    <hyperlink ref="E172" r:id="rId833" xr:uid="{00000000-0004-0000-0600-000040030000}"/>
    <hyperlink ref="E158" r:id="rId834" xr:uid="{00000000-0004-0000-0600-000041030000}"/>
    <hyperlink ref="E175" r:id="rId835" xr:uid="{00000000-0004-0000-0600-000042030000}"/>
    <hyperlink ref="E164" r:id="rId836" xr:uid="{00000000-0004-0000-0600-000043030000}"/>
    <hyperlink ref="E177" r:id="rId837" xr:uid="{00000000-0004-0000-0600-000044030000}"/>
    <hyperlink ref="E134" r:id="rId838" xr:uid="{00000000-0004-0000-0600-000045030000}"/>
    <hyperlink ref="E100" r:id="rId839" xr:uid="{00000000-0004-0000-0600-000046030000}"/>
    <hyperlink ref="E171" r:id="rId840" xr:uid="{00000000-0004-0000-0600-000047030000}"/>
    <hyperlink ref="E162" r:id="rId841" xr:uid="{00000000-0004-0000-0600-000048030000}"/>
    <hyperlink ref="E165" r:id="rId842" xr:uid="{00000000-0004-0000-0600-000049030000}"/>
    <hyperlink ref="E132" r:id="rId843" xr:uid="{00000000-0004-0000-0600-00004A030000}"/>
    <hyperlink ref="E168" r:id="rId844" xr:uid="{00000000-0004-0000-0600-00004B030000}"/>
    <hyperlink ref="E166" r:id="rId845" xr:uid="{00000000-0004-0000-0600-00004C030000}"/>
    <hyperlink ref="E161" r:id="rId846" xr:uid="{00000000-0004-0000-0600-00004D030000}"/>
    <hyperlink ref="E160" r:id="rId847" xr:uid="{00000000-0004-0000-0600-00004E030000}"/>
    <hyperlink ref="E159" r:id="rId848" xr:uid="{00000000-0004-0000-0600-00004F030000}"/>
    <hyperlink ref="E157" r:id="rId849" xr:uid="{00000000-0004-0000-0600-000050030000}"/>
    <hyperlink ref="E112" r:id="rId850" xr:uid="{00000000-0004-0000-0600-000051030000}"/>
    <hyperlink ref="E148" r:id="rId851" xr:uid="{00000000-0004-0000-0600-000052030000}"/>
    <hyperlink ref="E135" r:id="rId852" xr:uid="{00000000-0004-0000-0600-000053030000}"/>
    <hyperlink ref="E145" r:id="rId853" xr:uid="{00000000-0004-0000-0600-000054030000}"/>
    <hyperlink ref="E137" r:id="rId854" xr:uid="{00000000-0004-0000-0600-000055030000}"/>
    <hyperlink ref="E133" r:id="rId855" xr:uid="{00000000-0004-0000-0600-000056030000}"/>
    <hyperlink ref="E146" r:id="rId856" xr:uid="{00000000-0004-0000-0600-000057030000}"/>
    <hyperlink ref="E140" r:id="rId857" xr:uid="{00000000-0004-0000-0600-000058030000}"/>
    <hyperlink ref="E106" r:id="rId858" xr:uid="{00000000-0004-0000-0600-000059030000}"/>
    <hyperlink ref="E99" r:id="rId859" xr:uid="{00000000-0004-0000-0600-00005A030000}"/>
    <hyperlink ref="E151" r:id="rId860" xr:uid="{00000000-0004-0000-0600-00005B030000}"/>
    <hyperlink ref="E153" r:id="rId861" xr:uid="{00000000-0004-0000-0600-00005C030000}"/>
    <hyperlink ref="E152" r:id="rId862" xr:uid="{00000000-0004-0000-0600-00005D030000}"/>
    <hyperlink ref="E142" r:id="rId863" xr:uid="{00000000-0004-0000-0600-00005E030000}"/>
    <hyperlink ref="E144" r:id="rId864" xr:uid="{00000000-0004-0000-0600-00005F030000}"/>
    <hyperlink ref="E128" r:id="rId865" xr:uid="{00000000-0004-0000-0600-000060030000}"/>
    <hyperlink ref="E116" r:id="rId866" xr:uid="{00000000-0004-0000-0600-000061030000}"/>
    <hyperlink ref="E139" r:id="rId867" xr:uid="{00000000-0004-0000-0600-000062030000}"/>
    <hyperlink ref="E125" r:id="rId868" xr:uid="{00000000-0004-0000-0600-000063030000}"/>
    <hyperlink ref="E149" r:id="rId869" xr:uid="{00000000-0004-0000-0600-000064030000}"/>
    <hyperlink ref="E130" r:id="rId870" xr:uid="{00000000-0004-0000-0600-000065030000}"/>
    <hyperlink ref="E97" r:id="rId871" xr:uid="{00000000-0004-0000-0600-000066030000}"/>
    <hyperlink ref="E129" r:id="rId872" xr:uid="{00000000-0004-0000-0600-000067030000}"/>
    <hyperlink ref="E108" r:id="rId873" xr:uid="{00000000-0004-0000-0600-000068030000}"/>
    <hyperlink ref="E126" r:id="rId874" xr:uid="{00000000-0004-0000-0600-000069030000}"/>
    <hyperlink ref="E127" r:id="rId875" xr:uid="{00000000-0004-0000-0600-00006A030000}"/>
    <hyperlink ref="E141" r:id="rId876" xr:uid="{00000000-0004-0000-0600-00006B030000}"/>
    <hyperlink ref="E120" r:id="rId877" xr:uid="{00000000-0004-0000-0600-00006C030000}"/>
    <hyperlink ref="E78" r:id="rId878" xr:uid="{00000000-0004-0000-0600-00006D030000}"/>
    <hyperlink ref="E103" r:id="rId879" xr:uid="{00000000-0004-0000-0600-00006E030000}"/>
    <hyperlink ref="E121" r:id="rId880" xr:uid="{00000000-0004-0000-0600-00006F030000}"/>
    <hyperlink ref="E98" r:id="rId881" xr:uid="{00000000-0004-0000-0600-000070030000}"/>
    <hyperlink ref="E94" r:id="rId882" xr:uid="{00000000-0004-0000-0600-000071030000}"/>
    <hyperlink ref="E118" r:id="rId883" xr:uid="{00000000-0004-0000-0600-000072030000}"/>
    <hyperlink ref="E105" r:id="rId884" xr:uid="{00000000-0004-0000-0600-000073030000}"/>
    <hyperlink ref="E131" r:id="rId885" xr:uid="{00000000-0004-0000-0600-000074030000}"/>
    <hyperlink ref="E111" r:id="rId886" xr:uid="{00000000-0004-0000-0600-000075030000}"/>
    <hyperlink ref="E122" r:id="rId887" xr:uid="{00000000-0004-0000-0600-000076030000}"/>
    <hyperlink ref="E119" r:id="rId888" xr:uid="{00000000-0004-0000-0600-000077030000}"/>
    <hyperlink ref="E123" r:id="rId889" xr:uid="{00000000-0004-0000-0600-000078030000}"/>
    <hyperlink ref="E107" r:id="rId890" xr:uid="{00000000-0004-0000-0600-000079030000}"/>
    <hyperlink ref="E95" r:id="rId891" xr:uid="{00000000-0004-0000-0600-00007A030000}"/>
    <hyperlink ref="E124" r:id="rId892" xr:uid="{00000000-0004-0000-0600-00007B030000}"/>
    <hyperlink ref="E109" r:id="rId893" xr:uid="{00000000-0004-0000-0600-00007C030000}"/>
    <hyperlink ref="E117" r:id="rId894" xr:uid="{00000000-0004-0000-0600-00007D030000}"/>
    <hyperlink ref="E91" r:id="rId895" xr:uid="{00000000-0004-0000-0600-00007E030000}"/>
    <hyperlink ref="E92" r:id="rId896" xr:uid="{00000000-0004-0000-0600-00007F030000}"/>
    <hyperlink ref="E104" r:id="rId897" xr:uid="{00000000-0004-0000-0600-000080030000}"/>
    <hyperlink ref="E90" r:id="rId898" xr:uid="{00000000-0004-0000-0600-000081030000}"/>
    <hyperlink ref="E89" r:id="rId899" xr:uid="{00000000-0004-0000-0600-000082030000}"/>
    <hyperlink ref="E96" r:id="rId900" xr:uid="{00000000-0004-0000-0600-000083030000}"/>
    <hyperlink ref="E88" r:id="rId901" xr:uid="{00000000-0004-0000-0600-000084030000}"/>
    <hyperlink ref="E114" r:id="rId902" xr:uid="{00000000-0004-0000-0600-000085030000}"/>
    <hyperlink ref="E93" r:id="rId903" xr:uid="{00000000-0004-0000-0600-000086030000}"/>
    <hyperlink ref="E80" r:id="rId904" xr:uid="{00000000-0004-0000-0600-000087030000}"/>
    <hyperlink ref="E101" r:id="rId905" xr:uid="{00000000-0004-0000-0600-000088030000}"/>
    <hyperlink ref="E102" r:id="rId906" xr:uid="{00000000-0004-0000-0600-000089030000}"/>
    <hyperlink ref="E66" r:id="rId907" xr:uid="{00000000-0004-0000-0600-00008A030000}"/>
    <hyperlink ref="E110" r:id="rId908" xr:uid="{00000000-0004-0000-0600-00008B030000}"/>
    <hyperlink ref="E113" r:id="rId909" xr:uid="{00000000-0004-0000-0600-00008C030000}"/>
    <hyperlink ref="E75" r:id="rId910" xr:uid="{00000000-0004-0000-0600-00008D030000}"/>
    <hyperlink ref="E73" r:id="rId911" xr:uid="{00000000-0004-0000-0600-00008E030000}"/>
    <hyperlink ref="E64" r:id="rId912" xr:uid="{00000000-0004-0000-0600-00008F030000}"/>
    <hyperlink ref="E61" r:id="rId913" xr:uid="{00000000-0004-0000-0600-000090030000}"/>
    <hyperlink ref="E84" r:id="rId914" xr:uid="{00000000-0004-0000-0600-000091030000}"/>
    <hyperlink ref="E79" r:id="rId915" xr:uid="{00000000-0004-0000-0600-000092030000}"/>
    <hyperlink ref="E72" r:id="rId916" xr:uid="{00000000-0004-0000-0600-000093030000}"/>
    <hyperlink ref="E76" r:id="rId917" xr:uid="{00000000-0004-0000-0600-000094030000}"/>
    <hyperlink ref="E70" r:id="rId918" xr:uid="{00000000-0004-0000-0600-000095030000}"/>
    <hyperlink ref="E81" r:id="rId919" xr:uid="{00000000-0004-0000-0600-000096030000}"/>
    <hyperlink ref="E74" r:id="rId920" xr:uid="{00000000-0004-0000-0600-000097030000}"/>
    <hyperlink ref="E68" r:id="rId921" xr:uid="{00000000-0004-0000-0600-000098030000}"/>
    <hyperlink ref="E87" r:id="rId922" xr:uid="{00000000-0004-0000-0600-000099030000}"/>
    <hyperlink ref="E63" r:id="rId923" xr:uid="{00000000-0004-0000-0600-00009A030000}"/>
    <hyperlink ref="E83" r:id="rId924" xr:uid="{00000000-0004-0000-0600-00009B030000}"/>
    <hyperlink ref="E54" r:id="rId925" xr:uid="{00000000-0004-0000-0600-00009C030000}"/>
    <hyperlink ref="E50" r:id="rId926" xr:uid="{00000000-0004-0000-0600-00009D030000}"/>
    <hyperlink ref="E77" r:id="rId927" xr:uid="{00000000-0004-0000-0600-00009E030000}"/>
    <hyperlink ref="E82" r:id="rId928" xr:uid="{00000000-0004-0000-0600-00009F030000}"/>
    <hyperlink ref="E69" r:id="rId929" xr:uid="{00000000-0004-0000-0600-0000A0030000}"/>
    <hyperlink ref="E56" r:id="rId930" xr:uid="{00000000-0004-0000-0600-0000A1030000}"/>
    <hyperlink ref="E42" r:id="rId931" xr:uid="{00000000-0004-0000-0600-0000A2030000}"/>
    <hyperlink ref="E46" r:id="rId932" xr:uid="{00000000-0004-0000-0600-0000A3030000}"/>
    <hyperlink ref="E67" r:id="rId933" xr:uid="{00000000-0004-0000-0600-0000A4030000}"/>
    <hyperlink ref="E85" r:id="rId934" xr:uid="{00000000-0004-0000-0600-0000A5030000}"/>
    <hyperlink ref="E59" r:id="rId935" xr:uid="{00000000-0004-0000-0600-0000A6030000}"/>
    <hyperlink ref="E65" r:id="rId936" xr:uid="{00000000-0004-0000-0600-0000A7030000}"/>
    <hyperlink ref="E60" r:id="rId937" xr:uid="{00000000-0004-0000-0600-0000A8030000}"/>
    <hyperlink ref="E71" r:id="rId938" xr:uid="{00000000-0004-0000-0600-0000A9030000}"/>
    <hyperlink ref="E55" r:id="rId939" xr:uid="{00000000-0004-0000-0600-0000AA030000}"/>
    <hyperlink ref="E47" r:id="rId940" xr:uid="{00000000-0004-0000-0600-0000AB030000}"/>
    <hyperlink ref="E57" r:id="rId941" xr:uid="{00000000-0004-0000-0600-0000AC030000}"/>
    <hyperlink ref="E58" r:id="rId942" xr:uid="{00000000-0004-0000-0600-0000AD030000}"/>
    <hyperlink ref="E52" r:id="rId943" xr:uid="{00000000-0004-0000-0600-0000AE030000}"/>
    <hyperlink ref="E35" r:id="rId944" xr:uid="{00000000-0004-0000-0600-0000AF030000}"/>
    <hyperlink ref="E41" r:id="rId945" xr:uid="{00000000-0004-0000-0600-0000B0030000}"/>
    <hyperlink ref="E36" r:id="rId946" xr:uid="{00000000-0004-0000-0600-0000B1030000}"/>
    <hyperlink ref="E37" r:id="rId947" xr:uid="{00000000-0004-0000-0600-0000B2030000}"/>
    <hyperlink ref="E51" r:id="rId948" xr:uid="{00000000-0004-0000-0600-0000B3030000}"/>
    <hyperlink ref="E43" r:id="rId949" xr:uid="{00000000-0004-0000-0600-0000B4030000}"/>
    <hyperlink ref="E44" r:id="rId950" xr:uid="{00000000-0004-0000-0600-0000B5030000}"/>
    <hyperlink ref="E38" r:id="rId951" xr:uid="{00000000-0004-0000-0600-0000B6030000}"/>
    <hyperlink ref="E49" r:id="rId952" xr:uid="{00000000-0004-0000-0600-0000B7030000}"/>
    <hyperlink ref="E48" r:id="rId953" xr:uid="{00000000-0004-0000-0600-0000B8030000}"/>
    <hyperlink ref="E53" r:id="rId954" xr:uid="{00000000-0004-0000-0600-0000B9030000}"/>
    <hyperlink ref="E39" r:id="rId955" xr:uid="{00000000-0004-0000-0600-0000BA030000}"/>
    <hyperlink ref="E40" r:id="rId956" xr:uid="{00000000-0004-0000-0600-0000BB030000}"/>
    <hyperlink ref="E21" r:id="rId957" xr:uid="{00000000-0004-0000-0600-0000BC030000}"/>
    <hyperlink ref="E33" r:id="rId958" xr:uid="{00000000-0004-0000-0600-0000BD030000}"/>
    <hyperlink ref="E22" r:id="rId959" xr:uid="{00000000-0004-0000-0600-0000BE030000}"/>
    <hyperlink ref="E1:E28" r:id="rId960" display="https://gem.gov.in/" xr:uid="{00000000-0004-0000-0600-0000BF030000}"/>
    <hyperlink ref="E27" r:id="rId961" xr:uid="{00000000-0004-0000-0600-0000C0030000}"/>
    <hyperlink ref="E23" r:id="rId962" xr:uid="{00000000-0004-0000-0600-0000C1030000}"/>
    <hyperlink ref="E32" r:id="rId963" xr:uid="{00000000-0004-0000-0600-0000C2030000}"/>
    <hyperlink ref="E31" r:id="rId964" xr:uid="{00000000-0004-0000-0600-0000C3030000}"/>
    <hyperlink ref="E30" r:id="rId965" xr:uid="{00000000-0004-0000-0600-0000C4030000}"/>
    <hyperlink ref="E25" r:id="rId966" xr:uid="{00000000-0004-0000-0600-0000C5030000}"/>
    <hyperlink ref="E26" r:id="rId967" xr:uid="{00000000-0004-0000-0600-0000C6030000}"/>
    <hyperlink ref="E15" r:id="rId968" xr:uid="{00000000-0004-0000-0600-0000C7030000}"/>
    <hyperlink ref="E16" r:id="rId969" xr:uid="{00000000-0004-0000-0600-0000C8030000}"/>
    <hyperlink ref="E17" r:id="rId970" xr:uid="{00000000-0004-0000-0600-0000C9030000}"/>
    <hyperlink ref="E18" r:id="rId971" xr:uid="{00000000-0004-0000-0600-0000CA030000}"/>
    <hyperlink ref="E6" r:id="rId972" xr:uid="{00000000-0004-0000-0600-0000CB030000}"/>
    <hyperlink ref="E7" r:id="rId973" xr:uid="{00000000-0004-0000-0600-0000CC030000}"/>
    <hyperlink ref="E8" r:id="rId974" xr:uid="{00000000-0004-0000-0600-0000CD030000}"/>
    <hyperlink ref="E9" r:id="rId975" xr:uid="{00000000-0004-0000-0600-0000CE030000}"/>
    <hyperlink ref="E10" r:id="rId976" xr:uid="{00000000-0004-0000-0600-0000CF030000}"/>
    <hyperlink ref="E11" r:id="rId977" xr:uid="{00000000-0004-0000-0600-0000D0030000}"/>
    <hyperlink ref="E12" r:id="rId978" xr:uid="{00000000-0004-0000-0600-0000D1030000}"/>
    <hyperlink ref="E6:E12" r:id="rId979" display="https://www.ireps.gov.in/" xr:uid="{00000000-0004-0000-0600-0000D2030000}"/>
    <hyperlink ref="E14" r:id="rId980" xr:uid="{00000000-0004-0000-0600-0000D3030000}"/>
    <hyperlink ref="E2" r:id="rId981" xr:uid="{00000000-0004-0000-0600-0000D4030000}"/>
    <hyperlink ref="E45" r:id="rId982" xr:uid="{00000000-0004-0000-0600-0000D5030000}"/>
    <hyperlink ref="E3" r:id="rId983" xr:uid="{00000000-0004-0000-0600-0000D6030000}"/>
    <hyperlink ref="E4:E5" r:id="rId984" display="https://www.ireps.gov.in/" xr:uid="{00000000-0004-0000-0600-0000D703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80"/>
  <sheetViews>
    <sheetView zoomScale="55" zoomScaleNormal="55" workbookViewId="0">
      <selection activeCell="D7" sqref="D7"/>
    </sheetView>
  </sheetViews>
  <sheetFormatPr defaultColWidth="9" defaultRowHeight="26"/>
  <cols>
    <col min="1" max="1" width="8.453125" customWidth="1"/>
    <col min="2" max="2" width="16.1796875" customWidth="1"/>
    <col min="3" max="3" width="17.54296875" customWidth="1"/>
    <col min="4" max="4" width="81.453125" style="1096" customWidth="1"/>
    <col min="5" max="6" width="12.81640625" customWidth="1"/>
    <col min="7" max="10" width="24.453125" customWidth="1"/>
    <col min="11" max="11" width="28.54296875" customWidth="1"/>
    <col min="12" max="13" width="15.1796875" customWidth="1"/>
    <col min="14" max="14" width="26.81640625" customWidth="1"/>
    <col min="15" max="15" width="64.81640625" customWidth="1"/>
    <col min="16" max="16" width="75.453125" customWidth="1"/>
    <col min="17" max="17" width="46.26953125" style="1097" hidden="1" customWidth="1"/>
  </cols>
  <sheetData>
    <row r="1" spans="1:20" ht="38.25" customHeight="1">
      <c r="A1" s="3158" t="s">
        <v>119</v>
      </c>
      <c r="B1" s="3159"/>
      <c r="C1" s="3159"/>
      <c r="D1" s="3159"/>
      <c r="E1" s="3159"/>
      <c r="F1" s="3159"/>
      <c r="G1" s="3159"/>
      <c r="H1" s="3159"/>
      <c r="I1" s="3159"/>
      <c r="J1" s="3159"/>
      <c r="K1" s="3159"/>
      <c r="L1" s="3159"/>
      <c r="M1" s="3159"/>
      <c r="N1" s="3159"/>
      <c r="O1" s="3159"/>
      <c r="P1" s="3160"/>
    </row>
    <row r="2" spans="1:20" s="629" customFormat="1" ht="38.25" customHeight="1">
      <c r="A2" s="3161" t="s">
        <v>0</v>
      </c>
      <c r="B2" s="3162"/>
      <c r="C2" s="3162"/>
      <c r="D2" s="3162"/>
      <c r="E2" s="3162"/>
      <c r="F2" s="3162"/>
      <c r="G2" s="3162"/>
      <c r="H2" s="3162"/>
      <c r="I2" s="3162"/>
      <c r="J2" s="3162"/>
      <c r="K2" s="3162"/>
      <c r="L2" s="3162"/>
      <c r="M2" s="3162"/>
      <c r="N2" s="3162"/>
      <c r="O2" s="3162"/>
      <c r="P2" s="3163"/>
      <c r="Q2" s="1160"/>
      <c r="R2" s="824"/>
      <c r="S2" s="824"/>
      <c r="T2" s="824"/>
    </row>
    <row r="3" spans="1:20" s="554" customFormat="1" ht="80.25" customHeight="1">
      <c r="A3" s="1098" t="s">
        <v>1</v>
      </c>
      <c r="B3" s="1099" t="s">
        <v>2</v>
      </c>
      <c r="C3" s="1099" t="s">
        <v>679</v>
      </c>
      <c r="D3" s="1100" t="s">
        <v>5</v>
      </c>
      <c r="E3" s="1099" t="s">
        <v>680</v>
      </c>
      <c r="F3" s="1099" t="s">
        <v>681</v>
      </c>
      <c r="G3" s="1099" t="s">
        <v>6</v>
      </c>
      <c r="H3" s="1099" t="s">
        <v>7</v>
      </c>
      <c r="I3" s="1124" t="s">
        <v>682</v>
      </c>
      <c r="J3" s="1125" t="s">
        <v>1509</v>
      </c>
      <c r="K3" s="1099" t="s">
        <v>684</v>
      </c>
      <c r="L3" s="1126" t="s">
        <v>685</v>
      </c>
      <c r="M3" s="1127" t="s">
        <v>12</v>
      </c>
      <c r="N3" s="1643" t="s">
        <v>13</v>
      </c>
      <c r="O3" s="1099" t="s">
        <v>14</v>
      </c>
      <c r="P3" s="1128" t="s">
        <v>15</v>
      </c>
      <c r="Q3" s="889" t="s">
        <v>1510</v>
      </c>
      <c r="R3" s="824"/>
      <c r="S3" s="824"/>
      <c r="T3" s="824"/>
    </row>
    <row r="4" spans="1:20" s="7" customFormat="1" ht="58.15" customHeight="1">
      <c r="A4" s="30">
        <v>2</v>
      </c>
      <c r="B4" s="1644" t="s">
        <v>19</v>
      </c>
      <c r="C4" s="38">
        <v>0.4</v>
      </c>
      <c r="D4" s="1484" t="s">
        <v>1511</v>
      </c>
      <c r="E4" s="31" t="s">
        <v>149</v>
      </c>
      <c r="F4" s="1482" t="s">
        <v>486</v>
      </c>
      <c r="G4" s="1645" t="s">
        <v>804</v>
      </c>
      <c r="H4" s="1645" t="s">
        <v>1512</v>
      </c>
      <c r="I4" s="1483" t="s">
        <v>1513</v>
      </c>
      <c r="J4" s="1483" t="s">
        <v>1514</v>
      </c>
      <c r="K4" s="61">
        <v>80000</v>
      </c>
      <c r="L4" s="62">
        <v>0.05</v>
      </c>
      <c r="M4" s="66">
        <v>0.02</v>
      </c>
      <c r="N4" s="1482" t="s">
        <v>68</v>
      </c>
      <c r="O4" s="1646" t="s">
        <v>1515</v>
      </c>
      <c r="P4" s="1647" t="s">
        <v>926</v>
      </c>
      <c r="Q4" s="78"/>
      <c r="R4" s="2"/>
      <c r="S4" s="2"/>
      <c r="T4" s="2"/>
    </row>
    <row r="5" spans="1:20" s="8" customFormat="1" ht="105" customHeight="1">
      <c r="A5" s="30">
        <v>1</v>
      </c>
      <c r="B5" s="1644" t="s">
        <v>19</v>
      </c>
      <c r="C5" s="587">
        <v>32.39</v>
      </c>
      <c r="D5" s="1484" t="s">
        <v>646</v>
      </c>
      <c r="E5" s="35" t="s">
        <v>149</v>
      </c>
      <c r="F5" s="1482" t="s">
        <v>486</v>
      </c>
      <c r="G5" s="1645" t="s">
        <v>804</v>
      </c>
      <c r="H5" s="1645" t="s">
        <v>1516</v>
      </c>
      <c r="I5" s="1645" t="s">
        <v>1517</v>
      </c>
      <c r="J5" s="1645" t="s">
        <v>1518</v>
      </c>
      <c r="K5" s="863">
        <v>5239000</v>
      </c>
      <c r="L5" s="62">
        <v>0.03</v>
      </c>
      <c r="M5" s="31">
        <v>0.97</v>
      </c>
      <c r="N5" s="1648" t="s">
        <v>68</v>
      </c>
      <c r="O5" s="1649" t="s">
        <v>1519</v>
      </c>
      <c r="P5" s="1650" t="s">
        <v>1520</v>
      </c>
      <c r="Q5" s="79"/>
      <c r="R5" s="2"/>
      <c r="S5" s="2"/>
      <c r="T5" s="2"/>
    </row>
    <row r="6" spans="1:20" s="7" customFormat="1" ht="117" customHeight="1">
      <c r="A6" s="30">
        <v>23</v>
      </c>
      <c r="B6" s="1644" t="s">
        <v>19</v>
      </c>
      <c r="C6" s="31">
        <v>1.5</v>
      </c>
      <c r="D6" s="1484" t="s">
        <v>1521</v>
      </c>
      <c r="E6" s="31" t="s">
        <v>149</v>
      </c>
      <c r="F6" s="1482" t="s">
        <v>486</v>
      </c>
      <c r="G6" s="33">
        <v>45918</v>
      </c>
      <c r="H6" s="1645" t="s">
        <v>1522</v>
      </c>
      <c r="I6" s="1483" t="s">
        <v>1523</v>
      </c>
      <c r="J6" s="1483" t="s">
        <v>1524</v>
      </c>
      <c r="K6" s="61">
        <v>300000</v>
      </c>
      <c r="L6" s="62">
        <v>0.05</v>
      </c>
      <c r="M6" s="63">
        <v>7.0000000000000007E-2</v>
      </c>
      <c r="N6" s="1482" t="s">
        <v>1525</v>
      </c>
      <c r="O6" s="1646" t="s">
        <v>1526</v>
      </c>
      <c r="P6" s="1647" t="s">
        <v>966</v>
      </c>
      <c r="Q6" s="78"/>
      <c r="R6" s="2"/>
      <c r="S6" s="2"/>
      <c r="T6" s="2"/>
    </row>
    <row r="7" spans="1:20" s="7" customFormat="1" ht="59.5" customHeight="1">
      <c r="A7" s="30">
        <v>2</v>
      </c>
      <c r="B7" s="1644" t="s">
        <v>19</v>
      </c>
      <c r="C7" s="587">
        <v>4.5</v>
      </c>
      <c r="D7" s="1484" t="s">
        <v>1527</v>
      </c>
      <c r="E7" s="31" t="s">
        <v>149</v>
      </c>
      <c r="F7" s="1482" t="s">
        <v>486</v>
      </c>
      <c r="G7" s="1645" t="s">
        <v>43</v>
      </c>
      <c r="H7" s="1645" t="s">
        <v>43</v>
      </c>
      <c r="I7" s="1483" t="s">
        <v>1528</v>
      </c>
      <c r="J7" s="1483" t="s">
        <v>1529</v>
      </c>
      <c r="K7" s="61">
        <v>450000</v>
      </c>
      <c r="L7" s="62">
        <v>0.03</v>
      </c>
      <c r="M7" s="66">
        <v>0.13</v>
      </c>
      <c r="N7" s="1482" t="s">
        <v>68</v>
      </c>
      <c r="O7" s="1648" t="s">
        <v>49</v>
      </c>
      <c r="P7" s="1647" t="s">
        <v>1530</v>
      </c>
      <c r="Q7" s="1651" t="s">
        <v>1531</v>
      </c>
      <c r="R7" s="2"/>
      <c r="S7" s="2"/>
      <c r="T7" s="2"/>
    </row>
    <row r="8" spans="1:20" s="7" customFormat="1" ht="61.15" customHeight="1">
      <c r="A8" s="30">
        <v>4</v>
      </c>
      <c r="B8" s="1644" t="s">
        <v>19</v>
      </c>
      <c r="C8" s="31">
        <v>7.0000000000000007E-2</v>
      </c>
      <c r="D8" s="1484" t="s">
        <v>1532</v>
      </c>
      <c r="E8" s="31" t="s">
        <v>412</v>
      </c>
      <c r="F8" s="1482" t="s">
        <v>486</v>
      </c>
      <c r="G8" s="1645" t="s">
        <v>43</v>
      </c>
      <c r="H8" s="1645" t="s">
        <v>43</v>
      </c>
      <c r="I8" s="1483" t="s">
        <v>1533</v>
      </c>
      <c r="J8" s="1483" t="s">
        <v>1534</v>
      </c>
      <c r="K8" s="61">
        <v>15000</v>
      </c>
      <c r="L8" s="62" t="s">
        <v>68</v>
      </c>
      <c r="M8" s="1652" t="s">
        <v>68</v>
      </c>
      <c r="N8" s="1482" t="s">
        <v>873</v>
      </c>
      <c r="O8" s="1648" t="s">
        <v>49</v>
      </c>
      <c r="P8" s="1647" t="s">
        <v>972</v>
      </c>
      <c r="Q8" s="78"/>
      <c r="R8" s="2"/>
      <c r="S8" s="2"/>
      <c r="T8" s="2"/>
    </row>
    <row r="9" spans="1:20" s="6" customFormat="1" ht="61.9" customHeight="1">
      <c r="A9" s="30">
        <v>1</v>
      </c>
      <c r="B9" s="1644" t="s">
        <v>45</v>
      </c>
      <c r="C9" s="1101">
        <v>11.81</v>
      </c>
      <c r="D9" s="1653" t="s">
        <v>1535</v>
      </c>
      <c r="E9" s="835" t="s">
        <v>149</v>
      </c>
      <c r="F9" s="1654" t="s">
        <v>486</v>
      </c>
      <c r="G9" s="1655" t="s">
        <v>43</v>
      </c>
      <c r="H9" s="1655" t="s">
        <v>43</v>
      </c>
      <c r="I9" s="1656" t="s">
        <v>1536</v>
      </c>
      <c r="J9" s="1656" t="s">
        <v>68</v>
      </c>
      <c r="K9" s="1129">
        <v>740800</v>
      </c>
      <c r="L9" s="1130">
        <v>0.05</v>
      </c>
      <c r="M9" s="1131">
        <v>0.59</v>
      </c>
      <c r="N9" s="1657" t="s">
        <v>68</v>
      </c>
      <c r="O9" s="1657" t="s">
        <v>49</v>
      </c>
      <c r="P9" s="1658" t="s">
        <v>907</v>
      </c>
      <c r="Q9" s="1161"/>
      <c r="R9" s="2"/>
      <c r="S9" s="2"/>
      <c r="T9" s="2"/>
    </row>
    <row r="10" spans="1:20" s="8" customFormat="1" ht="99" customHeight="1">
      <c r="A10" s="30">
        <v>2</v>
      </c>
      <c r="B10" s="1644" t="s">
        <v>45</v>
      </c>
      <c r="C10" s="838">
        <v>84.21</v>
      </c>
      <c r="D10" s="1653" t="s">
        <v>1537</v>
      </c>
      <c r="E10" s="835" t="s">
        <v>149</v>
      </c>
      <c r="F10" s="1654" t="s">
        <v>486</v>
      </c>
      <c r="G10" s="1655" t="s">
        <v>804</v>
      </c>
      <c r="H10" s="1655" t="s">
        <v>1068</v>
      </c>
      <c r="I10" s="1655" t="s">
        <v>1538</v>
      </c>
      <c r="J10" s="1655" t="s">
        <v>68</v>
      </c>
      <c r="K10" s="1129">
        <v>4360600</v>
      </c>
      <c r="L10" s="1130">
        <v>0.05</v>
      </c>
      <c r="M10" s="836">
        <v>4.21</v>
      </c>
      <c r="N10" s="1657" t="s">
        <v>68</v>
      </c>
      <c r="O10" s="1659" t="s">
        <v>1539</v>
      </c>
      <c r="P10" s="1660" t="s">
        <v>1077</v>
      </c>
      <c r="Q10" s="79"/>
      <c r="R10" s="2"/>
      <c r="S10" s="2"/>
      <c r="T10" s="2"/>
    </row>
    <row r="11" spans="1:20" s="6" customFormat="1" ht="59.5" customHeight="1">
      <c r="A11" s="30">
        <v>3</v>
      </c>
      <c r="B11" s="1644" t="s">
        <v>45</v>
      </c>
      <c r="C11" s="1102" t="s">
        <v>68</v>
      </c>
      <c r="D11" s="1653" t="s">
        <v>1540</v>
      </c>
      <c r="E11" s="835" t="s">
        <v>149</v>
      </c>
      <c r="F11" s="1654" t="s">
        <v>486</v>
      </c>
      <c r="G11" s="1655" t="s">
        <v>43</v>
      </c>
      <c r="H11" s="1655" t="s">
        <v>43</v>
      </c>
      <c r="I11" s="1656" t="s">
        <v>1541</v>
      </c>
      <c r="J11" s="1656" t="s">
        <v>68</v>
      </c>
      <c r="K11" s="1129" t="s">
        <v>68</v>
      </c>
      <c r="L11" s="1130" t="s">
        <v>68</v>
      </c>
      <c r="M11" s="1131" t="s">
        <v>68</v>
      </c>
      <c r="N11" s="1657" t="s">
        <v>68</v>
      </c>
      <c r="O11" s="1657" t="s">
        <v>49</v>
      </c>
      <c r="P11" s="1658" t="s">
        <v>907</v>
      </c>
      <c r="Q11" s="1161"/>
      <c r="R11" s="2"/>
      <c r="S11" s="2"/>
      <c r="T11" s="2"/>
    </row>
    <row r="12" spans="1:20" s="6" customFormat="1" ht="50.5" customHeight="1">
      <c r="A12" s="30">
        <v>4</v>
      </c>
      <c r="B12" s="1644" t="s">
        <v>45</v>
      </c>
      <c r="C12" s="1101">
        <v>23.94</v>
      </c>
      <c r="D12" s="1653" t="s">
        <v>1542</v>
      </c>
      <c r="E12" s="835" t="s">
        <v>149</v>
      </c>
      <c r="F12" s="1654" t="s">
        <v>486</v>
      </c>
      <c r="G12" s="1655" t="s">
        <v>43</v>
      </c>
      <c r="H12" s="1655" t="s">
        <v>43</v>
      </c>
      <c r="I12" s="1656" t="s">
        <v>1543</v>
      </c>
      <c r="J12" s="1656" t="s">
        <v>68</v>
      </c>
      <c r="K12" s="1129">
        <v>1347000</v>
      </c>
      <c r="L12" s="1130">
        <v>0.05</v>
      </c>
      <c r="M12" s="1131">
        <v>1.19</v>
      </c>
      <c r="N12" s="1657" t="s">
        <v>68</v>
      </c>
      <c r="O12" s="1657" t="s">
        <v>49</v>
      </c>
      <c r="P12" s="1658" t="s">
        <v>907</v>
      </c>
      <c r="Q12" s="1161"/>
      <c r="R12" s="2"/>
      <c r="S12" s="2"/>
      <c r="T12" s="2"/>
    </row>
    <row r="13" spans="1:20" s="6" customFormat="1" ht="66" customHeight="1">
      <c r="A13" s="30">
        <v>5</v>
      </c>
      <c r="B13" s="1644" t="s">
        <v>45</v>
      </c>
      <c r="C13" s="838">
        <v>126.33</v>
      </c>
      <c r="D13" s="1653" t="s">
        <v>1544</v>
      </c>
      <c r="E13" s="835" t="s">
        <v>149</v>
      </c>
      <c r="F13" s="1654" t="s">
        <v>486</v>
      </c>
      <c r="G13" s="1655" t="s">
        <v>804</v>
      </c>
      <c r="H13" s="1655" t="s">
        <v>1545</v>
      </c>
      <c r="I13" s="1655" t="s">
        <v>1546</v>
      </c>
      <c r="J13" s="1655" t="s">
        <v>68</v>
      </c>
      <c r="K13" s="1129">
        <v>6466600</v>
      </c>
      <c r="L13" s="1130">
        <v>0.05</v>
      </c>
      <c r="M13" s="1131">
        <v>6.31</v>
      </c>
      <c r="N13" s="1657" t="s">
        <v>68</v>
      </c>
      <c r="O13" s="1661" t="s">
        <v>1547</v>
      </c>
      <c r="P13" s="1658" t="s">
        <v>907</v>
      </c>
      <c r="Q13" s="78"/>
      <c r="R13" s="2"/>
      <c r="S13" s="2"/>
      <c r="T13" s="2"/>
    </row>
    <row r="14" spans="1:20" s="6" customFormat="1" ht="66" customHeight="1">
      <c r="A14" s="30">
        <v>6</v>
      </c>
      <c r="B14" s="1644" t="s">
        <v>45</v>
      </c>
      <c r="C14" s="838">
        <v>145.09</v>
      </c>
      <c r="D14" s="1653" t="s">
        <v>1548</v>
      </c>
      <c r="E14" s="835" t="s">
        <v>149</v>
      </c>
      <c r="F14" s="1654" t="s">
        <v>486</v>
      </c>
      <c r="G14" s="1655" t="s">
        <v>804</v>
      </c>
      <c r="H14" s="1655" t="s">
        <v>1549</v>
      </c>
      <c r="I14" s="1655" t="s">
        <v>1550</v>
      </c>
      <c r="J14" s="1655" t="s">
        <v>68</v>
      </c>
      <c r="K14" s="1129">
        <v>7404900</v>
      </c>
      <c r="L14" s="1130">
        <v>0.05</v>
      </c>
      <c r="M14" s="1131">
        <v>7.25</v>
      </c>
      <c r="N14" s="1657" t="s">
        <v>68</v>
      </c>
      <c r="O14" s="1657" t="s">
        <v>49</v>
      </c>
      <c r="P14" s="1658" t="s">
        <v>907</v>
      </c>
      <c r="Q14" s="78"/>
      <c r="R14" s="2"/>
      <c r="S14" s="2"/>
      <c r="T14" s="2"/>
    </row>
    <row r="15" spans="1:20" s="6" customFormat="1" ht="50.5" customHeight="1">
      <c r="A15" s="30">
        <v>7</v>
      </c>
      <c r="B15" s="1644" t="s">
        <v>45</v>
      </c>
      <c r="C15" s="1103">
        <v>4.12</v>
      </c>
      <c r="D15" s="1662" t="s">
        <v>1551</v>
      </c>
      <c r="E15" s="835" t="s">
        <v>149</v>
      </c>
      <c r="F15" s="1654" t="s">
        <v>486</v>
      </c>
      <c r="G15" s="1655" t="s">
        <v>43</v>
      </c>
      <c r="H15" s="1655" t="s">
        <v>43</v>
      </c>
      <c r="I15" s="1663" t="s">
        <v>1552</v>
      </c>
      <c r="J15" s="1663" t="s">
        <v>68</v>
      </c>
      <c r="K15" s="867">
        <v>356300</v>
      </c>
      <c r="L15" s="868">
        <v>0.05</v>
      </c>
      <c r="M15" s="869">
        <v>0.2</v>
      </c>
      <c r="N15" s="1664" t="s">
        <v>68</v>
      </c>
      <c r="O15" s="1657" t="s">
        <v>49</v>
      </c>
      <c r="P15" s="1658" t="s">
        <v>907</v>
      </c>
      <c r="Q15" s="1161"/>
      <c r="R15" s="2"/>
      <c r="S15" s="2"/>
      <c r="T15" s="2"/>
    </row>
    <row r="16" spans="1:20" s="6" customFormat="1" ht="69.650000000000006" customHeight="1">
      <c r="A16" s="30">
        <v>8</v>
      </c>
      <c r="B16" s="1644" t="s">
        <v>45</v>
      </c>
      <c r="C16" s="1101">
        <v>29.52</v>
      </c>
      <c r="D16" s="1653" t="s">
        <v>1553</v>
      </c>
      <c r="E16" s="835" t="s">
        <v>149</v>
      </c>
      <c r="F16" s="1654" t="s">
        <v>486</v>
      </c>
      <c r="G16" s="1655" t="s">
        <v>43</v>
      </c>
      <c r="H16" s="1655" t="s">
        <v>43</v>
      </c>
      <c r="I16" s="1656" t="s">
        <v>1554</v>
      </c>
      <c r="J16" s="1656" t="s">
        <v>68</v>
      </c>
      <c r="K16" s="1129">
        <v>1626500</v>
      </c>
      <c r="L16" s="1130">
        <v>0.1</v>
      </c>
      <c r="M16" s="1131">
        <v>2.95</v>
      </c>
      <c r="N16" s="1657" t="s">
        <v>68</v>
      </c>
      <c r="O16" s="1657" t="s">
        <v>49</v>
      </c>
      <c r="P16" s="1658" t="s">
        <v>907</v>
      </c>
      <c r="Q16" s="1161"/>
      <c r="R16" s="2"/>
      <c r="S16" s="2"/>
      <c r="T16" s="2"/>
    </row>
    <row r="17" spans="1:20" s="6" customFormat="1" ht="50.5" customHeight="1">
      <c r="A17" s="30">
        <v>9</v>
      </c>
      <c r="B17" s="1644" t="s">
        <v>45</v>
      </c>
      <c r="C17" s="1101">
        <v>29.26</v>
      </c>
      <c r="D17" s="1653" t="s">
        <v>1555</v>
      </c>
      <c r="E17" s="835" t="s">
        <v>149</v>
      </c>
      <c r="F17" s="1654" t="s">
        <v>486</v>
      </c>
      <c r="G17" s="1655" t="s">
        <v>43</v>
      </c>
      <c r="H17" s="1655" t="s">
        <v>43</v>
      </c>
      <c r="I17" s="1656" t="s">
        <v>1556</v>
      </c>
      <c r="J17" s="1656" t="s">
        <v>68</v>
      </c>
      <c r="K17" s="1129">
        <v>1613300</v>
      </c>
      <c r="L17" s="1130">
        <v>0.1</v>
      </c>
      <c r="M17" s="1131">
        <v>2.92</v>
      </c>
      <c r="N17" s="1657" t="s">
        <v>68</v>
      </c>
      <c r="O17" s="1657" t="s">
        <v>49</v>
      </c>
      <c r="P17" s="1658" t="s">
        <v>907</v>
      </c>
      <c r="Q17" s="1161"/>
      <c r="R17" s="2"/>
      <c r="S17" s="2"/>
      <c r="T17" s="2"/>
    </row>
    <row r="18" spans="1:20" s="6" customFormat="1" ht="34.5" customHeight="1">
      <c r="A18" s="3164" t="s">
        <v>104</v>
      </c>
      <c r="B18" s="3165"/>
      <c r="C18" s="1104">
        <f>SUM(C9:C17)</f>
        <v>454.28</v>
      </c>
      <c r="D18" s="1105"/>
      <c r="E18" s="1106"/>
      <c r="F18" s="1106"/>
      <c r="G18" s="1107"/>
      <c r="H18" s="1107"/>
      <c r="I18" s="1132"/>
      <c r="J18" s="1132"/>
      <c r="K18" s="1133">
        <f>SUM(K9:K17)</f>
        <v>23916000</v>
      </c>
      <c r="L18" s="1134"/>
      <c r="M18" s="1135">
        <f>SUM(M9:M17)</f>
        <v>25.62</v>
      </c>
      <c r="N18" s="1136"/>
      <c r="O18" s="1137"/>
      <c r="P18" s="1138"/>
      <c r="Q18" s="1161"/>
      <c r="R18" s="2"/>
      <c r="S18" s="2"/>
      <c r="T18" s="2"/>
    </row>
    <row r="19" spans="1:20" s="8" customFormat="1" ht="66" customHeight="1">
      <c r="A19" s="30">
        <v>4</v>
      </c>
      <c r="B19" s="1644" t="s">
        <v>19</v>
      </c>
      <c r="C19" s="587">
        <v>0.49</v>
      </c>
      <c r="D19" s="1484" t="s">
        <v>1557</v>
      </c>
      <c r="E19" s="31" t="s">
        <v>149</v>
      </c>
      <c r="F19" s="1482" t="s">
        <v>486</v>
      </c>
      <c r="G19" s="1645" t="s">
        <v>804</v>
      </c>
      <c r="H19" s="1665" t="s">
        <v>1558</v>
      </c>
      <c r="I19" s="1645" t="s">
        <v>1559</v>
      </c>
      <c r="J19" s="1645" t="s">
        <v>1560</v>
      </c>
      <c r="K19" s="863">
        <v>100000</v>
      </c>
      <c r="L19" s="65">
        <v>0.05</v>
      </c>
      <c r="M19" s="31">
        <v>0.02</v>
      </c>
      <c r="N19" s="1648" t="s">
        <v>68</v>
      </c>
      <c r="O19" s="1648" t="s">
        <v>49</v>
      </c>
      <c r="P19" s="1650" t="s">
        <v>943</v>
      </c>
      <c r="Q19" s="79"/>
      <c r="R19" s="2"/>
      <c r="S19" s="2"/>
      <c r="T19" s="2"/>
    </row>
    <row r="20" spans="1:20" s="821" customFormat="1" ht="66" customHeight="1">
      <c r="A20" s="837">
        <v>3</v>
      </c>
      <c r="B20" s="1424" t="s">
        <v>45</v>
      </c>
      <c r="C20" s="838">
        <v>165.43</v>
      </c>
      <c r="D20" s="1653" t="s">
        <v>1561</v>
      </c>
      <c r="E20" s="839" t="s">
        <v>149</v>
      </c>
      <c r="F20" s="1666" t="s">
        <v>486</v>
      </c>
      <c r="G20" s="1667" t="s">
        <v>804</v>
      </c>
      <c r="H20" s="1667" t="s">
        <v>1562</v>
      </c>
      <c r="I20" s="1667" t="s">
        <v>1563</v>
      </c>
      <c r="J20" s="1667" t="s">
        <v>68</v>
      </c>
      <c r="K20" s="870">
        <v>8421700</v>
      </c>
      <c r="L20" s="871">
        <v>0.05</v>
      </c>
      <c r="M20" s="877">
        <v>8.27</v>
      </c>
      <c r="N20" s="1668" t="s">
        <v>68</v>
      </c>
      <c r="O20" s="1669" t="s">
        <v>1564</v>
      </c>
      <c r="P20" s="1670" t="s">
        <v>907</v>
      </c>
      <c r="Q20" s="894"/>
      <c r="R20" s="893"/>
      <c r="S20" s="893"/>
      <c r="T20" s="893"/>
    </row>
    <row r="21" spans="1:20" s="821" customFormat="1" ht="66" customHeight="1">
      <c r="A21" s="837">
        <v>2</v>
      </c>
      <c r="B21" s="1424" t="s">
        <v>45</v>
      </c>
      <c r="C21" s="838">
        <v>60.9</v>
      </c>
      <c r="D21" s="1653" t="s">
        <v>1565</v>
      </c>
      <c r="E21" s="839" t="s">
        <v>149</v>
      </c>
      <c r="F21" s="1666" t="s">
        <v>486</v>
      </c>
      <c r="G21" s="1667" t="s">
        <v>804</v>
      </c>
      <c r="H21" s="1667" t="s">
        <v>1562</v>
      </c>
      <c r="I21" s="1667" t="s">
        <v>1563</v>
      </c>
      <c r="J21" s="1667" t="s">
        <v>68</v>
      </c>
      <c r="K21" s="870">
        <v>3195500</v>
      </c>
      <c r="L21" s="871">
        <v>0.05</v>
      </c>
      <c r="M21" s="877">
        <v>3.04</v>
      </c>
      <c r="N21" s="1668" t="s">
        <v>68</v>
      </c>
      <c r="O21" s="1669" t="s">
        <v>1564</v>
      </c>
      <c r="P21" s="1670" t="s">
        <v>907</v>
      </c>
      <c r="Q21" s="894"/>
      <c r="R21" s="893"/>
      <c r="S21" s="893"/>
      <c r="T21" s="893"/>
    </row>
    <row r="22" spans="1:20" s="821" customFormat="1" ht="78" customHeight="1">
      <c r="A22" s="837">
        <v>1</v>
      </c>
      <c r="B22" s="1424" t="s">
        <v>45</v>
      </c>
      <c r="C22" s="838">
        <v>97.33</v>
      </c>
      <c r="D22" s="1653" t="s">
        <v>1566</v>
      </c>
      <c r="E22" s="839" t="s">
        <v>149</v>
      </c>
      <c r="F22" s="1666" t="s">
        <v>486</v>
      </c>
      <c r="G22" s="1667" t="s">
        <v>804</v>
      </c>
      <c r="H22" s="1667" t="s">
        <v>1567</v>
      </c>
      <c r="I22" s="1667" t="s">
        <v>1568</v>
      </c>
      <c r="J22" s="1667" t="s">
        <v>68</v>
      </c>
      <c r="K22" s="870">
        <v>5016600</v>
      </c>
      <c r="L22" s="871">
        <v>0.05</v>
      </c>
      <c r="M22" s="877">
        <v>4.8600000000000003</v>
      </c>
      <c r="N22" s="1668" t="s">
        <v>68</v>
      </c>
      <c r="O22" s="1669" t="s">
        <v>1569</v>
      </c>
      <c r="P22" s="1670" t="s">
        <v>907</v>
      </c>
      <c r="Q22" s="894"/>
      <c r="R22" s="893"/>
      <c r="S22" s="893"/>
      <c r="T22" s="893"/>
    </row>
    <row r="23" spans="1:20" s="552" customFormat="1" ht="66" customHeight="1">
      <c r="A23" s="15">
        <v>5</v>
      </c>
      <c r="B23" s="1424" t="s">
        <v>19</v>
      </c>
      <c r="C23" s="31">
        <v>0.09</v>
      </c>
      <c r="D23" s="1484" t="s">
        <v>1570</v>
      </c>
      <c r="E23" s="19" t="s">
        <v>149</v>
      </c>
      <c r="F23" s="1418" t="s">
        <v>486</v>
      </c>
      <c r="G23" s="1461" t="s">
        <v>43</v>
      </c>
      <c r="H23" s="1671" t="s">
        <v>43</v>
      </c>
      <c r="I23" s="1461" t="s">
        <v>1571</v>
      </c>
      <c r="J23" s="1461" t="s">
        <v>1572</v>
      </c>
      <c r="K23" s="50">
        <v>19080</v>
      </c>
      <c r="L23" s="872">
        <v>0.03</v>
      </c>
      <c r="M23" s="19">
        <v>2.8E-3</v>
      </c>
      <c r="N23" s="1462" t="s">
        <v>68</v>
      </c>
      <c r="O23" s="1462" t="s">
        <v>49</v>
      </c>
      <c r="P23" s="1421" t="s">
        <v>1573</v>
      </c>
      <c r="Q23" s="623"/>
      <c r="R23" s="893"/>
      <c r="S23" s="893"/>
      <c r="T23" s="893"/>
    </row>
    <row r="24" spans="1:20" s="552" customFormat="1" ht="66" customHeight="1">
      <c r="A24" s="15">
        <v>11</v>
      </c>
      <c r="B24" s="1424" t="s">
        <v>45</v>
      </c>
      <c r="C24" s="31">
        <v>0.95</v>
      </c>
      <c r="D24" s="1484" t="s">
        <v>375</v>
      </c>
      <c r="E24" s="20" t="s">
        <v>149</v>
      </c>
      <c r="F24" s="1418" t="s">
        <v>486</v>
      </c>
      <c r="G24" s="1461" t="s">
        <v>43</v>
      </c>
      <c r="H24" s="1461" t="s">
        <v>43</v>
      </c>
      <c r="I24" s="1461" t="s">
        <v>1574</v>
      </c>
      <c r="J24" s="1461" t="s">
        <v>1575</v>
      </c>
      <c r="K24" s="50">
        <v>195000</v>
      </c>
      <c r="L24" s="606" t="s">
        <v>1155</v>
      </c>
      <c r="M24" s="606" t="s">
        <v>1155</v>
      </c>
      <c r="N24" s="1462" t="s">
        <v>68</v>
      </c>
      <c r="O24" s="1512" t="s">
        <v>1576</v>
      </c>
      <c r="P24" s="1421" t="s">
        <v>1066</v>
      </c>
      <c r="Q24" s="623"/>
      <c r="R24" s="893"/>
      <c r="S24" s="893"/>
      <c r="T24" s="893"/>
    </row>
    <row r="25" spans="1:20" s="552" customFormat="1" ht="66" customHeight="1">
      <c r="A25" s="15">
        <v>13</v>
      </c>
      <c r="B25" s="1429" t="s">
        <v>45</v>
      </c>
      <c r="C25" s="34">
        <v>8.44</v>
      </c>
      <c r="D25" s="1672" t="s">
        <v>1577</v>
      </c>
      <c r="E25" s="908" t="s">
        <v>149</v>
      </c>
      <c r="F25" s="1431" t="s">
        <v>486</v>
      </c>
      <c r="G25" s="1671" t="s">
        <v>43</v>
      </c>
      <c r="H25" s="1671" t="s">
        <v>43</v>
      </c>
      <c r="I25" s="1671" t="s">
        <v>1578</v>
      </c>
      <c r="J25" s="1671" t="s">
        <v>1579</v>
      </c>
      <c r="K25" s="878">
        <v>1689340</v>
      </c>
      <c r="L25" s="872">
        <v>0.03</v>
      </c>
      <c r="M25" s="879">
        <v>0.25</v>
      </c>
      <c r="N25" s="1673" t="s">
        <v>68</v>
      </c>
      <c r="O25" s="1673" t="s">
        <v>49</v>
      </c>
      <c r="P25" s="1433" t="s">
        <v>1066</v>
      </c>
      <c r="Q25" s="623"/>
      <c r="R25" s="893"/>
      <c r="S25" s="893"/>
      <c r="T25" s="893"/>
    </row>
    <row r="26" spans="1:20" s="552" customFormat="1" ht="66" customHeight="1">
      <c r="A26" s="15">
        <v>1</v>
      </c>
      <c r="B26" s="1424" t="s">
        <v>19</v>
      </c>
      <c r="C26" s="31">
        <v>1.35</v>
      </c>
      <c r="D26" s="1484" t="s">
        <v>1580</v>
      </c>
      <c r="E26" s="20" t="s">
        <v>149</v>
      </c>
      <c r="F26" s="1418" t="s">
        <v>486</v>
      </c>
      <c r="G26" s="1461" t="s">
        <v>43</v>
      </c>
      <c r="H26" s="1461" t="s">
        <v>43</v>
      </c>
      <c r="I26" s="1461" t="s">
        <v>1581</v>
      </c>
      <c r="J26" s="1461" t="s">
        <v>1582</v>
      </c>
      <c r="K26" s="50">
        <v>270000</v>
      </c>
      <c r="L26" s="606">
        <v>0.05</v>
      </c>
      <c r="M26" s="19">
        <v>0.06</v>
      </c>
      <c r="N26" s="1462" t="s">
        <v>878</v>
      </c>
      <c r="O26" s="1462" t="s">
        <v>49</v>
      </c>
      <c r="P26" s="1421" t="s">
        <v>1066</v>
      </c>
      <c r="Q26" s="623"/>
      <c r="R26" s="893"/>
      <c r="S26" s="893"/>
      <c r="T26" s="893"/>
    </row>
    <row r="27" spans="1:20" s="552" customFormat="1" ht="79.5" customHeight="1">
      <c r="A27" s="841">
        <v>1</v>
      </c>
      <c r="B27" s="1424" t="s">
        <v>45</v>
      </c>
      <c r="C27" s="838">
        <v>14.21</v>
      </c>
      <c r="D27" s="1653" t="s">
        <v>1583</v>
      </c>
      <c r="E27" s="20" t="s">
        <v>149</v>
      </c>
      <c r="F27" s="1666" t="s">
        <v>486</v>
      </c>
      <c r="G27" s="1667" t="s">
        <v>43</v>
      </c>
      <c r="H27" s="1667" t="s">
        <v>43</v>
      </c>
      <c r="I27" s="1667" t="s">
        <v>1584</v>
      </c>
      <c r="J27" s="1667" t="s">
        <v>68</v>
      </c>
      <c r="K27" s="870">
        <v>860500</v>
      </c>
      <c r="L27" s="871">
        <v>0.05</v>
      </c>
      <c r="M27" s="840">
        <v>0.71</v>
      </c>
      <c r="N27" s="1668" t="s">
        <v>68</v>
      </c>
      <c r="O27" s="1668" t="s">
        <v>49</v>
      </c>
      <c r="P27" s="1674" t="s">
        <v>1077</v>
      </c>
      <c r="Q27" s="623"/>
      <c r="R27" s="893"/>
      <c r="S27" s="893"/>
      <c r="T27" s="893"/>
    </row>
    <row r="28" spans="1:20" s="821" customFormat="1" ht="66" customHeight="1">
      <c r="A28" s="15">
        <v>16</v>
      </c>
      <c r="B28" s="1424" t="s">
        <v>19</v>
      </c>
      <c r="C28" s="1108">
        <v>7.58</v>
      </c>
      <c r="D28" s="1675" t="s">
        <v>1585</v>
      </c>
      <c r="E28" s="20" t="s">
        <v>149</v>
      </c>
      <c r="F28" s="1676" t="s">
        <v>486</v>
      </c>
      <c r="G28" s="1677" t="s">
        <v>43</v>
      </c>
      <c r="H28" s="1677" t="s">
        <v>43</v>
      </c>
      <c r="I28" s="1678" t="s">
        <v>1586</v>
      </c>
      <c r="J28" s="1678" t="s">
        <v>1587</v>
      </c>
      <c r="K28" s="1139">
        <v>1516000</v>
      </c>
      <c r="L28" s="1140">
        <v>0.05</v>
      </c>
      <c r="M28" s="1141">
        <v>0.37</v>
      </c>
      <c r="N28" s="1679" t="s">
        <v>1588</v>
      </c>
      <c r="O28" s="1679" t="s">
        <v>49</v>
      </c>
      <c r="P28" s="1680" t="s">
        <v>907</v>
      </c>
      <c r="Q28" s="894"/>
      <c r="R28" s="893"/>
      <c r="S28" s="893"/>
      <c r="T28" s="893"/>
    </row>
    <row r="29" spans="1:20" s="820" customFormat="1" ht="66" customHeight="1">
      <c r="A29" s="15">
        <v>10</v>
      </c>
      <c r="B29" s="1424" t="s">
        <v>45</v>
      </c>
      <c r="C29" s="31">
        <v>8.25</v>
      </c>
      <c r="D29" s="1484" t="s">
        <v>1589</v>
      </c>
      <c r="E29" s="20" t="s">
        <v>149</v>
      </c>
      <c r="F29" s="1418" t="s">
        <v>486</v>
      </c>
      <c r="G29" s="1461" t="s">
        <v>804</v>
      </c>
      <c r="H29" s="1461" t="s">
        <v>1590</v>
      </c>
      <c r="I29" s="1461" t="s">
        <v>1591</v>
      </c>
      <c r="J29" s="1461" t="s">
        <v>1592</v>
      </c>
      <c r="K29" s="909">
        <v>1650000</v>
      </c>
      <c r="L29" s="606">
        <v>0.05</v>
      </c>
      <c r="M29" s="930">
        <v>0.41</v>
      </c>
      <c r="N29" s="1418" t="s">
        <v>68</v>
      </c>
      <c r="O29" s="1462" t="s">
        <v>49</v>
      </c>
      <c r="P29" s="1681" t="s">
        <v>1593</v>
      </c>
      <c r="Q29" s="894"/>
      <c r="R29" s="893"/>
      <c r="S29" s="893"/>
      <c r="T29" s="893"/>
    </row>
    <row r="31" spans="1:20" s="552" customFormat="1" ht="66" customHeight="1">
      <c r="A31" s="15">
        <v>6</v>
      </c>
      <c r="B31" s="1424" t="s">
        <v>19</v>
      </c>
      <c r="C31" s="587">
        <v>1.45</v>
      </c>
      <c r="D31" s="1484" t="s">
        <v>1594</v>
      </c>
      <c r="E31" s="20" t="s">
        <v>149</v>
      </c>
      <c r="F31" s="1418" t="s">
        <v>486</v>
      </c>
      <c r="G31" s="1461" t="s">
        <v>43</v>
      </c>
      <c r="H31" s="1461" t="s">
        <v>43</v>
      </c>
      <c r="I31" s="1461" t="s">
        <v>1595</v>
      </c>
      <c r="J31" s="1461" t="s">
        <v>1596</v>
      </c>
      <c r="K31" s="50">
        <v>100000</v>
      </c>
      <c r="L31" s="606">
        <v>0.02</v>
      </c>
      <c r="M31" s="19">
        <v>0.02</v>
      </c>
      <c r="N31" s="1462" t="s">
        <v>34</v>
      </c>
      <c r="O31" s="1512" t="s">
        <v>1597</v>
      </c>
      <c r="P31" s="1421" t="s">
        <v>1113</v>
      </c>
      <c r="Q31" s="623"/>
      <c r="R31" s="893"/>
      <c r="S31" s="893"/>
      <c r="T31" s="893"/>
    </row>
    <row r="32" spans="1:20" s="823" customFormat="1" ht="69" customHeight="1">
      <c r="A32" s="845">
        <v>1</v>
      </c>
      <c r="B32" s="1682" t="s">
        <v>19</v>
      </c>
      <c r="C32" s="1110">
        <v>45</v>
      </c>
      <c r="D32" s="1683" t="s">
        <v>1598</v>
      </c>
      <c r="E32" s="1111" t="s">
        <v>149</v>
      </c>
      <c r="F32" s="1112" t="s">
        <v>823</v>
      </c>
      <c r="G32" s="1684" t="s">
        <v>1599</v>
      </c>
      <c r="H32" s="1684" t="s">
        <v>1600</v>
      </c>
      <c r="I32" s="1685" t="s">
        <v>1601</v>
      </c>
      <c r="J32" s="1685" t="s">
        <v>1602</v>
      </c>
      <c r="K32" s="1142">
        <v>9000000</v>
      </c>
      <c r="L32" s="1143">
        <v>0.1</v>
      </c>
      <c r="M32" s="1144">
        <v>4.5</v>
      </c>
      <c r="N32" s="1686" t="s">
        <v>873</v>
      </c>
      <c r="O32" s="1687" t="s">
        <v>1603</v>
      </c>
      <c r="P32" s="1688" t="s">
        <v>1200</v>
      </c>
      <c r="Q32" s="1162"/>
      <c r="R32" s="630"/>
      <c r="S32" s="895"/>
      <c r="T32" s="895"/>
    </row>
    <row r="33" spans="1:20" s="552" customFormat="1" ht="63" customHeight="1">
      <c r="A33" s="845">
        <v>2</v>
      </c>
      <c r="B33" s="1682" t="s">
        <v>19</v>
      </c>
      <c r="C33" s="684">
        <v>0.77</v>
      </c>
      <c r="D33" s="1689" t="s">
        <v>1604</v>
      </c>
      <c r="E33" s="1114" t="s">
        <v>149</v>
      </c>
      <c r="F33" s="1676" t="s">
        <v>486</v>
      </c>
      <c r="G33" s="1678" t="s">
        <v>43</v>
      </c>
      <c r="H33" s="1678" t="s">
        <v>43</v>
      </c>
      <c r="I33" s="1678" t="s">
        <v>1605</v>
      </c>
      <c r="J33" s="1678" t="s">
        <v>1606</v>
      </c>
      <c r="K33" s="1145">
        <v>154000</v>
      </c>
      <c r="L33" s="1146">
        <v>0.03</v>
      </c>
      <c r="M33" s="1109">
        <v>0.02</v>
      </c>
      <c r="N33" s="1690" t="s">
        <v>1607</v>
      </c>
      <c r="O33" s="1676" t="s">
        <v>49</v>
      </c>
      <c r="P33" s="1691" t="s">
        <v>1168</v>
      </c>
      <c r="Q33" s="623"/>
      <c r="R33" s="893"/>
      <c r="S33" s="893"/>
      <c r="T33" s="893"/>
    </row>
    <row r="34" spans="1:20" s="1093" customFormat="1" ht="80.25" customHeight="1">
      <c r="A34" s="845">
        <v>3</v>
      </c>
      <c r="B34" s="1692" t="s">
        <v>45</v>
      </c>
      <c r="C34" s="1116">
        <v>10.62</v>
      </c>
      <c r="D34" s="1113" t="s">
        <v>1608</v>
      </c>
      <c r="E34" s="1109" t="s">
        <v>149</v>
      </c>
      <c r="F34" s="1109" t="s">
        <v>823</v>
      </c>
      <c r="G34" s="1678" t="s">
        <v>869</v>
      </c>
      <c r="H34" s="1109" t="s">
        <v>1609</v>
      </c>
      <c r="I34" s="1147" t="s">
        <v>1610</v>
      </c>
      <c r="J34" s="1115" t="s">
        <v>1611</v>
      </c>
      <c r="K34" s="1145">
        <v>2125794</v>
      </c>
      <c r="L34" s="1148">
        <v>0.1</v>
      </c>
      <c r="M34" s="1149">
        <v>1.06</v>
      </c>
      <c r="N34" s="1676" t="s">
        <v>34</v>
      </c>
      <c r="O34" s="1693" t="s">
        <v>49</v>
      </c>
      <c r="P34" s="1150" t="s">
        <v>1612</v>
      </c>
      <c r="Q34" s="1163"/>
      <c r="R34" s="1164" t="s">
        <v>1613</v>
      </c>
      <c r="S34" s="1164"/>
      <c r="T34" s="1164"/>
    </row>
    <row r="35" spans="1:20" s="821" customFormat="1" ht="67.5" customHeight="1">
      <c r="A35" s="845">
        <v>4</v>
      </c>
      <c r="B35" s="1692" t="s">
        <v>45</v>
      </c>
      <c r="C35" s="684">
        <v>0</v>
      </c>
      <c r="D35" s="1689" t="s">
        <v>1614</v>
      </c>
      <c r="E35" s="1109" t="s">
        <v>149</v>
      </c>
      <c r="F35" s="1676" t="s">
        <v>486</v>
      </c>
      <c r="G35" s="1678" t="s">
        <v>869</v>
      </c>
      <c r="H35" s="1678" t="s">
        <v>1615</v>
      </c>
      <c r="I35" s="1678" t="s">
        <v>1616</v>
      </c>
      <c r="J35" s="1678" t="s">
        <v>1617</v>
      </c>
      <c r="K35" s="1145">
        <v>0</v>
      </c>
      <c r="L35" s="1146" t="s">
        <v>68</v>
      </c>
      <c r="M35" s="1694" t="s">
        <v>68</v>
      </c>
      <c r="N35" s="1690" t="s">
        <v>68</v>
      </c>
      <c r="O35" s="1695" t="s">
        <v>1618</v>
      </c>
      <c r="P35" s="1695" t="s">
        <v>1077</v>
      </c>
      <c r="Q35" s="894"/>
      <c r="R35" s="893"/>
      <c r="S35" s="893"/>
      <c r="T35" s="893"/>
    </row>
    <row r="36" spans="1:20" s="1094" customFormat="1" ht="75" customHeight="1">
      <c r="A36" s="845">
        <v>5</v>
      </c>
      <c r="B36" s="1692" t="s">
        <v>45</v>
      </c>
      <c r="C36" s="1117">
        <v>227.59</v>
      </c>
      <c r="D36" s="1689" t="s">
        <v>1619</v>
      </c>
      <c r="E36" s="1109" t="s">
        <v>149</v>
      </c>
      <c r="F36" s="1109" t="s">
        <v>823</v>
      </c>
      <c r="G36" s="1678" t="s">
        <v>1620</v>
      </c>
      <c r="H36" s="1678" t="s">
        <v>1621</v>
      </c>
      <c r="I36" s="1696" t="s">
        <v>1622</v>
      </c>
      <c r="J36" s="1696" t="s">
        <v>1623</v>
      </c>
      <c r="K36" s="1145">
        <v>23760000</v>
      </c>
      <c r="L36" s="1152">
        <v>0.1</v>
      </c>
      <c r="M36" s="1151">
        <f>C36*L36</f>
        <v>22.759</v>
      </c>
      <c r="N36" s="1690" t="s">
        <v>34</v>
      </c>
      <c r="O36" s="1697" t="s">
        <v>1624</v>
      </c>
      <c r="P36" s="1698" t="s">
        <v>1625</v>
      </c>
      <c r="Q36" s="952" t="s">
        <v>1626</v>
      </c>
      <c r="R36" s="893"/>
      <c r="S36" s="893"/>
      <c r="T36" s="893"/>
    </row>
    <row r="37" spans="1:20" s="822" customFormat="1" ht="67.5" customHeight="1">
      <c r="A37" s="845">
        <v>6</v>
      </c>
      <c r="B37" s="1692" t="s">
        <v>19</v>
      </c>
      <c r="C37" s="684">
        <v>1.2</v>
      </c>
      <c r="D37" s="1689" t="s">
        <v>1627</v>
      </c>
      <c r="E37" s="1114" t="s">
        <v>149</v>
      </c>
      <c r="F37" s="1676" t="s">
        <v>486</v>
      </c>
      <c r="G37" s="1678" t="s">
        <v>869</v>
      </c>
      <c r="H37" s="1678" t="s">
        <v>1628</v>
      </c>
      <c r="I37" s="1678" t="s">
        <v>1629</v>
      </c>
      <c r="J37" s="1678" t="s">
        <v>1630</v>
      </c>
      <c r="K37" s="1145">
        <v>240000</v>
      </c>
      <c r="L37" s="1146">
        <v>0.05</v>
      </c>
      <c r="M37" s="1153">
        <v>0.06</v>
      </c>
      <c r="N37" s="1690" t="s">
        <v>34</v>
      </c>
      <c r="O37" s="1699" t="s">
        <v>1631</v>
      </c>
      <c r="P37" s="1698" t="s">
        <v>1632</v>
      </c>
      <c r="Q37" s="623"/>
    </row>
    <row r="38" spans="1:20" s="822" customFormat="1" ht="67.5" customHeight="1">
      <c r="A38" s="845">
        <v>7</v>
      </c>
      <c r="B38" s="1692" t="s">
        <v>19</v>
      </c>
      <c r="C38" s="1118">
        <v>0.12</v>
      </c>
      <c r="D38" s="1689" t="s">
        <v>1633</v>
      </c>
      <c r="E38" s="1114" t="s">
        <v>149</v>
      </c>
      <c r="F38" s="1676" t="s">
        <v>486</v>
      </c>
      <c r="G38" s="1678" t="s">
        <v>43</v>
      </c>
      <c r="H38" s="1678" t="s">
        <v>43</v>
      </c>
      <c r="I38" s="1678" t="s">
        <v>1634</v>
      </c>
      <c r="J38" s="1678" t="s">
        <v>1635</v>
      </c>
      <c r="K38" s="1145">
        <v>9000</v>
      </c>
      <c r="L38" s="1146" t="s">
        <v>68</v>
      </c>
      <c r="M38" s="1700" t="s">
        <v>68</v>
      </c>
      <c r="N38" s="1690" t="s">
        <v>34</v>
      </c>
      <c r="O38" s="1701" t="s">
        <v>1636</v>
      </c>
      <c r="P38" s="1698" t="s">
        <v>1632</v>
      </c>
      <c r="Q38" s="623"/>
    </row>
    <row r="39" spans="1:20" s="822" customFormat="1" ht="67.5" customHeight="1">
      <c r="A39" s="845">
        <v>8</v>
      </c>
      <c r="B39" s="1692" t="s">
        <v>19</v>
      </c>
      <c r="C39" s="684">
        <v>0.18</v>
      </c>
      <c r="D39" s="1689" t="s">
        <v>1637</v>
      </c>
      <c r="E39" s="1114" t="s">
        <v>149</v>
      </c>
      <c r="F39" s="1676" t="s">
        <v>486</v>
      </c>
      <c r="G39" s="1678" t="s">
        <v>1197</v>
      </c>
      <c r="H39" s="1678" t="s">
        <v>1198</v>
      </c>
      <c r="I39" s="1678" t="s">
        <v>1142</v>
      </c>
      <c r="J39" s="1678" t="s">
        <v>1179</v>
      </c>
      <c r="K39" s="1145">
        <v>36000</v>
      </c>
      <c r="L39" s="1146">
        <v>0.03</v>
      </c>
      <c r="M39" s="1153">
        <v>5.4000000000000003E-3</v>
      </c>
      <c r="N39" s="1690" t="s">
        <v>34</v>
      </c>
      <c r="O39" s="1701" t="s">
        <v>1199</v>
      </c>
      <c r="P39" s="1698" t="s">
        <v>1632</v>
      </c>
      <c r="Q39" s="1702" t="s">
        <v>1169</v>
      </c>
    </row>
    <row r="40" spans="1:20" s="822" customFormat="1" ht="66" customHeight="1">
      <c r="A40" s="845">
        <v>9</v>
      </c>
      <c r="B40" s="1692" t="s">
        <v>19</v>
      </c>
      <c r="C40" s="684">
        <v>0.75</v>
      </c>
      <c r="D40" s="1689" t="s">
        <v>1638</v>
      </c>
      <c r="E40" s="1114" t="s">
        <v>149</v>
      </c>
      <c r="F40" s="1676" t="s">
        <v>486</v>
      </c>
      <c r="G40" s="1678" t="s">
        <v>43</v>
      </c>
      <c r="H40" s="1678" t="s">
        <v>43</v>
      </c>
      <c r="I40" s="1678" t="s">
        <v>1187</v>
      </c>
      <c r="J40" s="1678" t="s">
        <v>1639</v>
      </c>
      <c r="K40" s="1145">
        <v>150000</v>
      </c>
      <c r="L40" s="1146" t="s">
        <v>1155</v>
      </c>
      <c r="M40" s="1700" t="s">
        <v>1155</v>
      </c>
      <c r="N40" s="1690" t="s">
        <v>68</v>
      </c>
      <c r="O40" s="1701" t="s">
        <v>1640</v>
      </c>
      <c r="P40" s="1698" t="s">
        <v>1632</v>
      </c>
      <c r="Q40" s="623"/>
    </row>
    <row r="41" spans="1:20" s="822" customFormat="1" ht="66" customHeight="1">
      <c r="A41" s="845">
        <v>10</v>
      </c>
      <c r="B41" s="1692" t="s">
        <v>19</v>
      </c>
      <c r="C41" s="684">
        <v>1.33</v>
      </c>
      <c r="D41" s="1689" t="s">
        <v>1641</v>
      </c>
      <c r="E41" s="1114" t="s">
        <v>149</v>
      </c>
      <c r="F41" s="1676" t="s">
        <v>486</v>
      </c>
      <c r="G41" s="1678" t="s">
        <v>869</v>
      </c>
      <c r="H41" s="1678" t="s">
        <v>1642</v>
      </c>
      <c r="I41" s="1678" t="s">
        <v>1216</v>
      </c>
      <c r="J41" s="1678" t="s">
        <v>1643</v>
      </c>
      <c r="K41" s="1145">
        <v>401465</v>
      </c>
      <c r="L41" s="1146">
        <v>0.05</v>
      </c>
      <c r="M41" s="1153">
        <v>0.06</v>
      </c>
      <c r="N41" s="1690" t="s">
        <v>68</v>
      </c>
      <c r="O41" s="1701" t="s">
        <v>1644</v>
      </c>
      <c r="P41" s="1698" t="s">
        <v>1314</v>
      </c>
      <c r="Q41" s="623"/>
    </row>
    <row r="42" spans="1:20" s="823" customFormat="1" ht="67.5" customHeight="1">
      <c r="A42" s="845">
        <v>11</v>
      </c>
      <c r="B42" s="1692" t="s">
        <v>45</v>
      </c>
      <c r="C42" s="1119">
        <v>2.88</v>
      </c>
      <c r="D42" s="1703" t="s">
        <v>1645</v>
      </c>
      <c r="E42" s="1114" t="s">
        <v>149</v>
      </c>
      <c r="F42" s="1676" t="s">
        <v>486</v>
      </c>
      <c r="G42" s="1704" t="s">
        <v>869</v>
      </c>
      <c r="H42" s="1678" t="s">
        <v>1646</v>
      </c>
      <c r="I42" s="1705" t="s">
        <v>1647</v>
      </c>
      <c r="J42" s="1705" t="s">
        <v>1648</v>
      </c>
      <c r="K42" s="1155">
        <v>864000</v>
      </c>
      <c r="L42" s="1140">
        <v>0.03</v>
      </c>
      <c r="M42" s="1156">
        <v>0.08</v>
      </c>
      <c r="N42" s="1706" t="s">
        <v>34</v>
      </c>
      <c r="O42" s="1707" t="s">
        <v>49</v>
      </c>
      <c r="P42" s="1698" t="s">
        <v>1649</v>
      </c>
      <c r="Q42" s="623"/>
      <c r="R42" s="630"/>
      <c r="S42" s="895"/>
      <c r="T42" s="895"/>
    </row>
    <row r="43" spans="1:20" s="823" customFormat="1" ht="66" customHeight="1">
      <c r="A43" s="845">
        <v>12</v>
      </c>
      <c r="B43" s="1692" t="s">
        <v>19</v>
      </c>
      <c r="C43" s="684">
        <v>0.69</v>
      </c>
      <c r="D43" s="1689" t="s">
        <v>1650</v>
      </c>
      <c r="E43" s="1114" t="s">
        <v>149</v>
      </c>
      <c r="F43" s="1676" t="s">
        <v>486</v>
      </c>
      <c r="G43" s="1678" t="s">
        <v>43</v>
      </c>
      <c r="H43" s="1678" t="s">
        <v>43</v>
      </c>
      <c r="I43" s="1708" t="s">
        <v>1651</v>
      </c>
      <c r="J43" s="1708" t="s">
        <v>1652</v>
      </c>
      <c r="K43" s="1145">
        <v>138000</v>
      </c>
      <c r="L43" s="1146">
        <v>0.03</v>
      </c>
      <c r="M43" s="1153">
        <v>0.02</v>
      </c>
      <c r="N43" s="1146" t="s">
        <v>68</v>
      </c>
      <c r="O43" s="1699" t="s">
        <v>1653</v>
      </c>
      <c r="P43" s="1709" t="s">
        <v>1632</v>
      </c>
      <c r="Q43" s="623"/>
      <c r="R43" s="630"/>
      <c r="S43" s="895"/>
      <c r="T43" s="895"/>
    </row>
    <row r="44" spans="1:20" s="823" customFormat="1" ht="69" customHeight="1">
      <c r="A44" s="845">
        <v>13</v>
      </c>
      <c r="B44" s="1710" t="s">
        <v>45</v>
      </c>
      <c r="C44" s="1110">
        <v>45</v>
      </c>
      <c r="D44" s="1683" t="s">
        <v>1598</v>
      </c>
      <c r="E44" s="1111" t="s">
        <v>149</v>
      </c>
      <c r="F44" s="1112" t="s">
        <v>823</v>
      </c>
      <c r="G44" s="1684" t="s">
        <v>1171</v>
      </c>
      <c r="H44" s="1684" t="s">
        <v>1654</v>
      </c>
      <c r="I44" s="1685" t="s">
        <v>1655</v>
      </c>
      <c r="J44" s="1685" t="s">
        <v>1656</v>
      </c>
      <c r="K44" s="1142">
        <v>9000000</v>
      </c>
      <c r="L44" s="1143">
        <v>0.1</v>
      </c>
      <c r="M44" s="1144">
        <v>4.5</v>
      </c>
      <c r="N44" s="1686" t="s">
        <v>873</v>
      </c>
      <c r="O44" s="1687" t="s">
        <v>1657</v>
      </c>
      <c r="P44" s="1688" t="s">
        <v>1200</v>
      </c>
      <c r="Q44" s="1162"/>
      <c r="R44" s="630"/>
      <c r="S44" s="895"/>
      <c r="T44" s="895"/>
    </row>
    <row r="45" spans="1:20" s="822" customFormat="1" ht="73.5" customHeight="1">
      <c r="A45" s="845">
        <v>14</v>
      </c>
      <c r="B45" s="1692" t="s">
        <v>19</v>
      </c>
      <c r="C45" s="1118">
        <v>0.3</v>
      </c>
      <c r="D45" s="1689" t="s">
        <v>1658</v>
      </c>
      <c r="E45" s="1114" t="s">
        <v>149</v>
      </c>
      <c r="F45" s="1676" t="s">
        <v>486</v>
      </c>
      <c r="G45" s="1678" t="s">
        <v>869</v>
      </c>
      <c r="H45" s="1678" t="s">
        <v>1659</v>
      </c>
      <c r="I45" s="1678" t="s">
        <v>1660</v>
      </c>
      <c r="J45" s="1678" t="s">
        <v>1661</v>
      </c>
      <c r="K45" s="1145">
        <v>30000</v>
      </c>
      <c r="L45" s="1146" t="s">
        <v>68</v>
      </c>
      <c r="M45" s="1700" t="s">
        <v>68</v>
      </c>
      <c r="N45" s="1690" t="s">
        <v>34</v>
      </c>
      <c r="O45" s="1701" t="s">
        <v>1662</v>
      </c>
      <c r="P45" s="1698" t="s">
        <v>1663</v>
      </c>
      <c r="Q45" s="623"/>
    </row>
    <row r="46" spans="1:20" s="822" customFormat="1" ht="69" customHeight="1">
      <c r="A46" s="845">
        <v>15</v>
      </c>
      <c r="B46" s="1711" t="s">
        <v>45</v>
      </c>
      <c r="C46" s="1121">
        <v>4.5</v>
      </c>
      <c r="D46" s="1703" t="s">
        <v>1664</v>
      </c>
      <c r="E46" s="1114" t="s">
        <v>149</v>
      </c>
      <c r="F46" s="1109" t="s">
        <v>823</v>
      </c>
      <c r="G46" s="1704" t="s">
        <v>869</v>
      </c>
      <c r="H46" s="1704" t="s">
        <v>1665</v>
      </c>
      <c r="I46" s="1704" t="s">
        <v>1666</v>
      </c>
      <c r="J46" s="1120">
        <v>45846.729166666701</v>
      </c>
      <c r="K46" s="1155">
        <v>900000</v>
      </c>
      <c r="L46" s="1140">
        <v>0.03</v>
      </c>
      <c r="M46" s="1156"/>
      <c r="N46" s="1712" t="s">
        <v>34</v>
      </c>
      <c r="O46" s="1713" t="s">
        <v>1667</v>
      </c>
      <c r="P46" s="1698" t="s">
        <v>1200</v>
      </c>
      <c r="Q46" s="897"/>
    </row>
    <row r="47" spans="1:20" s="822" customFormat="1" ht="75" customHeight="1">
      <c r="A47" s="845">
        <v>16</v>
      </c>
      <c r="B47" s="1692" t="s">
        <v>45</v>
      </c>
      <c r="C47" s="1118">
        <v>120</v>
      </c>
      <c r="D47" s="1689" t="s">
        <v>1668</v>
      </c>
      <c r="E47" s="1114" t="s">
        <v>149</v>
      </c>
      <c r="F47" s="1109" t="s">
        <v>823</v>
      </c>
      <c r="G47" s="1678" t="s">
        <v>1669</v>
      </c>
      <c r="H47" s="1678" t="s">
        <v>1670</v>
      </c>
      <c r="I47" s="1696" t="s">
        <v>1671</v>
      </c>
      <c r="J47" s="1696" t="s">
        <v>1672</v>
      </c>
      <c r="K47" s="1145">
        <v>12000000</v>
      </c>
      <c r="L47" s="1152">
        <v>0.05</v>
      </c>
      <c r="M47" s="1153">
        <v>6</v>
      </c>
      <c r="N47" s="1690" t="s">
        <v>34</v>
      </c>
      <c r="O47" s="1701" t="s">
        <v>1673</v>
      </c>
      <c r="P47" s="1698" t="s">
        <v>1674</v>
      </c>
      <c r="Q47" s="1165" t="s">
        <v>1675</v>
      </c>
      <c r="R47" s="631"/>
      <c r="S47" s="631"/>
      <c r="T47" s="631"/>
    </row>
    <row r="48" spans="1:20" s="822" customFormat="1" ht="67.5" customHeight="1">
      <c r="A48" s="845">
        <v>17</v>
      </c>
      <c r="B48" s="1692" t="s">
        <v>45</v>
      </c>
      <c r="C48" s="1119">
        <v>1.1399999999999999</v>
      </c>
      <c r="D48" s="1703" t="s">
        <v>1676</v>
      </c>
      <c r="E48" s="1122" t="s">
        <v>149</v>
      </c>
      <c r="F48" s="1706" t="s">
        <v>486</v>
      </c>
      <c r="G48" s="1678" t="s">
        <v>43</v>
      </c>
      <c r="H48" s="1678" t="s">
        <v>43</v>
      </c>
      <c r="I48" s="1704" t="s">
        <v>1677</v>
      </c>
      <c r="J48" s="1704" t="s">
        <v>1178</v>
      </c>
      <c r="K48" s="1155">
        <v>229837</v>
      </c>
      <c r="L48" s="1140">
        <v>0.05</v>
      </c>
      <c r="M48" s="1156">
        <v>0.05</v>
      </c>
      <c r="N48" s="1712" t="s">
        <v>150</v>
      </c>
      <c r="O48" s="1693" t="s">
        <v>49</v>
      </c>
      <c r="P48" s="1714" t="s">
        <v>1094</v>
      </c>
      <c r="Q48" s="623"/>
    </row>
    <row r="49" spans="1:20" s="823" customFormat="1" ht="85.5" customHeight="1">
      <c r="A49" s="845">
        <v>18</v>
      </c>
      <c r="B49" s="1692" t="s">
        <v>19</v>
      </c>
      <c r="C49" s="684">
        <v>0.3</v>
      </c>
      <c r="D49" s="1689" t="s">
        <v>1678</v>
      </c>
      <c r="E49" s="1114" t="s">
        <v>149</v>
      </c>
      <c r="F49" s="1676" t="s">
        <v>486</v>
      </c>
      <c r="G49" s="1678" t="s">
        <v>43</v>
      </c>
      <c r="H49" s="1678" t="s">
        <v>43</v>
      </c>
      <c r="I49" s="1708" t="s">
        <v>1677</v>
      </c>
      <c r="J49" s="1708" t="s">
        <v>1679</v>
      </c>
      <c r="K49" s="1145">
        <v>60000</v>
      </c>
      <c r="L49" s="1146" t="s">
        <v>1155</v>
      </c>
      <c r="M49" s="1146" t="s">
        <v>1155</v>
      </c>
      <c r="N49" s="1146" t="s">
        <v>1155</v>
      </c>
      <c r="O49" s="1699" t="s">
        <v>1680</v>
      </c>
      <c r="P49" s="1709" t="s">
        <v>907</v>
      </c>
      <c r="Q49" s="623"/>
      <c r="R49" s="630"/>
      <c r="S49" s="895"/>
      <c r="T49" s="895"/>
    </row>
    <row r="50" spans="1:20" s="822" customFormat="1" ht="96" customHeight="1">
      <c r="A50" s="845">
        <v>19</v>
      </c>
      <c r="B50" s="1692" t="s">
        <v>45</v>
      </c>
      <c r="C50" s="684">
        <v>7.5</v>
      </c>
      <c r="D50" s="1689" t="s">
        <v>1681</v>
      </c>
      <c r="E50" s="1114" t="s">
        <v>149</v>
      </c>
      <c r="F50" s="1676" t="s">
        <v>486</v>
      </c>
      <c r="G50" s="1678" t="s">
        <v>1682</v>
      </c>
      <c r="H50" s="1678" t="s">
        <v>43</v>
      </c>
      <c r="I50" s="1678" t="s">
        <v>1683</v>
      </c>
      <c r="J50" s="1678" t="s">
        <v>1215</v>
      </c>
      <c r="K50" s="1145">
        <v>1500000</v>
      </c>
      <c r="L50" s="1146">
        <v>0.1</v>
      </c>
      <c r="M50" s="1153">
        <v>0.75</v>
      </c>
      <c r="N50" s="1690" t="s">
        <v>61</v>
      </c>
      <c r="O50" s="1701" t="s">
        <v>1684</v>
      </c>
      <c r="P50" s="1715" t="s">
        <v>1685</v>
      </c>
      <c r="Q50" s="623"/>
    </row>
    <row r="51" spans="1:20" s="823" customFormat="1" ht="85.5" customHeight="1">
      <c r="A51" s="845">
        <v>20</v>
      </c>
      <c r="B51" s="1692" t="s">
        <v>19</v>
      </c>
      <c r="C51" s="684">
        <v>0.25</v>
      </c>
      <c r="D51" s="1689" t="s">
        <v>1686</v>
      </c>
      <c r="E51" s="1114" t="s">
        <v>149</v>
      </c>
      <c r="F51" s="1676" t="s">
        <v>486</v>
      </c>
      <c r="G51" s="1678" t="s">
        <v>43</v>
      </c>
      <c r="H51" s="1678" t="s">
        <v>43</v>
      </c>
      <c r="I51" s="1678" t="s">
        <v>1687</v>
      </c>
      <c r="J51" s="1678" t="s">
        <v>1688</v>
      </c>
      <c r="K51" s="1145">
        <v>50000</v>
      </c>
      <c r="L51" s="1146" t="s">
        <v>1155</v>
      </c>
      <c r="M51" s="1146" t="s">
        <v>1155</v>
      </c>
      <c r="N51" s="1146" t="s">
        <v>68</v>
      </c>
      <c r="O51" s="1699" t="s">
        <v>1689</v>
      </c>
      <c r="P51" s="1709" t="s">
        <v>1632</v>
      </c>
      <c r="Q51" s="623"/>
      <c r="R51" s="630"/>
      <c r="S51" s="895"/>
      <c r="T51" s="895"/>
    </row>
    <row r="52" spans="1:20" s="822" customFormat="1" ht="67.5" customHeight="1">
      <c r="A52" s="845">
        <v>21</v>
      </c>
      <c r="B52" s="1692" t="s">
        <v>45</v>
      </c>
      <c r="C52" s="684">
        <v>0.13</v>
      </c>
      <c r="D52" s="1689" t="s">
        <v>1690</v>
      </c>
      <c r="E52" s="1114" t="s">
        <v>149</v>
      </c>
      <c r="F52" s="1676" t="s">
        <v>486</v>
      </c>
      <c r="G52" s="1678" t="s">
        <v>869</v>
      </c>
      <c r="H52" s="1678" t="s">
        <v>1654</v>
      </c>
      <c r="I52" s="1678" t="s">
        <v>1180</v>
      </c>
      <c r="J52" s="1678" t="s">
        <v>1691</v>
      </c>
      <c r="K52" s="1145">
        <v>26250</v>
      </c>
      <c r="L52" s="1146">
        <v>0.03</v>
      </c>
      <c r="M52" s="1153">
        <v>3.8999999999999998E-3</v>
      </c>
      <c r="N52" s="1690" t="s">
        <v>34</v>
      </c>
      <c r="O52" s="1701" t="s">
        <v>1689</v>
      </c>
      <c r="P52" s="1698" t="s">
        <v>1692</v>
      </c>
      <c r="Q52" s="623"/>
    </row>
    <row r="53" spans="1:20" s="822" customFormat="1" ht="67.5" customHeight="1">
      <c r="A53" s="845">
        <v>22</v>
      </c>
      <c r="B53" s="1692" t="s">
        <v>45</v>
      </c>
      <c r="C53" s="684">
        <v>50</v>
      </c>
      <c r="D53" s="1689" t="s">
        <v>1693</v>
      </c>
      <c r="E53" s="1114" t="s">
        <v>149</v>
      </c>
      <c r="F53" s="1676" t="s">
        <v>486</v>
      </c>
      <c r="G53" s="1678" t="s">
        <v>1694</v>
      </c>
      <c r="H53" s="1678" t="s">
        <v>1695</v>
      </c>
      <c r="I53" s="1678" t="s">
        <v>1696</v>
      </c>
      <c r="J53" s="1678" t="s">
        <v>1516</v>
      </c>
      <c r="K53" s="1145">
        <v>10000000</v>
      </c>
      <c r="L53" s="1146">
        <v>0.03</v>
      </c>
      <c r="M53" s="1153">
        <v>1.5</v>
      </c>
      <c r="N53" s="1690" t="s">
        <v>150</v>
      </c>
      <c r="O53" s="1701" t="s">
        <v>1697</v>
      </c>
      <c r="P53" s="1698" t="s">
        <v>1698</v>
      </c>
      <c r="Q53" s="623"/>
    </row>
    <row r="54" spans="1:20" s="822" customFormat="1" ht="67.5" customHeight="1">
      <c r="A54" s="845">
        <v>23</v>
      </c>
      <c r="B54" s="1692" t="s">
        <v>45</v>
      </c>
      <c r="C54" s="684">
        <v>25</v>
      </c>
      <c r="D54" s="1689" t="s">
        <v>1699</v>
      </c>
      <c r="E54" s="1114" t="s">
        <v>149</v>
      </c>
      <c r="F54" s="1676" t="s">
        <v>486</v>
      </c>
      <c r="G54" s="1678" t="s">
        <v>869</v>
      </c>
      <c r="H54" s="1678" t="s">
        <v>1700</v>
      </c>
      <c r="I54" s="1678" t="s">
        <v>1203</v>
      </c>
      <c r="J54" s="1678" t="s">
        <v>1701</v>
      </c>
      <c r="K54" s="1145">
        <v>5000000</v>
      </c>
      <c r="L54" s="1146">
        <v>0.03</v>
      </c>
      <c r="M54" s="1153">
        <v>0.75</v>
      </c>
      <c r="N54" s="1690" t="s">
        <v>34</v>
      </c>
      <c r="O54" s="1707" t="s">
        <v>49</v>
      </c>
      <c r="P54" s="1698" t="s">
        <v>1077</v>
      </c>
      <c r="Q54" s="623"/>
    </row>
    <row r="55" spans="1:20" s="823" customFormat="1" ht="67.5" customHeight="1">
      <c r="A55" s="845">
        <v>24</v>
      </c>
      <c r="B55" s="1692" t="s">
        <v>19</v>
      </c>
      <c r="C55" s="684">
        <v>0.3</v>
      </c>
      <c r="D55" s="1689" t="s">
        <v>1702</v>
      </c>
      <c r="E55" s="1114" t="s">
        <v>149</v>
      </c>
      <c r="F55" s="1676" t="s">
        <v>486</v>
      </c>
      <c r="G55" s="1678" t="s">
        <v>43</v>
      </c>
      <c r="H55" s="1678" t="s">
        <v>43</v>
      </c>
      <c r="I55" s="1678" t="s">
        <v>1703</v>
      </c>
      <c r="J55" s="1678" t="s">
        <v>1704</v>
      </c>
      <c r="K55" s="1145">
        <v>60000</v>
      </c>
      <c r="L55" s="1146">
        <v>0.03</v>
      </c>
      <c r="M55" s="1153">
        <v>0.09</v>
      </c>
      <c r="N55" s="1146" t="s">
        <v>68</v>
      </c>
      <c r="O55" s="1676" t="s">
        <v>49</v>
      </c>
      <c r="P55" s="1709" t="s">
        <v>1632</v>
      </c>
      <c r="Q55" s="623"/>
      <c r="R55" s="630"/>
      <c r="S55" s="895"/>
      <c r="T55" s="895"/>
    </row>
    <row r="56" spans="1:20" s="823" customFormat="1" ht="67.5" customHeight="1">
      <c r="A56" s="845">
        <v>25</v>
      </c>
      <c r="B56" s="1692" t="s">
        <v>19</v>
      </c>
      <c r="C56" s="684">
        <v>2.87</v>
      </c>
      <c r="D56" s="1689" t="s">
        <v>1705</v>
      </c>
      <c r="E56" s="1114" t="s">
        <v>149</v>
      </c>
      <c r="F56" s="1676" t="s">
        <v>486</v>
      </c>
      <c r="G56" s="1678" t="s">
        <v>43</v>
      </c>
      <c r="H56" s="1678" t="s">
        <v>43</v>
      </c>
      <c r="I56" s="1678" t="s">
        <v>1706</v>
      </c>
      <c r="J56" s="1678" t="s">
        <v>1707</v>
      </c>
      <c r="K56" s="1145">
        <v>574000</v>
      </c>
      <c r="L56" s="1146">
        <v>0.03</v>
      </c>
      <c r="M56" s="1153">
        <v>0.08</v>
      </c>
      <c r="N56" s="1146" t="s">
        <v>1708</v>
      </c>
      <c r="O56" s="1676" t="s">
        <v>49</v>
      </c>
      <c r="P56" s="1709" t="s">
        <v>1632</v>
      </c>
      <c r="Q56" s="623"/>
      <c r="R56" s="630"/>
      <c r="S56" s="895"/>
      <c r="T56" s="895"/>
    </row>
    <row r="57" spans="1:20" s="823" customFormat="1" ht="69" customHeight="1">
      <c r="A57" s="845">
        <v>26</v>
      </c>
      <c r="B57" s="1682" t="s">
        <v>45</v>
      </c>
      <c r="C57" s="684">
        <v>6</v>
      </c>
      <c r="D57" s="1689" t="s">
        <v>1709</v>
      </c>
      <c r="E57" s="1114" t="s">
        <v>149</v>
      </c>
      <c r="F57" s="1109" t="s">
        <v>823</v>
      </c>
      <c r="G57" s="1678" t="s">
        <v>869</v>
      </c>
      <c r="H57" s="1678" t="s">
        <v>1710</v>
      </c>
      <c r="I57" s="1708" t="s">
        <v>1711</v>
      </c>
      <c r="J57" s="1708" t="s">
        <v>1712</v>
      </c>
      <c r="K57" s="1145">
        <v>1200000</v>
      </c>
      <c r="L57" s="1146">
        <v>0.03</v>
      </c>
      <c r="M57" s="1153">
        <v>0.18</v>
      </c>
      <c r="N57" s="1676" t="s">
        <v>878</v>
      </c>
      <c r="O57" s="1699" t="s">
        <v>1713</v>
      </c>
      <c r="P57" s="1698" t="s">
        <v>1141</v>
      </c>
      <c r="Q57" s="623"/>
      <c r="R57" s="630"/>
      <c r="S57" s="895"/>
      <c r="T57" s="895"/>
    </row>
    <row r="58" spans="1:20" s="823" customFormat="1" ht="75">
      <c r="A58" s="845">
        <v>27</v>
      </c>
      <c r="B58" s="1682" t="s">
        <v>45</v>
      </c>
      <c r="C58" s="1118">
        <v>0.3</v>
      </c>
      <c r="D58" s="1689" t="s">
        <v>1714</v>
      </c>
      <c r="E58" s="1114" t="s">
        <v>817</v>
      </c>
      <c r="F58" s="1676" t="s">
        <v>486</v>
      </c>
      <c r="G58" s="1678" t="s">
        <v>869</v>
      </c>
      <c r="H58" s="1678" t="s">
        <v>1715</v>
      </c>
      <c r="I58" s="1708" t="s">
        <v>1716</v>
      </c>
      <c r="J58" s="1708" t="s">
        <v>1178</v>
      </c>
      <c r="K58" s="1145">
        <v>60000</v>
      </c>
      <c r="L58" s="1146" t="s">
        <v>68</v>
      </c>
      <c r="M58" s="1146" t="s">
        <v>68</v>
      </c>
      <c r="N58" s="1146" t="s">
        <v>68</v>
      </c>
      <c r="O58" s="1676" t="s">
        <v>49</v>
      </c>
      <c r="P58" s="1709" t="s">
        <v>907</v>
      </c>
      <c r="Q58" s="623"/>
      <c r="R58" s="630"/>
      <c r="S58" s="895"/>
      <c r="T58" s="895"/>
    </row>
    <row r="59" spans="1:20" s="823" customFormat="1" ht="69" customHeight="1">
      <c r="A59" s="845">
        <v>28</v>
      </c>
      <c r="B59" s="1682" t="s">
        <v>19</v>
      </c>
      <c r="C59" s="1118">
        <v>0.4</v>
      </c>
      <c r="D59" s="1689" t="s">
        <v>1717</v>
      </c>
      <c r="E59" s="1114" t="s">
        <v>149</v>
      </c>
      <c r="F59" s="1109" t="s">
        <v>823</v>
      </c>
      <c r="G59" s="1678" t="s">
        <v>43</v>
      </c>
      <c r="H59" s="1678" t="s">
        <v>43</v>
      </c>
      <c r="I59" s="1708" t="s">
        <v>1718</v>
      </c>
      <c r="J59" s="1708" t="s">
        <v>1719</v>
      </c>
      <c r="K59" s="1145">
        <v>80000</v>
      </c>
      <c r="L59" s="1146">
        <v>0.05</v>
      </c>
      <c r="M59" s="1153">
        <v>0.02</v>
      </c>
      <c r="N59" s="1676" t="s">
        <v>34</v>
      </c>
      <c r="O59" s="1676" t="s">
        <v>49</v>
      </c>
      <c r="P59" s="1709" t="s">
        <v>1200</v>
      </c>
      <c r="Q59" s="623"/>
      <c r="R59" s="630"/>
      <c r="S59" s="895"/>
      <c r="T59" s="895"/>
    </row>
    <row r="60" spans="1:20" s="823" customFormat="1" ht="91.5" customHeight="1">
      <c r="A60" s="845">
        <v>29</v>
      </c>
      <c r="B60" s="1682" t="s">
        <v>19</v>
      </c>
      <c r="C60" s="684">
        <v>1.1599999999999999</v>
      </c>
      <c r="D60" s="1689" t="s">
        <v>1720</v>
      </c>
      <c r="E60" s="1114" t="s">
        <v>149</v>
      </c>
      <c r="F60" s="1676" t="s">
        <v>486</v>
      </c>
      <c r="G60" s="1678" t="s">
        <v>43</v>
      </c>
      <c r="H60" s="1678" t="s">
        <v>43</v>
      </c>
      <c r="I60" s="1708" t="s">
        <v>1721</v>
      </c>
      <c r="J60" s="1708" t="s">
        <v>1722</v>
      </c>
      <c r="K60" s="1145">
        <v>232500</v>
      </c>
      <c r="L60" s="1146">
        <v>0.03</v>
      </c>
      <c r="M60" s="1153">
        <v>0.03</v>
      </c>
      <c r="N60" s="1676" t="s">
        <v>68</v>
      </c>
      <c r="O60" s="1676" t="s">
        <v>49</v>
      </c>
      <c r="P60" s="1709" t="s">
        <v>907</v>
      </c>
      <c r="Q60" s="623"/>
      <c r="R60" s="630"/>
      <c r="S60" s="895"/>
      <c r="T60" s="895"/>
    </row>
    <row r="61" spans="1:20" s="554" customFormat="1" ht="80.25" customHeight="1">
      <c r="A61" s="845">
        <v>30</v>
      </c>
      <c r="B61" s="1716" t="s">
        <v>19</v>
      </c>
      <c r="C61" s="1114">
        <v>0.21</v>
      </c>
      <c r="D61" s="1123" t="s">
        <v>1723</v>
      </c>
      <c r="E61" s="1114" t="s">
        <v>149</v>
      </c>
      <c r="F61" s="1676" t="s">
        <v>486</v>
      </c>
      <c r="G61" s="1678" t="s">
        <v>43</v>
      </c>
      <c r="H61" s="1678" t="s">
        <v>43</v>
      </c>
      <c r="I61" s="1717" t="s">
        <v>1724</v>
      </c>
      <c r="J61" s="1717" t="s">
        <v>1725</v>
      </c>
      <c r="K61" s="1145">
        <v>42000</v>
      </c>
      <c r="L61" s="1146">
        <v>0.05</v>
      </c>
      <c r="M61" s="1158">
        <v>0.01</v>
      </c>
      <c r="N61" s="1718" t="s">
        <v>68</v>
      </c>
      <c r="O61" s="1718" t="s">
        <v>49</v>
      </c>
      <c r="P61" s="1719" t="s">
        <v>1632</v>
      </c>
      <c r="Q61" s="1166"/>
      <c r="R61" s="824"/>
      <c r="S61" s="824"/>
      <c r="T61" s="824"/>
    </row>
    <row r="62" spans="1:20" s="823" customFormat="1" ht="69" customHeight="1">
      <c r="A62" s="845">
        <v>31</v>
      </c>
      <c r="B62" s="1682" t="s">
        <v>45</v>
      </c>
      <c r="C62" s="684">
        <v>0.37</v>
      </c>
      <c r="D62" s="1689" t="s">
        <v>1726</v>
      </c>
      <c r="E62" s="1114" t="s">
        <v>149</v>
      </c>
      <c r="F62" s="1676" t="s">
        <v>486</v>
      </c>
      <c r="G62" s="1678" t="s">
        <v>1252</v>
      </c>
      <c r="H62" s="1678" t="s">
        <v>43</v>
      </c>
      <c r="I62" s="1708" t="s">
        <v>1727</v>
      </c>
      <c r="J62" s="1708" t="s">
        <v>1728</v>
      </c>
      <c r="K62" s="1145">
        <v>75000</v>
      </c>
      <c r="L62" s="1146">
        <v>0.03</v>
      </c>
      <c r="M62" s="1153">
        <v>0.01</v>
      </c>
      <c r="N62" s="1676" t="s">
        <v>34</v>
      </c>
      <c r="O62" s="1676" t="s">
        <v>49</v>
      </c>
      <c r="P62" s="1709" t="s">
        <v>1094</v>
      </c>
      <c r="Q62" s="623"/>
      <c r="R62" s="630"/>
      <c r="S62" s="895"/>
      <c r="T62" s="895"/>
    </row>
    <row r="63" spans="1:20" s="822" customFormat="1" ht="97.5" customHeight="1">
      <c r="A63" s="845">
        <v>32</v>
      </c>
      <c r="B63" s="1682" t="s">
        <v>45</v>
      </c>
      <c r="C63" s="1118">
        <v>0.5</v>
      </c>
      <c r="D63" s="1689" t="s">
        <v>1729</v>
      </c>
      <c r="E63" s="1114" t="s">
        <v>149</v>
      </c>
      <c r="F63" s="1676" t="s">
        <v>486</v>
      </c>
      <c r="G63" s="1678" t="s">
        <v>804</v>
      </c>
      <c r="H63" s="1678" t="s">
        <v>1276</v>
      </c>
      <c r="I63" s="1678" t="s">
        <v>1727</v>
      </c>
      <c r="J63" s="1678" t="s">
        <v>1730</v>
      </c>
      <c r="K63" s="1145">
        <v>270000</v>
      </c>
      <c r="L63" s="1146">
        <v>0.05</v>
      </c>
      <c r="M63" s="1153">
        <v>0.02</v>
      </c>
      <c r="N63" s="1690" t="s">
        <v>150</v>
      </c>
      <c r="O63" s="1699" t="s">
        <v>1731</v>
      </c>
      <c r="P63" s="1720" t="s">
        <v>1732</v>
      </c>
      <c r="Q63" s="623"/>
    </row>
    <row r="64" spans="1:20" s="822" customFormat="1" ht="97.5" customHeight="1">
      <c r="A64" s="845">
        <v>33</v>
      </c>
      <c r="B64" s="1682" t="s">
        <v>63</v>
      </c>
      <c r="C64" s="684">
        <v>15</v>
      </c>
      <c r="D64" s="1689" t="s">
        <v>1733</v>
      </c>
      <c r="E64" s="1114" t="s">
        <v>149</v>
      </c>
      <c r="F64" s="1109" t="s">
        <v>486</v>
      </c>
      <c r="G64" s="1678" t="s">
        <v>804</v>
      </c>
      <c r="H64" s="1678" t="s">
        <v>1734</v>
      </c>
      <c r="I64" s="1678" t="s">
        <v>1682</v>
      </c>
      <c r="J64" s="1678" t="s">
        <v>1735</v>
      </c>
      <c r="K64" s="1145">
        <v>3000000</v>
      </c>
      <c r="L64" s="1146">
        <v>0.03</v>
      </c>
      <c r="M64" s="1153">
        <v>0.45</v>
      </c>
      <c r="N64" s="1690" t="s">
        <v>1736</v>
      </c>
      <c r="O64" s="1701" t="s">
        <v>1737</v>
      </c>
      <c r="P64" s="1715" t="s">
        <v>1738</v>
      </c>
      <c r="Q64" s="623"/>
    </row>
    <row r="65" spans="1:20" s="823" customFormat="1" ht="92.25" customHeight="1">
      <c r="A65" s="845">
        <v>34</v>
      </c>
      <c r="B65" s="1682" t="s">
        <v>63</v>
      </c>
      <c r="C65" s="1118">
        <v>143.47999999999999</v>
      </c>
      <c r="D65" s="1689" t="s">
        <v>1739</v>
      </c>
      <c r="E65" s="1114" t="s">
        <v>149</v>
      </c>
      <c r="F65" s="1676" t="s">
        <v>486</v>
      </c>
      <c r="G65" s="1678" t="s">
        <v>869</v>
      </c>
      <c r="H65" s="1708" t="s">
        <v>1740</v>
      </c>
      <c r="I65" s="1708" t="s">
        <v>1741</v>
      </c>
      <c r="J65" s="1708" t="s">
        <v>68</v>
      </c>
      <c r="K65" s="1145">
        <v>7324500</v>
      </c>
      <c r="L65" s="1146">
        <v>0.05</v>
      </c>
      <c r="M65" s="1153">
        <v>7.38</v>
      </c>
      <c r="N65" s="1676" t="s">
        <v>1742</v>
      </c>
      <c r="O65" s="1699" t="s">
        <v>1743</v>
      </c>
      <c r="P65" s="1709" t="s">
        <v>1077</v>
      </c>
      <c r="Q65" s="623"/>
      <c r="R65" s="630"/>
      <c r="S65" s="895"/>
      <c r="T65" s="895"/>
    </row>
    <row r="66" spans="1:20" s="823" customFormat="1" ht="69" customHeight="1">
      <c r="A66" s="845">
        <v>35</v>
      </c>
      <c r="B66" s="1682" t="s">
        <v>45</v>
      </c>
      <c r="C66" s="1118">
        <v>13.9</v>
      </c>
      <c r="D66" s="1689" t="s">
        <v>1744</v>
      </c>
      <c r="E66" s="1114" t="s">
        <v>149</v>
      </c>
      <c r="F66" s="1109" t="s">
        <v>823</v>
      </c>
      <c r="G66" s="1678" t="s">
        <v>43</v>
      </c>
      <c r="H66" s="1678" t="s">
        <v>43</v>
      </c>
      <c r="I66" s="1708" t="s">
        <v>1741</v>
      </c>
      <c r="J66" s="1708" t="s">
        <v>68</v>
      </c>
      <c r="K66" s="1145">
        <v>845500</v>
      </c>
      <c r="L66" s="1146">
        <v>0.1</v>
      </c>
      <c r="M66" s="1153">
        <v>1.39</v>
      </c>
      <c r="N66" s="1676" t="s">
        <v>68</v>
      </c>
      <c r="O66" s="1676" t="s">
        <v>49</v>
      </c>
      <c r="P66" s="1698" t="s">
        <v>1745</v>
      </c>
      <c r="Q66" s="623"/>
      <c r="R66" s="630"/>
      <c r="S66" s="895"/>
      <c r="T66" s="895"/>
    </row>
    <row r="67" spans="1:20" s="823" customFormat="1" ht="92.25" customHeight="1">
      <c r="A67" s="845">
        <v>36</v>
      </c>
      <c r="B67" s="1682" t="s">
        <v>45</v>
      </c>
      <c r="C67" s="1118">
        <v>37.5</v>
      </c>
      <c r="D67" s="1689" t="s">
        <v>1746</v>
      </c>
      <c r="E67" s="1114" t="s">
        <v>149</v>
      </c>
      <c r="F67" s="1676" t="s">
        <v>486</v>
      </c>
      <c r="G67" s="1678" t="s">
        <v>869</v>
      </c>
      <c r="H67" s="1708" t="s">
        <v>1747</v>
      </c>
      <c r="I67" s="1708" t="s">
        <v>1748</v>
      </c>
      <c r="J67" s="1708" t="s">
        <v>1749</v>
      </c>
      <c r="K67" s="1145">
        <v>3600000</v>
      </c>
      <c r="L67" s="1146">
        <v>0.03</v>
      </c>
      <c r="M67" s="1153">
        <v>1.1200000000000001</v>
      </c>
      <c r="N67" s="1676" t="s">
        <v>1750</v>
      </c>
      <c r="O67" s="1699" t="s">
        <v>1751</v>
      </c>
      <c r="P67" s="1709" t="s">
        <v>1077</v>
      </c>
      <c r="Q67" s="623"/>
      <c r="R67" s="630"/>
      <c r="S67" s="895"/>
      <c r="T67" s="895"/>
    </row>
    <row r="68" spans="1:20" s="554" customFormat="1" ht="100.5" customHeight="1">
      <c r="A68" s="845">
        <v>37</v>
      </c>
      <c r="B68" s="1682" t="s">
        <v>45</v>
      </c>
      <c r="C68" s="1118">
        <v>1.57</v>
      </c>
      <c r="D68" s="1689" t="s">
        <v>1752</v>
      </c>
      <c r="E68" s="1114" t="s">
        <v>149</v>
      </c>
      <c r="F68" s="1109" t="s">
        <v>486</v>
      </c>
      <c r="G68" s="1678" t="s">
        <v>43</v>
      </c>
      <c r="H68" s="1678" t="s">
        <v>43</v>
      </c>
      <c r="I68" s="1678" t="s">
        <v>1753</v>
      </c>
      <c r="J68" s="1708" t="s">
        <v>1754</v>
      </c>
      <c r="K68" s="1145">
        <v>315541</v>
      </c>
      <c r="L68" s="1146">
        <v>0.05</v>
      </c>
      <c r="M68" s="1153">
        <v>7.0000000000000007E-2</v>
      </c>
      <c r="N68" s="1676" t="s">
        <v>34</v>
      </c>
      <c r="O68" s="1676" t="s">
        <v>49</v>
      </c>
      <c r="P68" s="1709" t="s">
        <v>1755</v>
      </c>
      <c r="Q68" s="623"/>
      <c r="R68" s="630"/>
      <c r="S68" s="630"/>
      <c r="T68" s="630"/>
    </row>
    <row r="69" spans="1:20" s="823" customFormat="1" ht="105" customHeight="1">
      <c r="A69" s="845">
        <v>38</v>
      </c>
      <c r="B69" s="1682" t="s">
        <v>45</v>
      </c>
      <c r="C69" s="684">
        <v>3.9</v>
      </c>
      <c r="D69" s="1721" t="s">
        <v>1756</v>
      </c>
      <c r="E69" s="1114" t="s">
        <v>149</v>
      </c>
      <c r="F69" s="1676" t="s">
        <v>486</v>
      </c>
      <c r="G69" s="1678" t="s">
        <v>869</v>
      </c>
      <c r="H69" s="1678" t="s">
        <v>1757</v>
      </c>
      <c r="I69" s="1708" t="s">
        <v>1758</v>
      </c>
      <c r="J69" s="1708" t="s">
        <v>1759</v>
      </c>
      <c r="K69" s="1145">
        <v>780000</v>
      </c>
      <c r="L69" s="1146">
        <v>0.05</v>
      </c>
      <c r="M69" s="1153">
        <v>0.19</v>
      </c>
      <c r="N69" s="1676" t="s">
        <v>873</v>
      </c>
      <c r="O69" s="1699" t="s">
        <v>1760</v>
      </c>
      <c r="P69" s="1709" t="s">
        <v>1094</v>
      </c>
      <c r="Q69" s="623"/>
      <c r="R69" s="630"/>
      <c r="S69" s="895"/>
      <c r="T69" s="895"/>
    </row>
    <row r="70" spans="1:20" s="746" customFormat="1" ht="92.25" customHeight="1">
      <c r="A70" s="845">
        <v>39</v>
      </c>
      <c r="B70" s="1692" t="s">
        <v>45</v>
      </c>
      <c r="C70" s="1118">
        <v>1.32</v>
      </c>
      <c r="D70" s="1689" t="s">
        <v>1761</v>
      </c>
      <c r="E70" s="1114" t="s">
        <v>149</v>
      </c>
      <c r="F70" s="1676" t="s">
        <v>486</v>
      </c>
      <c r="G70" s="1678" t="s">
        <v>43</v>
      </c>
      <c r="H70" s="1678" t="s">
        <v>43</v>
      </c>
      <c r="I70" s="1170" t="s">
        <v>1762</v>
      </c>
      <c r="J70" s="1171" t="s">
        <v>1763</v>
      </c>
      <c r="K70" s="1145">
        <v>264000</v>
      </c>
      <c r="L70" s="1146">
        <v>0.1</v>
      </c>
      <c r="M70" s="1153">
        <v>0.13</v>
      </c>
      <c r="N70" s="1676" t="s">
        <v>150</v>
      </c>
      <c r="O70" s="1154" t="s">
        <v>1764</v>
      </c>
      <c r="P70" s="1691" t="s">
        <v>1077</v>
      </c>
      <c r="Q70" s="1178"/>
      <c r="R70" s="626"/>
      <c r="S70" s="626"/>
      <c r="T70" s="626"/>
    </row>
    <row r="71" spans="1:20" s="822" customFormat="1" ht="92.25" customHeight="1">
      <c r="A71" s="845">
        <v>40</v>
      </c>
      <c r="B71" s="1692" t="s">
        <v>45</v>
      </c>
      <c r="C71" s="1118">
        <v>4.66</v>
      </c>
      <c r="D71" s="1689" t="s">
        <v>1765</v>
      </c>
      <c r="E71" s="1114" t="s">
        <v>149</v>
      </c>
      <c r="F71" s="1676" t="s">
        <v>486</v>
      </c>
      <c r="G71" s="1678" t="s">
        <v>43</v>
      </c>
      <c r="H71" s="1678" t="s">
        <v>43</v>
      </c>
      <c r="I71" s="1678" t="s">
        <v>1766</v>
      </c>
      <c r="J71" s="1678" t="s">
        <v>1767</v>
      </c>
      <c r="K71" s="1145">
        <v>566000</v>
      </c>
      <c r="L71" s="1146">
        <v>0.05</v>
      </c>
      <c r="M71" s="1153">
        <v>0.23</v>
      </c>
      <c r="N71" s="1690" t="s">
        <v>1768</v>
      </c>
      <c r="O71" s="1676" t="s">
        <v>49</v>
      </c>
      <c r="P71" s="1709" t="s">
        <v>1094</v>
      </c>
      <c r="Q71" s="1179" t="s">
        <v>1769</v>
      </c>
    </row>
    <row r="72" spans="1:20" s="822" customFormat="1" ht="92.25" customHeight="1">
      <c r="A72" s="845">
        <v>41</v>
      </c>
      <c r="B72" s="1682" t="s">
        <v>63</v>
      </c>
      <c r="C72" s="684">
        <v>29</v>
      </c>
      <c r="D72" s="1689" t="s">
        <v>1770</v>
      </c>
      <c r="E72" s="1114" t="s">
        <v>149</v>
      </c>
      <c r="F72" s="1109" t="s">
        <v>823</v>
      </c>
      <c r="G72" s="1678" t="s">
        <v>804</v>
      </c>
      <c r="H72" s="1678" t="s">
        <v>1771</v>
      </c>
      <c r="I72" s="1678" t="s">
        <v>1772</v>
      </c>
      <c r="J72" s="1678" t="s">
        <v>1773</v>
      </c>
      <c r="K72" s="1145">
        <v>5800000</v>
      </c>
      <c r="L72" s="1146">
        <v>0.05</v>
      </c>
      <c r="M72" s="1153">
        <v>1.45</v>
      </c>
      <c r="N72" s="1690" t="s">
        <v>68</v>
      </c>
      <c r="O72" s="1707" t="s">
        <v>49</v>
      </c>
      <c r="P72" s="1698" t="s">
        <v>1774</v>
      </c>
      <c r="Q72" s="897"/>
    </row>
    <row r="73" spans="1:20" s="1095" customFormat="1" ht="92.25" customHeight="1">
      <c r="A73" s="845">
        <v>42</v>
      </c>
      <c r="B73" s="1692" t="s">
        <v>45</v>
      </c>
      <c r="C73" s="685">
        <v>7.5</v>
      </c>
      <c r="D73" s="1123" t="s">
        <v>1775</v>
      </c>
      <c r="E73" s="1114" t="s">
        <v>149</v>
      </c>
      <c r="F73" s="1109" t="s">
        <v>486</v>
      </c>
      <c r="G73" s="1114" t="s">
        <v>1317</v>
      </c>
      <c r="H73" s="1114" t="s">
        <v>1776</v>
      </c>
      <c r="I73" s="1717" t="s">
        <v>1757</v>
      </c>
      <c r="J73" s="1172" t="s">
        <v>1777</v>
      </c>
      <c r="K73" s="1145">
        <v>1500000</v>
      </c>
      <c r="L73" s="1173">
        <v>0.1</v>
      </c>
      <c r="M73" s="1158">
        <v>0.75</v>
      </c>
      <c r="N73" s="1718" t="s">
        <v>83</v>
      </c>
      <c r="O73" s="1174" t="s">
        <v>1778</v>
      </c>
      <c r="P73" s="1719" t="s">
        <v>1141</v>
      </c>
      <c r="Q73" s="1180"/>
      <c r="R73" s="824"/>
      <c r="S73" s="824"/>
      <c r="T73" s="824"/>
    </row>
    <row r="74" spans="1:20" s="822" customFormat="1" ht="92.25" customHeight="1">
      <c r="A74" s="845">
        <v>43</v>
      </c>
      <c r="B74" s="1692" t="s">
        <v>45</v>
      </c>
      <c r="C74" s="1118">
        <v>2.94</v>
      </c>
      <c r="D74" s="1689" t="s">
        <v>1779</v>
      </c>
      <c r="E74" s="1114" t="s">
        <v>149</v>
      </c>
      <c r="F74" s="1109" t="s">
        <v>486</v>
      </c>
      <c r="G74" s="1678" t="s">
        <v>1339</v>
      </c>
      <c r="H74" s="1678" t="s">
        <v>1780</v>
      </c>
      <c r="I74" s="1678" t="s">
        <v>1781</v>
      </c>
      <c r="J74" s="1678" t="s">
        <v>1782</v>
      </c>
      <c r="K74" s="1145">
        <v>588000</v>
      </c>
      <c r="L74" s="1146">
        <v>0.2</v>
      </c>
      <c r="M74" s="1153">
        <v>0.57999999999999996</v>
      </c>
      <c r="N74" s="1690" t="s">
        <v>150</v>
      </c>
      <c r="O74" s="1701" t="s">
        <v>1783</v>
      </c>
      <c r="P74" s="1698" t="s">
        <v>1141</v>
      </c>
      <c r="Q74" s="623"/>
    </row>
    <row r="75" spans="1:20" s="1095" customFormat="1" ht="92.25" customHeight="1">
      <c r="A75" s="845">
        <v>44</v>
      </c>
      <c r="B75" s="1692" t="s">
        <v>45</v>
      </c>
      <c r="C75" s="1167">
        <v>0.05</v>
      </c>
      <c r="D75" s="1123" t="s">
        <v>1784</v>
      </c>
      <c r="E75" s="1114" t="s">
        <v>149</v>
      </c>
      <c r="F75" s="1676" t="s">
        <v>823</v>
      </c>
      <c r="G75" s="1718" t="s">
        <v>43</v>
      </c>
      <c r="H75" s="1114" t="s">
        <v>43</v>
      </c>
      <c r="I75" s="1717" t="s">
        <v>1785</v>
      </c>
      <c r="J75" s="1172" t="s">
        <v>1786</v>
      </c>
      <c r="K75" s="1145">
        <v>25000</v>
      </c>
      <c r="L75" s="1173" t="s">
        <v>68</v>
      </c>
      <c r="M75" s="1158">
        <v>0</v>
      </c>
      <c r="N75" s="1718" t="s">
        <v>34</v>
      </c>
      <c r="O75" s="1718" t="s">
        <v>49</v>
      </c>
      <c r="P75" s="1719" t="s">
        <v>1195</v>
      </c>
      <c r="Q75" s="1181"/>
      <c r="R75" s="824"/>
      <c r="S75" s="824"/>
      <c r="T75" s="824"/>
    </row>
    <row r="76" spans="1:20" s="823" customFormat="1" ht="92.25" customHeight="1">
      <c r="A76" s="845">
        <v>45</v>
      </c>
      <c r="B76" s="1692" t="s">
        <v>45</v>
      </c>
      <c r="C76" s="1118">
        <v>40.24</v>
      </c>
      <c r="D76" s="1689" t="s">
        <v>1787</v>
      </c>
      <c r="E76" s="1114" t="s">
        <v>149</v>
      </c>
      <c r="F76" s="1676" t="s">
        <v>1788</v>
      </c>
      <c r="G76" s="1678" t="s">
        <v>869</v>
      </c>
      <c r="H76" s="1678" t="s">
        <v>1789</v>
      </c>
      <c r="I76" s="1708" t="s">
        <v>1790</v>
      </c>
      <c r="J76" s="1708" t="s">
        <v>1791</v>
      </c>
      <c r="K76" s="1145">
        <v>4024000</v>
      </c>
      <c r="L76" s="1146">
        <v>0.05</v>
      </c>
      <c r="M76" s="1153">
        <v>2.0099999999999998</v>
      </c>
      <c r="N76" s="1676" t="s">
        <v>150</v>
      </c>
      <c r="O76" s="1676" t="s">
        <v>49</v>
      </c>
      <c r="P76" s="1709" t="s">
        <v>1792</v>
      </c>
      <c r="Q76" s="1182"/>
      <c r="R76" s="630"/>
      <c r="S76" s="895"/>
      <c r="T76" s="895"/>
    </row>
    <row r="77" spans="1:20" s="554" customFormat="1" ht="105" customHeight="1">
      <c r="A77" s="845">
        <v>46</v>
      </c>
      <c r="B77" s="1722" t="s">
        <v>45</v>
      </c>
      <c r="C77" s="1114">
        <v>27.5</v>
      </c>
      <c r="D77" s="1123" t="s">
        <v>1793</v>
      </c>
      <c r="E77" s="1114" t="s">
        <v>1794</v>
      </c>
      <c r="F77" s="1676" t="s">
        <v>1788</v>
      </c>
      <c r="G77" s="1678" t="s">
        <v>869</v>
      </c>
      <c r="H77" s="1114" t="s">
        <v>1795</v>
      </c>
      <c r="I77" s="1157" t="s">
        <v>1757</v>
      </c>
      <c r="J77" s="1172" t="s">
        <v>1772</v>
      </c>
      <c r="K77" s="1145">
        <v>5500000</v>
      </c>
      <c r="L77" s="1173">
        <v>0.03</v>
      </c>
      <c r="M77" s="1158">
        <v>0.82</v>
      </c>
      <c r="N77" s="1718" t="s">
        <v>34</v>
      </c>
      <c r="O77" s="1174" t="s">
        <v>1796</v>
      </c>
      <c r="P77" s="1159" t="s">
        <v>1797</v>
      </c>
      <c r="Q77" s="1180"/>
      <c r="R77" s="824"/>
      <c r="S77" s="824"/>
      <c r="T77" s="824"/>
    </row>
    <row r="78" spans="1:20" s="823" customFormat="1" ht="105" customHeight="1">
      <c r="A78" s="845">
        <v>47</v>
      </c>
      <c r="B78" s="1692" t="s">
        <v>45</v>
      </c>
      <c r="C78" s="684">
        <v>375</v>
      </c>
      <c r="D78" s="1689" t="s">
        <v>1798</v>
      </c>
      <c r="E78" s="1114" t="s">
        <v>1794</v>
      </c>
      <c r="F78" s="1676" t="s">
        <v>1788</v>
      </c>
      <c r="G78" s="1678" t="s">
        <v>869</v>
      </c>
      <c r="H78" s="1678" t="s">
        <v>1799</v>
      </c>
      <c r="I78" s="1708" t="s">
        <v>1800</v>
      </c>
      <c r="J78" s="1708" t="s">
        <v>1801</v>
      </c>
      <c r="K78" s="1145">
        <v>75000000</v>
      </c>
      <c r="L78" s="1146" t="s">
        <v>68</v>
      </c>
      <c r="M78" s="1700" t="s">
        <v>68</v>
      </c>
      <c r="N78" s="1676" t="s">
        <v>150</v>
      </c>
      <c r="O78" s="1676" t="s">
        <v>49</v>
      </c>
      <c r="P78" s="1709" t="s">
        <v>1802</v>
      </c>
      <c r="Q78" s="1183" t="s">
        <v>1803</v>
      </c>
      <c r="R78" s="630"/>
      <c r="S78" s="895"/>
      <c r="T78" s="895"/>
    </row>
    <row r="79" spans="1:20" s="823" customFormat="1" ht="105" customHeight="1">
      <c r="A79" s="845">
        <v>48</v>
      </c>
      <c r="B79" s="1692" t="s">
        <v>45</v>
      </c>
      <c r="C79" s="684">
        <v>550</v>
      </c>
      <c r="D79" s="1689" t="s">
        <v>1804</v>
      </c>
      <c r="E79" s="1114" t="s">
        <v>1794</v>
      </c>
      <c r="F79" s="1676" t="s">
        <v>1788</v>
      </c>
      <c r="G79" s="1678" t="s">
        <v>1805</v>
      </c>
      <c r="H79" s="1678" t="s">
        <v>1806</v>
      </c>
      <c r="I79" s="1708" t="s">
        <v>1807</v>
      </c>
      <c r="J79" s="1708" t="s">
        <v>68</v>
      </c>
      <c r="K79" s="1145">
        <v>110000000</v>
      </c>
      <c r="L79" s="1146">
        <v>0.1</v>
      </c>
      <c r="M79" s="1153">
        <v>55</v>
      </c>
      <c r="N79" s="1676" t="s">
        <v>83</v>
      </c>
      <c r="O79" s="1699" t="s">
        <v>1808</v>
      </c>
      <c r="P79" s="1709" t="s">
        <v>1809</v>
      </c>
      <c r="Q79" s="1183"/>
      <c r="R79" s="630"/>
      <c r="S79" s="895"/>
      <c r="T79" s="895"/>
    </row>
    <row r="80" spans="1:20" s="823" customFormat="1" ht="105" customHeight="1">
      <c r="A80" s="845">
        <v>49</v>
      </c>
      <c r="B80" s="1723" t="s">
        <v>45</v>
      </c>
      <c r="C80" s="1168">
        <v>0.05</v>
      </c>
      <c r="D80" s="1724" t="s">
        <v>1810</v>
      </c>
      <c r="E80" s="1169" t="s">
        <v>1794</v>
      </c>
      <c r="F80" s="1725" t="s">
        <v>1788</v>
      </c>
      <c r="G80" s="1726" t="s">
        <v>43</v>
      </c>
      <c r="H80" s="1726" t="s">
        <v>43</v>
      </c>
      <c r="I80" s="1727" t="s">
        <v>1811</v>
      </c>
      <c r="J80" s="1727" t="s">
        <v>1812</v>
      </c>
      <c r="K80" s="1175">
        <v>10172</v>
      </c>
      <c r="L80" s="1176">
        <v>0.05</v>
      </c>
      <c r="M80" s="1177">
        <v>2E-3</v>
      </c>
      <c r="N80" s="1725" t="s">
        <v>34</v>
      </c>
      <c r="O80" s="1725" t="s">
        <v>49</v>
      </c>
      <c r="P80" s="1728" t="s">
        <v>1813</v>
      </c>
      <c r="Q80" s="1183"/>
      <c r="R80" s="630"/>
      <c r="S80" s="895"/>
      <c r="T80" s="895"/>
    </row>
  </sheetData>
  <mergeCells count="3">
    <mergeCell ref="A1:P1"/>
    <mergeCell ref="A2:P2"/>
    <mergeCell ref="A18:B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17"/>
  <sheetViews>
    <sheetView zoomScale="25" zoomScaleNormal="25" workbookViewId="0">
      <selection activeCell="L7" sqref="L7"/>
    </sheetView>
  </sheetViews>
  <sheetFormatPr defaultColWidth="9" defaultRowHeight="14.5"/>
  <cols>
    <col min="2" max="2" width="32.7265625" customWidth="1"/>
    <col min="3" max="3" width="113.26953125" customWidth="1"/>
    <col min="4" max="4" width="22.81640625" customWidth="1"/>
    <col min="5" max="5" width="51" customWidth="1"/>
    <col min="6" max="6" width="49.26953125" customWidth="1"/>
    <col min="7" max="7" width="35.26953125" customWidth="1"/>
    <col min="8" max="8" width="57" customWidth="1"/>
    <col min="9" max="10" width="37" customWidth="1"/>
    <col min="11" max="11" width="15.54296875" hidden="1" customWidth="1"/>
    <col min="12" max="13" width="38" customWidth="1"/>
    <col min="14" max="14" width="41.7265625" customWidth="1"/>
    <col min="15" max="15" width="41.26953125" customWidth="1"/>
    <col min="16" max="16" width="20.453125" customWidth="1"/>
    <col min="17" max="17" width="34.81640625" customWidth="1"/>
    <col min="18" max="20" width="94" customWidth="1"/>
  </cols>
  <sheetData>
    <row r="1" spans="1:20" s="84" customFormat="1" ht="65.25" customHeight="1">
      <c r="A1" s="3166" t="s">
        <v>0</v>
      </c>
      <c r="B1" s="3167"/>
      <c r="C1" s="3167"/>
      <c r="D1" s="3167"/>
      <c r="E1" s="3167"/>
      <c r="F1" s="3167"/>
      <c r="G1" s="3167"/>
      <c r="H1" s="3167"/>
      <c r="I1" s="3167"/>
      <c r="J1" s="3167"/>
      <c r="K1" s="3167"/>
      <c r="L1" s="3167"/>
      <c r="M1" s="3167"/>
      <c r="N1" s="3167"/>
      <c r="O1" s="3167"/>
      <c r="P1" s="3168"/>
    </row>
    <row r="2" spans="1:20" s="85" customFormat="1" ht="217.5" customHeight="1">
      <c r="A2" s="101" t="s">
        <v>1</v>
      </c>
      <c r="B2" s="102" t="s">
        <v>4124</v>
      </c>
      <c r="C2" s="103" t="s">
        <v>5</v>
      </c>
      <c r="D2" s="104" t="s">
        <v>4125</v>
      </c>
      <c r="E2" s="102" t="s">
        <v>681</v>
      </c>
      <c r="F2" s="102" t="s">
        <v>4126</v>
      </c>
      <c r="G2" s="102" t="s">
        <v>4127</v>
      </c>
      <c r="H2" s="105" t="s">
        <v>4128</v>
      </c>
      <c r="I2" s="102" t="s">
        <v>4129</v>
      </c>
      <c r="J2" s="102" t="s">
        <v>7</v>
      </c>
      <c r="K2" s="105" t="s">
        <v>4440</v>
      </c>
      <c r="L2" s="198" t="s">
        <v>682</v>
      </c>
      <c r="M2" s="199" t="s">
        <v>683</v>
      </c>
      <c r="N2" s="200" t="s">
        <v>684</v>
      </c>
      <c r="O2" s="201" t="s">
        <v>4130</v>
      </c>
      <c r="P2" s="202" t="s">
        <v>12</v>
      </c>
      <c r="Q2" s="1953" t="s">
        <v>13</v>
      </c>
      <c r="R2" s="102" t="s">
        <v>14</v>
      </c>
      <c r="S2" s="274" t="s">
        <v>15</v>
      </c>
      <c r="T2" s="275" t="s">
        <v>4441</v>
      </c>
    </row>
    <row r="3" spans="1:20" s="86" customFormat="1" ht="204" customHeight="1">
      <c r="A3" s="106">
        <v>1</v>
      </c>
      <c r="B3" s="107">
        <v>13.9</v>
      </c>
      <c r="C3" s="2127" t="s">
        <v>2164</v>
      </c>
      <c r="D3" s="108" t="s">
        <v>149</v>
      </c>
      <c r="E3" s="109" t="s">
        <v>1447</v>
      </c>
      <c r="F3" s="110"/>
      <c r="G3" s="110"/>
      <c r="H3" s="110"/>
      <c r="I3" s="2128" t="s">
        <v>4141</v>
      </c>
      <c r="J3" s="2128" t="s">
        <v>4141</v>
      </c>
      <c r="K3" s="203">
        <v>0.05</v>
      </c>
      <c r="L3" s="2129" t="s">
        <v>3921</v>
      </c>
      <c r="M3" s="2129" t="s">
        <v>68</v>
      </c>
      <c r="N3" s="204">
        <v>845500</v>
      </c>
      <c r="O3" s="110"/>
      <c r="P3" s="205">
        <v>0.69</v>
      </c>
      <c r="Q3" s="2130" t="s">
        <v>1318</v>
      </c>
      <c r="R3" s="2131" t="s">
        <v>49</v>
      </c>
      <c r="S3" s="2132" t="s">
        <v>907</v>
      </c>
    </row>
    <row r="4" spans="1:20" s="86" customFormat="1" ht="204" customHeight="1">
      <c r="A4" s="111">
        <v>2</v>
      </c>
      <c r="B4" s="112">
        <v>15</v>
      </c>
      <c r="C4" s="2133" t="s">
        <v>2166</v>
      </c>
      <c r="D4" s="113" t="s">
        <v>149</v>
      </c>
      <c r="E4" s="114" t="s">
        <v>1447</v>
      </c>
      <c r="F4" s="115"/>
      <c r="G4" s="115"/>
      <c r="H4" s="115"/>
      <c r="I4" s="2134" t="s">
        <v>5032</v>
      </c>
      <c r="J4" s="2134" t="s">
        <v>5033</v>
      </c>
      <c r="K4" s="206">
        <v>0.1</v>
      </c>
      <c r="L4" s="2134" t="s">
        <v>5034</v>
      </c>
      <c r="M4" s="2134" t="s">
        <v>5035</v>
      </c>
      <c r="N4" s="207">
        <v>3000000</v>
      </c>
      <c r="O4" s="115"/>
      <c r="P4" s="208">
        <v>1.5</v>
      </c>
      <c r="Q4" s="2135" t="s">
        <v>83</v>
      </c>
      <c r="R4" s="2136" t="s">
        <v>5036</v>
      </c>
      <c r="S4" s="2137" t="s">
        <v>907</v>
      </c>
    </row>
    <row r="5" spans="1:20" s="86" customFormat="1" ht="204" customHeight="1">
      <c r="A5" s="116">
        <v>1</v>
      </c>
      <c r="B5" s="117">
        <v>27</v>
      </c>
      <c r="C5" s="2138" t="s">
        <v>2169</v>
      </c>
      <c r="D5" s="118" t="s">
        <v>195</v>
      </c>
      <c r="E5" s="119" t="s">
        <v>1447</v>
      </c>
      <c r="F5" s="120"/>
      <c r="G5" s="120"/>
      <c r="H5" s="120"/>
      <c r="I5" s="2139" t="s">
        <v>5037</v>
      </c>
      <c r="J5" s="2139" t="s">
        <v>4141</v>
      </c>
      <c r="K5" s="209">
        <v>0.05</v>
      </c>
      <c r="L5" s="2140" t="s">
        <v>5038</v>
      </c>
      <c r="M5" s="2140" t="s">
        <v>5039</v>
      </c>
      <c r="N5" s="210">
        <v>5400000</v>
      </c>
      <c r="O5" s="120"/>
      <c r="P5" s="211">
        <v>1.35</v>
      </c>
      <c r="Q5" s="2141" t="s">
        <v>34</v>
      </c>
      <c r="R5" s="2142" t="s">
        <v>5040</v>
      </c>
      <c r="S5" s="2143" t="s">
        <v>5041</v>
      </c>
    </row>
    <row r="6" spans="1:20" s="87" customFormat="1" ht="117" customHeight="1">
      <c r="A6" s="121">
        <v>3</v>
      </c>
      <c r="B6" s="122">
        <v>83.74</v>
      </c>
      <c r="C6" s="1846" t="s">
        <v>2173</v>
      </c>
      <c r="D6" s="123" t="s">
        <v>195</v>
      </c>
      <c r="E6" s="124" t="s">
        <v>1447</v>
      </c>
      <c r="F6" s="124"/>
      <c r="G6" s="124"/>
      <c r="H6" s="125"/>
      <c r="I6" s="1848" t="s">
        <v>43</v>
      </c>
      <c r="J6" s="1848" t="s">
        <v>4141</v>
      </c>
      <c r="K6" s="212"/>
      <c r="L6" s="1848" t="s">
        <v>5042</v>
      </c>
      <c r="M6" s="1848" t="s">
        <v>5043</v>
      </c>
      <c r="N6" s="213">
        <v>5000000</v>
      </c>
      <c r="O6" s="214">
        <v>0.05</v>
      </c>
      <c r="P6" s="215">
        <v>4.18</v>
      </c>
      <c r="Q6" s="1934" t="s">
        <v>5044</v>
      </c>
      <c r="R6" s="1862" t="s">
        <v>5045</v>
      </c>
      <c r="S6" s="1857" t="s">
        <v>907</v>
      </c>
      <c r="T6" s="276"/>
    </row>
    <row r="7" spans="1:20" s="87" customFormat="1" ht="120.75" customHeight="1">
      <c r="A7" s="121">
        <v>1</v>
      </c>
      <c r="B7" s="126">
        <v>12.5</v>
      </c>
      <c r="C7" s="2144" t="s">
        <v>2177</v>
      </c>
      <c r="D7" s="127" t="s">
        <v>149</v>
      </c>
      <c r="E7" s="128" t="s">
        <v>823</v>
      </c>
      <c r="F7" s="129"/>
      <c r="G7" s="129"/>
      <c r="H7" s="130"/>
      <c r="I7" s="2145" t="s">
        <v>75</v>
      </c>
      <c r="J7" s="2145" t="s">
        <v>5046</v>
      </c>
      <c r="K7" s="216"/>
      <c r="L7" s="2145" t="s">
        <v>5047</v>
      </c>
      <c r="M7" s="2145" t="s">
        <v>5048</v>
      </c>
      <c r="N7" s="217">
        <v>2500000</v>
      </c>
      <c r="O7" s="218">
        <v>0.05</v>
      </c>
      <c r="P7" s="219">
        <v>0.62</v>
      </c>
      <c r="Q7" s="2146" t="s">
        <v>83</v>
      </c>
      <c r="R7" s="2147" t="s">
        <v>5049</v>
      </c>
      <c r="S7" s="2148" t="s">
        <v>5050</v>
      </c>
      <c r="T7" s="276" t="s">
        <v>68</v>
      </c>
    </row>
    <row r="8" spans="1:20" s="87" customFormat="1" ht="117.75" customHeight="1">
      <c r="A8" s="121">
        <v>1</v>
      </c>
      <c r="B8" s="122">
        <v>29.26</v>
      </c>
      <c r="C8" s="1846" t="s">
        <v>2179</v>
      </c>
      <c r="D8" s="131" t="s">
        <v>195</v>
      </c>
      <c r="E8" s="132" t="s">
        <v>1447</v>
      </c>
      <c r="F8" s="124"/>
      <c r="G8" s="124"/>
      <c r="H8" s="125"/>
      <c r="I8" s="1847" t="s">
        <v>75</v>
      </c>
      <c r="J8" s="1848" t="s">
        <v>5051</v>
      </c>
      <c r="K8" s="212"/>
      <c r="L8" s="1848" t="s">
        <v>5052</v>
      </c>
      <c r="M8" s="1848" t="s">
        <v>5053</v>
      </c>
      <c r="N8" s="213">
        <v>4926500</v>
      </c>
      <c r="O8" s="214">
        <v>0.03</v>
      </c>
      <c r="P8" s="215">
        <v>0.87</v>
      </c>
      <c r="Q8" s="1934" t="s">
        <v>68</v>
      </c>
      <c r="R8" s="1862" t="s">
        <v>5054</v>
      </c>
      <c r="S8" s="1857" t="s">
        <v>907</v>
      </c>
      <c r="T8" s="276"/>
    </row>
    <row r="9" spans="1:20" s="88" customFormat="1" ht="120" customHeight="1">
      <c r="A9" s="121">
        <v>1</v>
      </c>
      <c r="B9" s="133">
        <v>150</v>
      </c>
      <c r="C9" s="2149" t="s">
        <v>5055</v>
      </c>
      <c r="D9" s="127" t="s">
        <v>149</v>
      </c>
      <c r="E9" s="128" t="s">
        <v>823</v>
      </c>
      <c r="F9" s="127"/>
      <c r="G9" s="127"/>
      <c r="H9" s="134"/>
      <c r="I9" s="2150" t="s">
        <v>5056</v>
      </c>
      <c r="J9" s="2150" t="s">
        <v>5057</v>
      </c>
      <c r="K9" s="2150" t="s">
        <v>5058</v>
      </c>
      <c r="L9" s="2150" t="s">
        <v>5059</v>
      </c>
      <c r="M9" s="2150" t="s">
        <v>5060</v>
      </c>
      <c r="N9" s="220">
        <v>30000000</v>
      </c>
      <c r="O9" s="221">
        <v>0.1</v>
      </c>
      <c r="P9" s="222">
        <v>15</v>
      </c>
      <c r="Q9" s="2151" t="s">
        <v>83</v>
      </c>
      <c r="R9" s="2152" t="s">
        <v>5061</v>
      </c>
      <c r="S9" s="2153" t="s">
        <v>5062</v>
      </c>
      <c r="T9" s="277" t="s">
        <v>68</v>
      </c>
    </row>
    <row r="10" spans="1:20" s="89" customFormat="1" ht="138" customHeight="1">
      <c r="A10" s="121">
        <v>2</v>
      </c>
      <c r="B10" s="135">
        <v>6.28</v>
      </c>
      <c r="C10" s="2154" t="s">
        <v>2186</v>
      </c>
      <c r="D10" s="131" t="s">
        <v>195</v>
      </c>
      <c r="E10" s="132" t="s">
        <v>1447</v>
      </c>
      <c r="F10" s="124"/>
      <c r="G10" s="124"/>
      <c r="H10" s="125"/>
      <c r="I10" s="1847" t="s">
        <v>43</v>
      </c>
      <c r="J10" s="1847" t="s">
        <v>4141</v>
      </c>
      <c r="K10" s="125"/>
      <c r="L10" s="1864" t="s">
        <v>5063</v>
      </c>
      <c r="M10" s="1864" t="s">
        <v>5064</v>
      </c>
      <c r="N10" s="213">
        <v>1257942</v>
      </c>
      <c r="O10" s="214">
        <v>0.04</v>
      </c>
      <c r="P10" s="215">
        <v>0.31</v>
      </c>
      <c r="Q10" s="1934" t="s">
        <v>5065</v>
      </c>
      <c r="R10" s="1856" t="s">
        <v>5066</v>
      </c>
      <c r="S10" s="1867" t="s">
        <v>5067</v>
      </c>
      <c r="T10" s="278"/>
    </row>
    <row r="11" spans="1:20" s="87" customFormat="1" ht="117.65" customHeight="1">
      <c r="A11" s="121">
        <v>1</v>
      </c>
      <c r="B11" s="136">
        <v>50</v>
      </c>
      <c r="C11" s="1853" t="s">
        <v>2182</v>
      </c>
      <c r="D11" s="131" t="s">
        <v>195</v>
      </c>
      <c r="E11" s="132" t="s">
        <v>1447</v>
      </c>
      <c r="F11" s="132"/>
      <c r="G11" s="132"/>
      <c r="H11" s="137"/>
      <c r="I11" s="1847" t="s">
        <v>75</v>
      </c>
      <c r="J11" s="1847" t="s">
        <v>5068</v>
      </c>
      <c r="K11" s="1847" t="s">
        <v>5069</v>
      </c>
      <c r="L11" s="2155" t="s">
        <v>5070</v>
      </c>
      <c r="M11" s="2155" t="s">
        <v>5071</v>
      </c>
      <c r="N11" s="223">
        <v>10000000</v>
      </c>
      <c r="O11" s="224" t="s">
        <v>1343</v>
      </c>
      <c r="P11" s="225">
        <v>2.5</v>
      </c>
      <c r="Q11" s="1865" t="s">
        <v>3971</v>
      </c>
      <c r="R11" s="1862" t="s">
        <v>5072</v>
      </c>
      <c r="S11" s="1857" t="s">
        <v>4563</v>
      </c>
      <c r="T11" s="276" t="s">
        <v>5073</v>
      </c>
    </row>
    <row r="12" spans="1:20" s="87" customFormat="1" ht="117.75" customHeight="1">
      <c r="A12" s="121">
        <v>2</v>
      </c>
      <c r="B12" s="138">
        <v>2.5</v>
      </c>
      <c r="C12" s="1846" t="s">
        <v>2188</v>
      </c>
      <c r="D12" s="131" t="s">
        <v>195</v>
      </c>
      <c r="E12" s="132" t="s">
        <v>1447</v>
      </c>
      <c r="F12" s="124"/>
      <c r="G12" s="124"/>
      <c r="H12" s="125"/>
      <c r="I12" s="1847" t="s">
        <v>5074</v>
      </c>
      <c r="J12" s="1847" t="s">
        <v>5075</v>
      </c>
      <c r="K12" s="212"/>
      <c r="L12" s="1848" t="s">
        <v>5076</v>
      </c>
      <c r="M12" s="1848" t="s">
        <v>5077</v>
      </c>
      <c r="N12" s="213">
        <v>500000</v>
      </c>
      <c r="O12" s="224">
        <v>0.05</v>
      </c>
      <c r="P12" s="225">
        <v>0.12</v>
      </c>
      <c r="Q12" s="1865" t="s">
        <v>61</v>
      </c>
      <c r="R12" s="1855" t="s">
        <v>49</v>
      </c>
      <c r="S12" s="1857" t="s">
        <v>907</v>
      </c>
      <c r="T12" s="278"/>
    </row>
    <row r="13" spans="1:20" s="87" customFormat="1" ht="115.5" customHeight="1">
      <c r="A13" s="121">
        <v>2</v>
      </c>
      <c r="B13" s="139">
        <v>1.8</v>
      </c>
      <c r="C13" s="2156" t="s">
        <v>2189</v>
      </c>
      <c r="D13" s="140" t="s">
        <v>149</v>
      </c>
      <c r="E13" s="141" t="s">
        <v>1447</v>
      </c>
      <c r="F13" s="141"/>
      <c r="G13" s="141"/>
      <c r="H13" s="142"/>
      <c r="I13" s="1961" t="s">
        <v>43</v>
      </c>
      <c r="J13" s="1961" t="s">
        <v>4141</v>
      </c>
      <c r="K13" s="150"/>
      <c r="L13" s="2157" t="s">
        <v>5078</v>
      </c>
      <c r="M13" s="2157" t="s">
        <v>5079</v>
      </c>
      <c r="N13" s="228">
        <v>500000</v>
      </c>
      <c r="O13" s="229">
        <v>0.03</v>
      </c>
      <c r="P13" s="230">
        <v>0.05</v>
      </c>
      <c r="Q13" s="1962" t="s">
        <v>34</v>
      </c>
      <c r="R13" s="2158" t="s">
        <v>5080</v>
      </c>
      <c r="S13" s="2159" t="s">
        <v>5081</v>
      </c>
      <c r="T13" s="277"/>
    </row>
    <row r="14" spans="1:20" s="87" customFormat="1" ht="108" customHeight="1">
      <c r="A14" s="121">
        <v>2</v>
      </c>
      <c r="B14" s="143">
        <v>9</v>
      </c>
      <c r="C14" s="1960" t="s">
        <v>2197</v>
      </c>
      <c r="D14" s="144" t="s">
        <v>195</v>
      </c>
      <c r="E14" s="141" t="s">
        <v>1447</v>
      </c>
      <c r="F14" s="141"/>
      <c r="G14" s="141"/>
      <c r="H14" s="142"/>
      <c r="I14" s="1961" t="s">
        <v>43</v>
      </c>
      <c r="J14" s="1961" t="s">
        <v>4141</v>
      </c>
      <c r="K14" s="142"/>
      <c r="L14" s="2157" t="s">
        <v>5082</v>
      </c>
      <c r="M14" s="2157" t="s">
        <v>5083</v>
      </c>
      <c r="N14" s="231">
        <v>1800800</v>
      </c>
      <c r="O14" s="229">
        <v>0.05</v>
      </c>
      <c r="P14" s="230">
        <v>0.45</v>
      </c>
      <c r="Q14" s="1962" t="s">
        <v>5084</v>
      </c>
      <c r="R14" s="2158" t="s">
        <v>5085</v>
      </c>
      <c r="S14" s="2160" t="s">
        <v>710</v>
      </c>
      <c r="T14" s="277"/>
    </row>
    <row r="15" spans="1:20" s="87" customFormat="1" ht="129.75" customHeight="1">
      <c r="A15" s="121">
        <v>7</v>
      </c>
      <c r="B15" s="145">
        <v>10</v>
      </c>
      <c r="C15" s="2161" t="s">
        <v>2191</v>
      </c>
      <c r="D15" s="127" t="s">
        <v>149</v>
      </c>
      <c r="E15" s="128" t="s">
        <v>823</v>
      </c>
      <c r="F15" s="146"/>
      <c r="G15" s="146"/>
      <c r="H15" s="147"/>
      <c r="I15" s="2162" t="s">
        <v>5086</v>
      </c>
      <c r="J15" s="2162" t="s">
        <v>5087</v>
      </c>
      <c r="K15" s="147"/>
      <c r="L15" s="2163" t="s">
        <v>5088</v>
      </c>
      <c r="M15" s="2163" t="s">
        <v>5089</v>
      </c>
      <c r="N15" s="232">
        <v>2000000</v>
      </c>
      <c r="O15" s="233">
        <v>0.05</v>
      </c>
      <c r="P15" s="234">
        <v>0.5</v>
      </c>
      <c r="Q15" s="2164" t="s">
        <v>150</v>
      </c>
      <c r="R15" s="2165" t="s">
        <v>49</v>
      </c>
      <c r="S15" s="2166" t="s">
        <v>5090</v>
      </c>
      <c r="T15" s="279"/>
    </row>
    <row r="16" spans="1:20" s="87" customFormat="1" ht="108" customHeight="1">
      <c r="A16" s="121">
        <v>1</v>
      </c>
      <c r="B16" s="148">
        <v>1.5</v>
      </c>
      <c r="C16" s="2156" t="s">
        <v>2199</v>
      </c>
      <c r="D16" s="140" t="s">
        <v>195</v>
      </c>
      <c r="E16" s="149" t="s">
        <v>1447</v>
      </c>
      <c r="F16" s="149"/>
      <c r="G16" s="149"/>
      <c r="H16" s="150"/>
      <c r="I16" s="2157" t="s">
        <v>75</v>
      </c>
      <c r="J16" s="2157" t="s">
        <v>5091</v>
      </c>
      <c r="K16" s="227"/>
      <c r="L16" s="2157" t="s">
        <v>5092</v>
      </c>
      <c r="M16" s="2157" t="s">
        <v>5093</v>
      </c>
      <c r="N16" s="228">
        <v>300000</v>
      </c>
      <c r="O16" s="229">
        <v>0.03</v>
      </c>
      <c r="P16" s="230">
        <v>0.04</v>
      </c>
      <c r="Q16" s="1962" t="s">
        <v>5094</v>
      </c>
      <c r="R16" s="1968" t="s">
        <v>5095</v>
      </c>
      <c r="S16" s="2167" t="s">
        <v>3924</v>
      </c>
      <c r="T16" s="276"/>
    </row>
    <row r="17" spans="1:20" s="89" customFormat="1" ht="117.75" customHeight="1">
      <c r="A17" s="121">
        <v>1</v>
      </c>
      <c r="B17" s="151">
        <v>3.33</v>
      </c>
      <c r="C17" s="2168" t="s">
        <v>5096</v>
      </c>
      <c r="D17" s="127" t="s">
        <v>149</v>
      </c>
      <c r="E17" s="129" t="s">
        <v>5097</v>
      </c>
      <c r="F17" s="128"/>
      <c r="G17" s="128"/>
      <c r="H17" s="152"/>
      <c r="I17" s="2145" t="s">
        <v>43</v>
      </c>
      <c r="J17" s="2145" t="s">
        <v>4141</v>
      </c>
      <c r="K17" s="152"/>
      <c r="L17" s="2169" t="s">
        <v>5098</v>
      </c>
      <c r="M17" s="2169" t="s">
        <v>5099</v>
      </c>
      <c r="N17" s="235">
        <v>1014000</v>
      </c>
      <c r="O17" s="236">
        <v>0.03</v>
      </c>
      <c r="P17" s="219">
        <v>0.1</v>
      </c>
      <c r="Q17" s="2170" t="s">
        <v>34</v>
      </c>
      <c r="R17" s="2171" t="s">
        <v>5100</v>
      </c>
      <c r="S17" s="2172" t="s">
        <v>5101</v>
      </c>
      <c r="T17" s="278"/>
    </row>
    <row r="18" spans="1:20" s="87" customFormat="1" ht="108" customHeight="1">
      <c r="A18" s="121">
        <v>2</v>
      </c>
      <c r="B18" s="153">
        <v>2.33</v>
      </c>
      <c r="C18" s="2156" t="s">
        <v>2201</v>
      </c>
      <c r="D18" s="140" t="s">
        <v>195</v>
      </c>
      <c r="E18" s="149" t="s">
        <v>1447</v>
      </c>
      <c r="F18" s="149"/>
      <c r="G18" s="149"/>
      <c r="H18" s="150"/>
      <c r="I18" s="1961" t="s">
        <v>43</v>
      </c>
      <c r="J18" s="1961" t="s">
        <v>4141</v>
      </c>
      <c r="K18" s="227"/>
      <c r="L18" s="2157" t="s">
        <v>5102</v>
      </c>
      <c r="M18" s="2157" t="s">
        <v>5103</v>
      </c>
      <c r="N18" s="228">
        <v>466000</v>
      </c>
      <c r="O18" s="237">
        <v>0.03</v>
      </c>
      <c r="P18" s="238">
        <v>0.06</v>
      </c>
      <c r="Q18" s="1962" t="s">
        <v>5104</v>
      </c>
      <c r="R18" s="2158" t="s">
        <v>5105</v>
      </c>
      <c r="S18" s="2167" t="s">
        <v>3924</v>
      </c>
      <c r="T18" s="276" t="s">
        <v>68</v>
      </c>
    </row>
    <row r="19" spans="1:20" s="87" customFormat="1" ht="93" customHeight="1">
      <c r="A19" s="121">
        <v>1</v>
      </c>
      <c r="B19" s="154">
        <v>10.35</v>
      </c>
      <c r="C19" s="1960" t="s">
        <v>2213</v>
      </c>
      <c r="D19" s="144" t="s">
        <v>195</v>
      </c>
      <c r="E19" s="141" t="s">
        <v>1447</v>
      </c>
      <c r="F19" s="141"/>
      <c r="G19" s="141"/>
      <c r="H19" s="142"/>
      <c r="I19" s="1961" t="s">
        <v>43</v>
      </c>
      <c r="J19" s="1961" t="s">
        <v>4141</v>
      </c>
      <c r="K19" s="226"/>
      <c r="L19" s="1961" t="s">
        <v>5106</v>
      </c>
      <c r="M19" s="1961" t="s">
        <v>5107</v>
      </c>
      <c r="N19" s="231">
        <v>2070000</v>
      </c>
      <c r="O19" s="229">
        <v>0.05</v>
      </c>
      <c r="P19" s="230">
        <v>0.51</v>
      </c>
      <c r="Q19" s="1962" t="s">
        <v>3971</v>
      </c>
      <c r="R19" s="2158" t="s">
        <v>5108</v>
      </c>
      <c r="S19" s="2167" t="s">
        <v>3924</v>
      </c>
      <c r="T19" s="276" t="s">
        <v>68</v>
      </c>
    </row>
    <row r="20" spans="1:20" s="89" customFormat="1" ht="88.5" customHeight="1">
      <c r="A20" s="121">
        <v>1</v>
      </c>
      <c r="B20" s="154">
        <v>75.89</v>
      </c>
      <c r="C20" s="2173" t="s">
        <v>2215</v>
      </c>
      <c r="D20" s="144" t="s">
        <v>195</v>
      </c>
      <c r="E20" s="141" t="s">
        <v>1447</v>
      </c>
      <c r="F20" s="141"/>
      <c r="G20" s="141"/>
      <c r="H20" s="142"/>
      <c r="I20" s="1961" t="s">
        <v>43</v>
      </c>
      <c r="J20" s="1961" t="s">
        <v>4141</v>
      </c>
      <c r="K20" s="142"/>
      <c r="L20" s="1966" t="s">
        <v>5109</v>
      </c>
      <c r="M20" s="1966" t="s">
        <v>5110</v>
      </c>
      <c r="N20" s="231">
        <v>5000000</v>
      </c>
      <c r="O20" s="229">
        <v>0.05</v>
      </c>
      <c r="P20" s="230">
        <v>3.79</v>
      </c>
      <c r="Q20" s="1962" t="s">
        <v>68</v>
      </c>
      <c r="R20" s="2174" t="s">
        <v>49</v>
      </c>
      <c r="S20" s="2167" t="s">
        <v>4563</v>
      </c>
      <c r="T20" s="276" t="s">
        <v>68</v>
      </c>
    </row>
    <row r="22" spans="1:20" s="88" customFormat="1" ht="125.25" customHeight="1">
      <c r="A22" s="121">
        <v>1</v>
      </c>
      <c r="B22" s="155">
        <v>5.4</v>
      </c>
      <c r="C22" s="1970" t="s">
        <v>2218</v>
      </c>
      <c r="D22" s="156" t="s">
        <v>149</v>
      </c>
      <c r="E22" s="157" t="s">
        <v>823</v>
      </c>
      <c r="F22" s="158"/>
      <c r="G22" s="158"/>
      <c r="H22" s="159"/>
      <c r="I22" s="1988" t="s">
        <v>75</v>
      </c>
      <c r="J22" s="1988" t="s">
        <v>5111</v>
      </c>
      <c r="K22" s="159"/>
      <c r="L22" s="1989" t="s">
        <v>5112</v>
      </c>
      <c r="M22" s="1989" t="s">
        <v>5113</v>
      </c>
      <c r="N22" s="239">
        <v>1080000</v>
      </c>
      <c r="O22" s="240">
        <v>0.03</v>
      </c>
      <c r="P22" s="241">
        <v>0.16</v>
      </c>
      <c r="Q22" s="1973" t="s">
        <v>34</v>
      </c>
      <c r="R22" s="1977" t="s">
        <v>5114</v>
      </c>
      <c r="S22" s="2175" t="s">
        <v>5115</v>
      </c>
      <c r="T22" s="276" t="s">
        <v>68</v>
      </c>
    </row>
    <row r="23" spans="1:20" s="88" customFormat="1" ht="125.25" customHeight="1">
      <c r="A23" s="121">
        <v>2</v>
      </c>
      <c r="B23" s="155">
        <v>2.25</v>
      </c>
      <c r="C23" s="1970" t="s">
        <v>2220</v>
      </c>
      <c r="D23" s="156" t="s">
        <v>149</v>
      </c>
      <c r="E23" s="157" t="s">
        <v>823</v>
      </c>
      <c r="F23" s="158"/>
      <c r="G23" s="158"/>
      <c r="H23" s="159"/>
      <c r="I23" s="1988" t="s">
        <v>75</v>
      </c>
      <c r="J23" s="1988" t="s">
        <v>5111</v>
      </c>
      <c r="K23" s="159"/>
      <c r="L23" s="1989" t="s">
        <v>5112</v>
      </c>
      <c r="M23" s="1989" t="s">
        <v>5113</v>
      </c>
      <c r="N23" s="239">
        <v>450000</v>
      </c>
      <c r="O23" s="240">
        <v>0.03</v>
      </c>
      <c r="P23" s="241">
        <v>0.06</v>
      </c>
      <c r="Q23" s="1973" t="s">
        <v>34</v>
      </c>
      <c r="R23" s="1977" t="s">
        <v>5116</v>
      </c>
      <c r="S23" s="2175" t="s">
        <v>5115</v>
      </c>
      <c r="T23" s="276" t="s">
        <v>68</v>
      </c>
    </row>
    <row r="24" spans="1:20" s="87" customFormat="1" ht="123" customHeight="1">
      <c r="A24" s="121">
        <v>1</v>
      </c>
      <c r="B24" s="160">
        <v>2.4300000000000002</v>
      </c>
      <c r="C24" s="1983" t="s">
        <v>2193</v>
      </c>
      <c r="D24" s="161" t="s">
        <v>195</v>
      </c>
      <c r="E24" s="162" t="s">
        <v>1447</v>
      </c>
      <c r="F24" s="162"/>
      <c r="G24" s="162"/>
      <c r="H24" s="163"/>
      <c r="I24" s="1979" t="s">
        <v>75</v>
      </c>
      <c r="J24" s="1979" t="s">
        <v>5117</v>
      </c>
      <c r="K24" s="242"/>
      <c r="L24" s="1979" t="s">
        <v>5118</v>
      </c>
      <c r="M24" s="1979" t="s">
        <v>5119</v>
      </c>
      <c r="N24" s="243">
        <v>413500</v>
      </c>
      <c r="O24" s="244">
        <v>0.03</v>
      </c>
      <c r="P24" s="245">
        <v>7.0000000000000007E-2</v>
      </c>
      <c r="Q24" s="1980" t="s">
        <v>34</v>
      </c>
      <c r="R24" s="2176" t="s">
        <v>5120</v>
      </c>
      <c r="S24" s="2177" t="s">
        <v>5121</v>
      </c>
      <c r="T24" s="276" t="s">
        <v>5122</v>
      </c>
    </row>
    <row r="25" spans="1:20" s="87" customFormat="1" ht="123" customHeight="1">
      <c r="A25" s="121">
        <v>1</v>
      </c>
      <c r="B25" s="164">
        <v>22</v>
      </c>
      <c r="C25" s="1983" t="s">
        <v>5123</v>
      </c>
      <c r="D25" s="161" t="s">
        <v>195</v>
      </c>
      <c r="E25" s="162" t="s">
        <v>1447</v>
      </c>
      <c r="F25" s="162"/>
      <c r="G25" s="162"/>
      <c r="H25" s="163"/>
      <c r="I25" s="1979" t="s">
        <v>5124</v>
      </c>
      <c r="J25" s="1979" t="s">
        <v>5125</v>
      </c>
      <c r="K25" s="242"/>
      <c r="L25" s="1979" t="s">
        <v>4138</v>
      </c>
      <c r="M25" s="1979" t="s">
        <v>5126</v>
      </c>
      <c r="N25" s="243">
        <v>4400000</v>
      </c>
      <c r="O25" s="244">
        <v>0.03</v>
      </c>
      <c r="P25" s="246">
        <v>0.66</v>
      </c>
      <c r="Q25" s="1980" t="s">
        <v>34</v>
      </c>
      <c r="R25" s="1991" t="s">
        <v>5127</v>
      </c>
      <c r="S25" s="2177" t="s">
        <v>5128</v>
      </c>
      <c r="T25" s="276" t="s">
        <v>68</v>
      </c>
    </row>
    <row r="26" spans="1:20" s="88" customFormat="1" ht="87.75" customHeight="1">
      <c r="A26" s="121">
        <v>1</v>
      </c>
      <c r="B26" s="155">
        <v>25</v>
      </c>
      <c r="C26" s="1970" t="s">
        <v>2231</v>
      </c>
      <c r="D26" s="156" t="s">
        <v>149</v>
      </c>
      <c r="E26" s="157" t="s">
        <v>823</v>
      </c>
      <c r="F26" s="158"/>
      <c r="G26" s="158"/>
      <c r="H26" s="159"/>
      <c r="I26" s="1988" t="s">
        <v>75</v>
      </c>
      <c r="J26" s="1988" t="s">
        <v>5129</v>
      </c>
      <c r="K26" s="159"/>
      <c r="L26" s="1989" t="s">
        <v>5130</v>
      </c>
      <c r="M26" s="1989" t="s">
        <v>5131</v>
      </c>
      <c r="N26" s="239">
        <v>5000000</v>
      </c>
      <c r="O26" s="240">
        <v>0.05</v>
      </c>
      <c r="P26" s="241">
        <v>1.25</v>
      </c>
      <c r="Q26" s="1973" t="s">
        <v>150</v>
      </c>
      <c r="R26" s="1986" t="s">
        <v>5132</v>
      </c>
      <c r="S26" s="2178" t="s">
        <v>5133</v>
      </c>
      <c r="T26" s="276" t="s">
        <v>5134</v>
      </c>
    </row>
    <row r="27" spans="1:20" s="87" customFormat="1" ht="105.75" customHeight="1">
      <c r="A27" s="121">
        <v>1</v>
      </c>
      <c r="B27" s="164">
        <v>1.59</v>
      </c>
      <c r="C27" s="1983" t="s">
        <v>2236</v>
      </c>
      <c r="D27" s="161" t="s">
        <v>195</v>
      </c>
      <c r="E27" s="162" t="s">
        <v>1447</v>
      </c>
      <c r="F27" s="162"/>
      <c r="G27" s="162"/>
      <c r="H27" s="163"/>
      <c r="I27" s="1979" t="s">
        <v>75</v>
      </c>
      <c r="J27" s="1979" t="s">
        <v>5135</v>
      </c>
      <c r="K27" s="242"/>
      <c r="L27" s="1979" t="s">
        <v>5136</v>
      </c>
      <c r="M27" s="1979" t="s">
        <v>5137</v>
      </c>
      <c r="N27" s="243">
        <v>319131</v>
      </c>
      <c r="O27" s="244">
        <v>0.03</v>
      </c>
      <c r="P27" s="246">
        <v>0.04</v>
      </c>
      <c r="Q27" s="1980" t="s">
        <v>34</v>
      </c>
      <c r="R27" s="2179" t="s">
        <v>49</v>
      </c>
      <c r="S27" s="2177" t="s">
        <v>5138</v>
      </c>
      <c r="T27" s="276" t="s">
        <v>68</v>
      </c>
    </row>
    <row r="28" spans="1:20" s="88" customFormat="1" ht="104.25" customHeight="1">
      <c r="A28" s="121">
        <v>3</v>
      </c>
      <c r="B28" s="165">
        <v>26.5</v>
      </c>
      <c r="C28" s="2180" t="s">
        <v>2245</v>
      </c>
      <c r="D28" s="156" t="s">
        <v>149</v>
      </c>
      <c r="E28" s="157" t="s">
        <v>823</v>
      </c>
      <c r="F28" s="156"/>
      <c r="G28" s="156"/>
      <c r="H28" s="166"/>
      <c r="I28" s="2181" t="s">
        <v>5139</v>
      </c>
      <c r="J28" s="2181" t="s">
        <v>4141</v>
      </c>
      <c r="K28" s="166"/>
      <c r="L28" s="2182" t="s">
        <v>5140</v>
      </c>
      <c r="M28" s="2182" t="s">
        <v>5141</v>
      </c>
      <c r="N28" s="247">
        <v>5300000</v>
      </c>
      <c r="O28" s="248">
        <v>0.1</v>
      </c>
      <c r="P28" s="249">
        <v>2.65</v>
      </c>
      <c r="Q28" s="2183" t="s">
        <v>54</v>
      </c>
      <c r="R28" s="2183" t="s">
        <v>49</v>
      </c>
      <c r="S28" s="2184" t="s">
        <v>5142</v>
      </c>
      <c r="T28" s="280"/>
    </row>
    <row r="29" spans="1:20" s="87" customFormat="1" ht="85.5" customHeight="1">
      <c r="A29" s="121">
        <v>1</v>
      </c>
      <c r="B29" s="167">
        <v>15</v>
      </c>
      <c r="C29" s="1970" t="s">
        <v>2252</v>
      </c>
      <c r="D29" s="158" t="s">
        <v>149</v>
      </c>
      <c r="E29" s="168" t="s">
        <v>823</v>
      </c>
      <c r="F29" s="168"/>
      <c r="G29" s="168"/>
      <c r="H29" s="169"/>
      <c r="I29" s="1971" t="s">
        <v>4141</v>
      </c>
      <c r="J29" s="1971" t="s">
        <v>4141</v>
      </c>
      <c r="K29" s="169"/>
      <c r="L29" s="1976" t="s">
        <v>5143</v>
      </c>
      <c r="M29" s="1976" t="s">
        <v>5144</v>
      </c>
      <c r="N29" s="251">
        <v>3000000</v>
      </c>
      <c r="O29" s="252">
        <v>0.03</v>
      </c>
      <c r="P29" s="241">
        <v>0.45</v>
      </c>
      <c r="Q29" s="1972" t="s">
        <v>83</v>
      </c>
      <c r="R29" s="1977" t="s">
        <v>5145</v>
      </c>
      <c r="S29" s="2185" t="s">
        <v>5146</v>
      </c>
      <c r="T29" s="276"/>
    </row>
    <row r="30" spans="1:20" s="87" customFormat="1" ht="130.5" customHeight="1">
      <c r="A30" s="121">
        <v>1</v>
      </c>
      <c r="B30" s="170">
        <v>12.5</v>
      </c>
      <c r="C30" s="1983" t="s">
        <v>2256</v>
      </c>
      <c r="D30" s="161" t="s">
        <v>195</v>
      </c>
      <c r="E30" s="162" t="s">
        <v>1447</v>
      </c>
      <c r="F30" s="162"/>
      <c r="G30" s="162"/>
      <c r="H30" s="163"/>
      <c r="I30" s="1979" t="s">
        <v>5147</v>
      </c>
      <c r="J30" s="1979" t="s">
        <v>5148</v>
      </c>
      <c r="K30" s="163"/>
      <c r="L30" s="1990" t="s">
        <v>5149</v>
      </c>
      <c r="M30" s="1990" t="s">
        <v>5150</v>
      </c>
      <c r="N30" s="243">
        <v>2500000</v>
      </c>
      <c r="O30" s="2186" t="s">
        <v>68</v>
      </c>
      <c r="P30" s="2187" t="s">
        <v>68</v>
      </c>
      <c r="Q30" s="1980" t="s">
        <v>5151</v>
      </c>
      <c r="R30" s="1991" t="s">
        <v>5152</v>
      </c>
      <c r="S30" s="2177" t="s">
        <v>5153</v>
      </c>
      <c r="T30" s="276"/>
    </row>
    <row r="31" spans="1:20" s="87" customFormat="1" ht="82.5" customHeight="1">
      <c r="A31" s="121">
        <v>1</v>
      </c>
      <c r="B31" s="164">
        <v>20</v>
      </c>
      <c r="C31" s="1983" t="s">
        <v>2258</v>
      </c>
      <c r="D31" s="161" t="s">
        <v>195</v>
      </c>
      <c r="E31" s="162" t="s">
        <v>1447</v>
      </c>
      <c r="F31" s="162"/>
      <c r="G31" s="162"/>
      <c r="H31" s="163"/>
      <c r="I31" s="1979" t="s">
        <v>5154</v>
      </c>
      <c r="J31" s="1979" t="s">
        <v>5155</v>
      </c>
      <c r="K31" s="163"/>
      <c r="L31" s="1990" t="s">
        <v>5156</v>
      </c>
      <c r="M31" s="1990" t="s">
        <v>5157</v>
      </c>
      <c r="N31" s="243">
        <v>4000000</v>
      </c>
      <c r="O31" s="244">
        <v>0.03</v>
      </c>
      <c r="P31" s="253">
        <v>0.6</v>
      </c>
      <c r="Q31" s="1980" t="s">
        <v>34</v>
      </c>
      <c r="R31" s="1984" t="s">
        <v>5158</v>
      </c>
      <c r="S31" s="2177" t="s">
        <v>5159</v>
      </c>
      <c r="T31" s="281"/>
    </row>
    <row r="32" spans="1:20" s="87" customFormat="1" ht="93" customHeight="1">
      <c r="A32" s="121">
        <v>1</v>
      </c>
      <c r="B32" s="164">
        <v>25</v>
      </c>
      <c r="C32" s="1983" t="s">
        <v>2260</v>
      </c>
      <c r="D32" s="161" t="s">
        <v>195</v>
      </c>
      <c r="E32" s="162" t="s">
        <v>1447</v>
      </c>
      <c r="F32" s="162"/>
      <c r="G32" s="162"/>
      <c r="H32" s="163"/>
      <c r="I32" s="1979" t="s">
        <v>4141</v>
      </c>
      <c r="J32" s="1979" t="s">
        <v>4141</v>
      </c>
      <c r="K32" s="163"/>
      <c r="L32" s="1990" t="s">
        <v>5160</v>
      </c>
      <c r="M32" s="1990" t="s">
        <v>5161</v>
      </c>
      <c r="N32" s="243">
        <v>5000000</v>
      </c>
      <c r="O32" s="244">
        <v>0.03</v>
      </c>
      <c r="P32" s="246">
        <v>0.75</v>
      </c>
      <c r="Q32" s="1980" t="s">
        <v>68</v>
      </c>
      <c r="R32" s="1991" t="s">
        <v>5162</v>
      </c>
      <c r="S32" s="2177" t="s">
        <v>5163</v>
      </c>
      <c r="T32" s="276"/>
    </row>
    <row r="33" spans="1:20" s="87" customFormat="1" ht="93" customHeight="1">
      <c r="A33" s="121">
        <v>1</v>
      </c>
      <c r="B33" s="164">
        <v>15</v>
      </c>
      <c r="C33" s="1983" t="s">
        <v>2262</v>
      </c>
      <c r="D33" s="161" t="s">
        <v>195</v>
      </c>
      <c r="E33" s="162" t="s">
        <v>1447</v>
      </c>
      <c r="F33" s="162"/>
      <c r="G33" s="162"/>
      <c r="H33" s="163"/>
      <c r="I33" s="1979" t="s">
        <v>4141</v>
      </c>
      <c r="J33" s="1979" t="s">
        <v>4141</v>
      </c>
      <c r="K33" s="163"/>
      <c r="L33" s="1990" t="s">
        <v>5164</v>
      </c>
      <c r="M33" s="1990" t="s">
        <v>5165</v>
      </c>
      <c r="N33" s="243">
        <v>3000000</v>
      </c>
      <c r="O33" s="244">
        <v>0.03</v>
      </c>
      <c r="P33" s="246">
        <v>0.45</v>
      </c>
      <c r="Q33" s="1980" t="s">
        <v>5166</v>
      </c>
      <c r="R33" s="1981" t="s">
        <v>5167</v>
      </c>
      <c r="S33" s="2177" t="s">
        <v>5168</v>
      </c>
      <c r="T33" s="276"/>
    </row>
    <row r="34" spans="1:20" s="87" customFormat="1" ht="97.5" customHeight="1">
      <c r="A34" s="121">
        <v>1</v>
      </c>
      <c r="B34" s="160">
        <v>1.29</v>
      </c>
      <c r="C34" s="1983" t="s">
        <v>2270</v>
      </c>
      <c r="D34" s="161" t="s">
        <v>195</v>
      </c>
      <c r="E34" s="162" t="s">
        <v>1447</v>
      </c>
      <c r="F34" s="162"/>
      <c r="G34" s="162"/>
      <c r="H34" s="163"/>
      <c r="I34" s="1979" t="s">
        <v>43</v>
      </c>
      <c r="J34" s="1979" t="s">
        <v>43</v>
      </c>
      <c r="K34" s="163"/>
      <c r="L34" s="1990" t="s">
        <v>5169</v>
      </c>
      <c r="M34" s="1990" t="s">
        <v>5170</v>
      </c>
      <c r="N34" s="243">
        <v>258000</v>
      </c>
      <c r="O34" s="244">
        <v>0.05</v>
      </c>
      <c r="P34" s="246">
        <v>0.06</v>
      </c>
      <c r="Q34" s="1980" t="s">
        <v>5171</v>
      </c>
      <c r="R34" s="1991" t="s">
        <v>5172</v>
      </c>
      <c r="S34" s="2177" t="s">
        <v>5173</v>
      </c>
      <c r="T34" s="276"/>
    </row>
    <row r="35" spans="1:20" s="88" customFormat="1" ht="88.5" customHeight="1">
      <c r="A35" s="121">
        <v>1</v>
      </c>
      <c r="B35" s="171">
        <v>24.54</v>
      </c>
      <c r="C35" s="1970" t="s">
        <v>2264</v>
      </c>
      <c r="D35" s="156" t="s">
        <v>149</v>
      </c>
      <c r="E35" s="157" t="s">
        <v>823</v>
      </c>
      <c r="F35" s="158"/>
      <c r="G35" s="158"/>
      <c r="H35" s="159"/>
      <c r="I35" s="1988" t="s">
        <v>5174</v>
      </c>
      <c r="J35" s="1988" t="s">
        <v>5175</v>
      </c>
      <c r="K35" s="159"/>
      <c r="L35" s="1989" t="s">
        <v>5176</v>
      </c>
      <c r="M35" s="1989" t="s">
        <v>5177</v>
      </c>
      <c r="N35" s="239">
        <v>4909600</v>
      </c>
      <c r="O35" s="254">
        <v>0.03</v>
      </c>
      <c r="P35" s="241">
        <v>0.73</v>
      </c>
      <c r="Q35" s="1973" t="s">
        <v>34</v>
      </c>
      <c r="R35" s="1977" t="s">
        <v>5178</v>
      </c>
      <c r="S35" s="2175" t="s">
        <v>5179</v>
      </c>
      <c r="T35" s="276"/>
    </row>
    <row r="36" spans="1:20" s="90" customFormat="1" ht="79.5" customHeight="1">
      <c r="A36" s="172">
        <v>1</v>
      </c>
      <c r="B36" s="164">
        <v>17.329999999999998</v>
      </c>
      <c r="C36" s="1992" t="s">
        <v>5180</v>
      </c>
      <c r="D36" s="173" t="s">
        <v>195</v>
      </c>
      <c r="E36" s="174" t="s">
        <v>1447</v>
      </c>
      <c r="F36" s="174"/>
      <c r="G36" s="174"/>
      <c r="H36" s="175"/>
      <c r="I36" s="1993" t="s">
        <v>75</v>
      </c>
      <c r="J36" s="1993" t="s">
        <v>5181</v>
      </c>
      <c r="K36" s="175"/>
      <c r="L36" s="1994" t="s">
        <v>5182</v>
      </c>
      <c r="M36" s="1994" t="s">
        <v>5183</v>
      </c>
      <c r="N36" s="256">
        <v>3466000</v>
      </c>
      <c r="O36" s="257">
        <v>0.03</v>
      </c>
      <c r="P36" s="258">
        <v>0.51</v>
      </c>
      <c r="Q36" s="1995" t="s">
        <v>5184</v>
      </c>
      <c r="R36" s="1999" t="s">
        <v>5185</v>
      </c>
      <c r="S36" s="2188" t="s">
        <v>5186</v>
      </c>
      <c r="T36" s="282"/>
    </row>
    <row r="37" spans="1:20" s="91" customFormat="1" ht="83.25" customHeight="1">
      <c r="A37" s="172">
        <v>1</v>
      </c>
      <c r="B37" s="164">
        <v>0.36</v>
      </c>
      <c r="C37" s="2001" t="s">
        <v>2276</v>
      </c>
      <c r="D37" s="174" t="s">
        <v>195</v>
      </c>
      <c r="E37" s="174" t="s">
        <v>1447</v>
      </c>
      <c r="F37" s="174"/>
      <c r="G37" s="174"/>
      <c r="H37" s="175"/>
      <c r="I37" s="1993" t="s">
        <v>43</v>
      </c>
      <c r="J37" s="1993" t="s">
        <v>43</v>
      </c>
      <c r="K37" s="175"/>
      <c r="L37" s="1994" t="s">
        <v>5187</v>
      </c>
      <c r="M37" s="1994" t="s">
        <v>5188</v>
      </c>
      <c r="N37" s="256">
        <v>109200</v>
      </c>
      <c r="O37" s="259">
        <v>0.03</v>
      </c>
      <c r="P37" s="258">
        <v>0.01</v>
      </c>
      <c r="Q37" s="1995" t="s">
        <v>1318</v>
      </c>
      <c r="R37" s="2189" t="s">
        <v>5189</v>
      </c>
      <c r="S37" s="2188" t="s">
        <v>5190</v>
      </c>
      <c r="T37" s="282"/>
    </row>
    <row r="38" spans="1:20" s="90" customFormat="1" ht="76.5" customHeight="1">
      <c r="A38" s="172">
        <v>1</v>
      </c>
      <c r="B38" s="176">
        <v>5</v>
      </c>
      <c r="C38" s="2005" t="s">
        <v>2290</v>
      </c>
      <c r="D38" s="177" t="s">
        <v>149</v>
      </c>
      <c r="E38" s="178" t="s">
        <v>823</v>
      </c>
      <c r="F38" s="179"/>
      <c r="G38" s="179"/>
      <c r="H38" s="180"/>
      <c r="I38" s="2006" t="s">
        <v>43</v>
      </c>
      <c r="J38" s="2006" t="s">
        <v>43</v>
      </c>
      <c r="K38" s="180"/>
      <c r="L38" s="2007" t="s">
        <v>5191</v>
      </c>
      <c r="M38" s="2007" t="s">
        <v>5192</v>
      </c>
      <c r="N38" s="260">
        <v>1000000</v>
      </c>
      <c r="O38" s="261">
        <v>0.05</v>
      </c>
      <c r="P38" s="262">
        <v>7.0000000000000007E-2</v>
      </c>
      <c r="Q38" s="2008" t="s">
        <v>34</v>
      </c>
      <c r="R38" s="2009" t="s">
        <v>49</v>
      </c>
      <c r="S38" s="2190" t="s">
        <v>5193</v>
      </c>
      <c r="T38" s="285"/>
    </row>
    <row r="39" spans="1:20" s="90" customFormat="1" ht="84" customHeight="1">
      <c r="A39" s="172">
        <v>1</v>
      </c>
      <c r="B39" s="160">
        <v>14.02</v>
      </c>
      <c r="C39" s="1992" t="s">
        <v>5194</v>
      </c>
      <c r="D39" s="173" t="s">
        <v>195</v>
      </c>
      <c r="E39" s="174" t="s">
        <v>1447</v>
      </c>
      <c r="F39" s="174"/>
      <c r="G39" s="174"/>
      <c r="H39" s="175"/>
      <c r="I39" s="1993" t="s">
        <v>43</v>
      </c>
      <c r="J39" s="1993" t="s">
        <v>43</v>
      </c>
      <c r="K39" s="175"/>
      <c r="L39" s="1994" t="s">
        <v>5195</v>
      </c>
      <c r="M39" s="1994" t="s">
        <v>5196</v>
      </c>
      <c r="N39" s="256">
        <v>2804080</v>
      </c>
      <c r="O39" s="2191" t="s">
        <v>68</v>
      </c>
      <c r="P39" s="2191" t="s">
        <v>68</v>
      </c>
      <c r="Q39" s="1995" t="s">
        <v>34</v>
      </c>
      <c r="R39" s="1999" t="s">
        <v>5197</v>
      </c>
      <c r="S39" s="2188" t="s">
        <v>5186</v>
      </c>
      <c r="T39" s="282"/>
    </row>
    <row r="40" spans="1:20" s="91" customFormat="1" ht="113.25" customHeight="1">
      <c r="A40" s="172">
        <v>1</v>
      </c>
      <c r="B40" s="181">
        <v>28.75</v>
      </c>
      <c r="C40" s="2017" t="s">
        <v>2296</v>
      </c>
      <c r="D40" s="177" t="s">
        <v>4606</v>
      </c>
      <c r="E40" s="179" t="s">
        <v>823</v>
      </c>
      <c r="F40" s="179"/>
      <c r="G40" s="179"/>
      <c r="H40" s="180"/>
      <c r="I40" s="2006" t="s">
        <v>43</v>
      </c>
      <c r="J40" s="2006" t="s">
        <v>43</v>
      </c>
      <c r="K40" s="180"/>
      <c r="L40" s="2192" t="s">
        <v>5198</v>
      </c>
      <c r="M40" s="2192" t="s">
        <v>5199</v>
      </c>
      <c r="N40" s="260">
        <v>5750000</v>
      </c>
      <c r="O40" s="261">
        <v>0.05</v>
      </c>
      <c r="P40" s="262">
        <v>1.43</v>
      </c>
      <c r="Q40" s="2193" t="s">
        <v>68</v>
      </c>
      <c r="R40" s="2018" t="s">
        <v>5200</v>
      </c>
      <c r="S40" s="2190" t="s">
        <v>5201</v>
      </c>
      <c r="T40" s="287"/>
    </row>
    <row r="41" spans="1:20" s="91" customFormat="1" ht="113.25" customHeight="1">
      <c r="A41" s="172">
        <v>1</v>
      </c>
      <c r="B41" s="160">
        <v>48</v>
      </c>
      <c r="C41" s="2001" t="s">
        <v>2300</v>
      </c>
      <c r="D41" s="174" t="s">
        <v>195</v>
      </c>
      <c r="E41" s="174" t="s">
        <v>1447</v>
      </c>
      <c r="F41" s="174"/>
      <c r="G41" s="174"/>
      <c r="H41" s="175"/>
      <c r="I41" s="1994" t="s">
        <v>75</v>
      </c>
      <c r="J41" s="1993" t="s">
        <v>5202</v>
      </c>
      <c r="K41" s="175"/>
      <c r="L41" s="1994" t="s">
        <v>5203</v>
      </c>
      <c r="M41" s="1994" t="s">
        <v>5204</v>
      </c>
      <c r="N41" s="256">
        <v>10000000</v>
      </c>
      <c r="O41" s="259">
        <v>0.03</v>
      </c>
      <c r="P41" s="258">
        <v>1.44</v>
      </c>
      <c r="Q41" s="1995" t="s">
        <v>34</v>
      </c>
      <c r="R41" s="2189" t="s">
        <v>5205</v>
      </c>
      <c r="S41" s="2188" t="s">
        <v>5206</v>
      </c>
      <c r="T41" s="282"/>
    </row>
    <row r="42" spans="1:20" s="90" customFormat="1" ht="111.75" customHeight="1">
      <c r="A42" s="172">
        <v>1</v>
      </c>
      <c r="B42" s="182">
        <v>7</v>
      </c>
      <c r="C42" s="1992" t="s">
        <v>2302</v>
      </c>
      <c r="D42" s="173" t="s">
        <v>195</v>
      </c>
      <c r="E42" s="174" t="s">
        <v>1447</v>
      </c>
      <c r="F42" s="174"/>
      <c r="G42" s="174"/>
      <c r="H42" s="175"/>
      <c r="I42" s="1993" t="s">
        <v>4600</v>
      </c>
      <c r="J42" s="1993" t="s">
        <v>5207</v>
      </c>
      <c r="K42" s="175"/>
      <c r="L42" s="1994" t="s">
        <v>4608</v>
      </c>
      <c r="M42" s="1994" t="s">
        <v>5208</v>
      </c>
      <c r="N42" s="256">
        <v>1500000</v>
      </c>
      <c r="O42" s="257">
        <v>0.05</v>
      </c>
      <c r="P42" s="258">
        <v>0.35</v>
      </c>
      <c r="Q42" s="1995" t="s">
        <v>34</v>
      </c>
      <c r="R42" s="1999" t="s">
        <v>5209</v>
      </c>
      <c r="S42" s="2188" t="s">
        <v>5210</v>
      </c>
      <c r="T42" s="282"/>
    </row>
    <row r="43" spans="1:20" s="90" customFormat="1" ht="111.75" customHeight="1">
      <c r="A43" s="172">
        <v>1</v>
      </c>
      <c r="B43" s="183">
        <v>8.31</v>
      </c>
      <c r="C43" s="1992" t="s">
        <v>2308</v>
      </c>
      <c r="D43" s="173" t="s">
        <v>195</v>
      </c>
      <c r="E43" s="174" t="s">
        <v>1447</v>
      </c>
      <c r="F43" s="174"/>
      <c r="G43" s="174"/>
      <c r="H43" s="175"/>
      <c r="I43" s="1993" t="s">
        <v>43</v>
      </c>
      <c r="J43" s="1993" t="s">
        <v>43</v>
      </c>
      <c r="K43" s="175"/>
      <c r="L43" s="1994" t="s">
        <v>5211</v>
      </c>
      <c r="M43" s="1994" t="s">
        <v>5212</v>
      </c>
      <c r="N43" s="256">
        <v>1662500</v>
      </c>
      <c r="O43" s="257">
        <v>0.03</v>
      </c>
      <c r="P43" s="258">
        <v>0.24</v>
      </c>
      <c r="Q43" s="1995" t="s">
        <v>878</v>
      </c>
      <c r="R43" s="2004" t="s">
        <v>49</v>
      </c>
      <c r="S43" s="2188" t="s">
        <v>5213</v>
      </c>
      <c r="T43" s="282"/>
    </row>
    <row r="44" spans="1:20" s="90" customFormat="1" ht="111.75" customHeight="1">
      <c r="A44" s="172">
        <v>2</v>
      </c>
      <c r="B44" s="164">
        <v>3.09</v>
      </c>
      <c r="C44" s="1992" t="s">
        <v>2310</v>
      </c>
      <c r="D44" s="173" t="s">
        <v>195</v>
      </c>
      <c r="E44" s="174" t="s">
        <v>1447</v>
      </c>
      <c r="F44" s="174"/>
      <c r="G44" s="174"/>
      <c r="H44" s="175"/>
      <c r="I44" s="1993" t="s">
        <v>43</v>
      </c>
      <c r="J44" s="1993" t="s">
        <v>43</v>
      </c>
      <c r="K44" s="175"/>
      <c r="L44" s="1994" t="s">
        <v>5214</v>
      </c>
      <c r="M44" s="1994" t="s">
        <v>5215</v>
      </c>
      <c r="N44" s="256">
        <v>618496</v>
      </c>
      <c r="O44" s="257">
        <v>0.03</v>
      </c>
      <c r="P44" s="258">
        <v>0.09</v>
      </c>
      <c r="Q44" s="1995" t="s">
        <v>878</v>
      </c>
      <c r="R44" s="2004" t="s">
        <v>49</v>
      </c>
      <c r="S44" s="2188" t="s">
        <v>5216</v>
      </c>
      <c r="T44" s="282"/>
    </row>
    <row r="46" spans="1:20" s="92" customFormat="1" ht="114.75" customHeight="1">
      <c r="A46" s="172">
        <v>1</v>
      </c>
      <c r="B46" s="171">
        <v>21.5</v>
      </c>
      <c r="C46" s="2005" t="s">
        <v>2315</v>
      </c>
      <c r="D46" s="184" t="s">
        <v>4606</v>
      </c>
      <c r="E46" s="179" t="s">
        <v>823</v>
      </c>
      <c r="F46" s="184"/>
      <c r="G46" s="184"/>
      <c r="H46" s="185"/>
      <c r="I46" s="2020" t="s">
        <v>5217</v>
      </c>
      <c r="J46" s="2019" t="s">
        <v>5218</v>
      </c>
      <c r="K46" s="185"/>
      <c r="L46" s="2192" t="s">
        <v>5219</v>
      </c>
      <c r="M46" s="2194" t="s">
        <v>5220</v>
      </c>
      <c r="N46" s="264">
        <v>4300000</v>
      </c>
      <c r="O46" s="265">
        <v>0.03</v>
      </c>
      <c r="P46" s="262">
        <v>0.64</v>
      </c>
      <c r="Q46" s="2195" t="s">
        <v>34</v>
      </c>
      <c r="R46" s="2021" t="s">
        <v>5221</v>
      </c>
      <c r="S46" s="2190" t="s">
        <v>5222</v>
      </c>
      <c r="T46" s="289"/>
    </row>
    <row r="47" spans="1:20" s="91" customFormat="1" ht="113.25" customHeight="1">
      <c r="A47" s="172">
        <v>5</v>
      </c>
      <c r="B47" s="160">
        <v>115.04</v>
      </c>
      <c r="C47" s="2001" t="s">
        <v>2323</v>
      </c>
      <c r="D47" s="174" t="s">
        <v>195</v>
      </c>
      <c r="E47" s="174" t="s">
        <v>1447</v>
      </c>
      <c r="F47" s="174"/>
      <c r="G47" s="174"/>
      <c r="H47" s="175"/>
      <c r="I47" s="1994" t="s">
        <v>75</v>
      </c>
      <c r="J47" s="1993" t="s">
        <v>5223</v>
      </c>
      <c r="K47" s="175"/>
      <c r="L47" s="1994" t="s">
        <v>5224</v>
      </c>
      <c r="M47" s="1994" t="s">
        <v>5225</v>
      </c>
      <c r="N47" s="256">
        <v>23008000</v>
      </c>
      <c r="O47" s="266">
        <v>0.05</v>
      </c>
      <c r="P47" s="258">
        <v>5.75</v>
      </c>
      <c r="Q47" s="1995" t="s">
        <v>68</v>
      </c>
      <c r="R47" s="2196" t="s">
        <v>49</v>
      </c>
      <c r="S47" s="2188" t="s">
        <v>5226</v>
      </c>
      <c r="T47" s="291"/>
    </row>
    <row r="48" spans="1:20" s="91" customFormat="1" ht="113.25" customHeight="1">
      <c r="A48" s="172">
        <v>4</v>
      </c>
      <c r="B48" s="164">
        <v>12.5</v>
      </c>
      <c r="C48" s="2001" t="s">
        <v>2321</v>
      </c>
      <c r="D48" s="174" t="s">
        <v>195</v>
      </c>
      <c r="E48" s="174" t="s">
        <v>1447</v>
      </c>
      <c r="F48" s="174"/>
      <c r="G48" s="174"/>
      <c r="H48" s="175"/>
      <c r="I48" s="1994" t="s">
        <v>5227</v>
      </c>
      <c r="J48" s="1993" t="s">
        <v>43</v>
      </c>
      <c r="K48" s="175"/>
      <c r="L48" s="1994" t="s">
        <v>5228</v>
      </c>
      <c r="M48" s="1994" t="s">
        <v>5229</v>
      </c>
      <c r="N48" s="256">
        <v>2500000</v>
      </c>
      <c r="O48" s="266">
        <v>0.05</v>
      </c>
      <c r="P48" s="258">
        <v>0.62</v>
      </c>
      <c r="Q48" s="1995" t="s">
        <v>34</v>
      </c>
      <c r="R48" s="1999" t="s">
        <v>5230</v>
      </c>
      <c r="S48" s="2197" t="s">
        <v>5231</v>
      </c>
      <c r="T48" s="291" t="s">
        <v>5232</v>
      </c>
    </row>
    <row r="49" spans="1:20" s="91" customFormat="1" ht="115.5" customHeight="1">
      <c r="A49" s="172">
        <v>2</v>
      </c>
      <c r="B49" s="186">
        <v>13</v>
      </c>
      <c r="C49" s="2198" t="s">
        <v>2319</v>
      </c>
      <c r="D49" s="188" t="s">
        <v>195</v>
      </c>
      <c r="E49" s="174" t="s">
        <v>1447</v>
      </c>
      <c r="F49" s="189"/>
      <c r="G49" s="189"/>
      <c r="H49" s="190"/>
      <c r="I49" s="1993" t="s">
        <v>43</v>
      </c>
      <c r="J49" s="1993" t="s">
        <v>43</v>
      </c>
      <c r="K49" s="190"/>
      <c r="L49" s="1994" t="s">
        <v>5233</v>
      </c>
      <c r="M49" s="1994" t="s">
        <v>5234</v>
      </c>
      <c r="N49" s="267">
        <v>2600000</v>
      </c>
      <c r="O49" s="266">
        <v>0.05</v>
      </c>
      <c r="P49" s="268">
        <v>0.65</v>
      </c>
      <c r="Q49" s="2199" t="s">
        <v>5235</v>
      </c>
      <c r="R49" s="1996" t="s">
        <v>5236</v>
      </c>
      <c r="S49" s="2197" t="s">
        <v>5237</v>
      </c>
      <c r="T49" s="282" t="s">
        <v>5238</v>
      </c>
    </row>
    <row r="50" spans="1:20" s="91" customFormat="1" ht="120.75" customHeight="1">
      <c r="A50" s="172">
        <v>1</v>
      </c>
      <c r="B50" s="167">
        <v>62.5</v>
      </c>
      <c r="C50" s="2005" t="s">
        <v>2329</v>
      </c>
      <c r="D50" s="177" t="s">
        <v>4606</v>
      </c>
      <c r="E50" s="178" t="s">
        <v>823</v>
      </c>
      <c r="F50" s="179"/>
      <c r="G50" s="179"/>
      <c r="H50" s="180"/>
      <c r="I50" s="2006" t="s">
        <v>5239</v>
      </c>
      <c r="J50" s="2006" t="s">
        <v>5240</v>
      </c>
      <c r="K50" s="180"/>
      <c r="L50" s="2007" t="s">
        <v>5241</v>
      </c>
      <c r="M50" s="2007" t="s">
        <v>5242</v>
      </c>
      <c r="N50" s="260">
        <v>12500000</v>
      </c>
      <c r="O50" s="261">
        <v>0.05</v>
      </c>
      <c r="P50" s="262">
        <v>3.12</v>
      </c>
      <c r="Q50" s="2008" t="s">
        <v>931</v>
      </c>
      <c r="R50" s="2009" t="s">
        <v>49</v>
      </c>
      <c r="S50" s="2190" t="s">
        <v>5243</v>
      </c>
    </row>
    <row r="51" spans="1:20" s="91" customFormat="1" ht="115.5" customHeight="1">
      <c r="A51" s="172">
        <v>1</v>
      </c>
      <c r="B51" s="160">
        <v>13.5</v>
      </c>
      <c r="C51" s="2001" t="s">
        <v>2331</v>
      </c>
      <c r="D51" s="188" t="s">
        <v>195</v>
      </c>
      <c r="E51" s="174" t="s">
        <v>1447</v>
      </c>
      <c r="F51" s="174"/>
      <c r="G51" s="174"/>
      <c r="H51" s="175"/>
      <c r="I51" s="1993" t="s">
        <v>43</v>
      </c>
      <c r="J51" s="1993" t="s">
        <v>43</v>
      </c>
      <c r="K51" s="175"/>
      <c r="L51" s="1994" t="s">
        <v>5244</v>
      </c>
      <c r="M51" s="1994" t="s">
        <v>5245</v>
      </c>
      <c r="N51" s="256">
        <v>2700000</v>
      </c>
      <c r="O51" s="266">
        <v>0.05</v>
      </c>
      <c r="P51" s="258">
        <v>0.67</v>
      </c>
      <c r="Q51" s="1995" t="s">
        <v>34</v>
      </c>
      <c r="R51" s="1996" t="s">
        <v>5246</v>
      </c>
      <c r="S51" s="2188" t="s">
        <v>5231</v>
      </c>
      <c r="T51" s="292" t="s">
        <v>5247</v>
      </c>
    </row>
    <row r="52" spans="1:20" s="92" customFormat="1" ht="114.75" customHeight="1">
      <c r="A52" s="172">
        <v>1</v>
      </c>
      <c r="B52" s="191">
        <v>8.49</v>
      </c>
      <c r="C52" s="2005" t="s">
        <v>2337</v>
      </c>
      <c r="D52" s="184" t="s">
        <v>4606</v>
      </c>
      <c r="E52" s="179" t="s">
        <v>823</v>
      </c>
      <c r="F52" s="184"/>
      <c r="G52" s="184"/>
      <c r="H52" s="185"/>
      <c r="I52" s="2020" t="s">
        <v>5248</v>
      </c>
      <c r="J52" s="2019" t="s">
        <v>5249</v>
      </c>
      <c r="K52" s="185"/>
      <c r="L52" s="2020" t="s">
        <v>5250</v>
      </c>
      <c r="M52" s="2019" t="s">
        <v>5251</v>
      </c>
      <c r="N52" s="264">
        <v>1273500</v>
      </c>
      <c r="O52" s="265">
        <v>0.05</v>
      </c>
      <c r="P52" s="262">
        <v>0.42</v>
      </c>
      <c r="Q52" s="2009" t="s">
        <v>5252</v>
      </c>
      <c r="R52" s="2021" t="s">
        <v>5253</v>
      </c>
      <c r="S52" s="2200" t="s">
        <v>5254</v>
      </c>
      <c r="T52" s="293"/>
    </row>
    <row r="53" spans="1:20" s="91" customFormat="1" ht="120.75" customHeight="1">
      <c r="A53" s="172">
        <v>1</v>
      </c>
      <c r="B53" s="183">
        <v>4.5</v>
      </c>
      <c r="C53" s="2001" t="s">
        <v>2335</v>
      </c>
      <c r="D53" s="173" t="s">
        <v>195</v>
      </c>
      <c r="E53" s="174" t="s">
        <v>1447</v>
      </c>
      <c r="F53" s="174"/>
      <c r="G53" s="174"/>
      <c r="H53" s="175"/>
      <c r="I53" s="1993" t="s">
        <v>75</v>
      </c>
      <c r="J53" s="1993" t="s">
        <v>5255</v>
      </c>
      <c r="K53" s="175"/>
      <c r="L53" s="1994" t="s">
        <v>5256</v>
      </c>
      <c r="M53" s="1994" t="s">
        <v>5257</v>
      </c>
      <c r="N53" s="256">
        <v>900000</v>
      </c>
      <c r="O53" s="257">
        <v>0.03</v>
      </c>
      <c r="P53" s="258">
        <v>0.13</v>
      </c>
      <c r="Q53" s="1995" t="s">
        <v>150</v>
      </c>
      <c r="R53" s="2004" t="s">
        <v>49</v>
      </c>
      <c r="S53" s="2188" t="s">
        <v>4619</v>
      </c>
      <c r="T53" s="282"/>
    </row>
    <row r="54" spans="1:20" s="92" customFormat="1" ht="114.75" customHeight="1">
      <c r="A54" s="172">
        <v>1</v>
      </c>
      <c r="B54" s="191">
        <v>11.99</v>
      </c>
      <c r="C54" s="2005" t="s">
        <v>2347</v>
      </c>
      <c r="D54" s="184" t="s">
        <v>4606</v>
      </c>
      <c r="E54" s="179" t="s">
        <v>823</v>
      </c>
      <c r="F54" s="184"/>
      <c r="G54" s="184"/>
      <c r="H54" s="185"/>
      <c r="I54" s="2020" t="s">
        <v>5248</v>
      </c>
      <c r="J54" s="2019" t="s">
        <v>5249</v>
      </c>
      <c r="K54" s="185"/>
      <c r="L54" s="2020" t="s">
        <v>5258</v>
      </c>
      <c r="M54" s="2019" t="s">
        <v>5259</v>
      </c>
      <c r="N54" s="264">
        <v>1199000</v>
      </c>
      <c r="O54" s="265">
        <v>0.05</v>
      </c>
      <c r="P54" s="262">
        <v>0.59</v>
      </c>
      <c r="Q54" s="2009" t="s">
        <v>5252</v>
      </c>
      <c r="R54" s="2018" t="s">
        <v>5260</v>
      </c>
      <c r="S54" s="2200" t="s">
        <v>5261</v>
      </c>
      <c r="T54" s="293"/>
    </row>
    <row r="55" spans="1:20" s="91" customFormat="1" ht="111" customHeight="1">
      <c r="A55" s="172">
        <v>1</v>
      </c>
      <c r="B55" s="192">
        <v>25</v>
      </c>
      <c r="C55" s="2017" t="s">
        <v>2355</v>
      </c>
      <c r="D55" s="184" t="s">
        <v>4606</v>
      </c>
      <c r="E55" s="179" t="s">
        <v>823</v>
      </c>
      <c r="F55" s="179"/>
      <c r="G55" s="179"/>
      <c r="H55" s="180"/>
      <c r="I55" s="2007" t="s">
        <v>5262</v>
      </c>
      <c r="J55" s="2006" t="s">
        <v>5263</v>
      </c>
      <c r="K55" s="180"/>
      <c r="L55" s="2007" t="s">
        <v>5264</v>
      </c>
      <c r="M55" s="2007" t="s">
        <v>5265</v>
      </c>
      <c r="N55" s="269">
        <v>5000000</v>
      </c>
      <c r="O55" s="261">
        <v>0.1</v>
      </c>
      <c r="P55" s="262">
        <v>2.5</v>
      </c>
      <c r="Q55" s="2008" t="s">
        <v>150</v>
      </c>
      <c r="R55" s="2018" t="s">
        <v>5266</v>
      </c>
      <c r="S55" s="2200" t="s">
        <v>4624</v>
      </c>
      <c r="T55" s="294" t="s">
        <v>5267</v>
      </c>
    </row>
    <row r="56" spans="1:20" s="92" customFormat="1" ht="114.75" customHeight="1">
      <c r="A56" s="172">
        <v>1</v>
      </c>
      <c r="B56" s="155">
        <v>150</v>
      </c>
      <c r="C56" s="2017" t="s">
        <v>2353</v>
      </c>
      <c r="D56" s="184" t="s">
        <v>4606</v>
      </c>
      <c r="E56" s="179" t="s">
        <v>823</v>
      </c>
      <c r="F56" s="184"/>
      <c r="G56" s="184"/>
      <c r="H56" s="185"/>
      <c r="I56" s="2019" t="s">
        <v>5268</v>
      </c>
      <c r="J56" s="2019" t="s">
        <v>5269</v>
      </c>
      <c r="K56" s="185"/>
      <c r="L56" s="2020" t="s">
        <v>4204</v>
      </c>
      <c r="M56" s="2020" t="s">
        <v>5270</v>
      </c>
      <c r="N56" s="270">
        <v>30000000</v>
      </c>
      <c r="O56" s="261">
        <v>0.1</v>
      </c>
      <c r="P56" s="262">
        <v>15</v>
      </c>
      <c r="Q56" s="2009" t="s">
        <v>34</v>
      </c>
      <c r="R56" s="2018" t="s">
        <v>5271</v>
      </c>
      <c r="S56" s="2201" t="s">
        <v>5272</v>
      </c>
      <c r="T56" s="282" t="s">
        <v>5273</v>
      </c>
    </row>
    <row r="57" spans="1:20" s="92" customFormat="1" ht="114.75" customHeight="1">
      <c r="A57" s="172">
        <v>3</v>
      </c>
      <c r="B57" s="193">
        <v>39.450000000000003</v>
      </c>
      <c r="C57" s="2017" t="s">
        <v>2365</v>
      </c>
      <c r="D57" s="184" t="s">
        <v>4606</v>
      </c>
      <c r="E57" s="179" t="s">
        <v>823</v>
      </c>
      <c r="F57" s="184"/>
      <c r="G57" s="184"/>
      <c r="H57" s="185"/>
      <c r="I57" s="2019" t="s">
        <v>75</v>
      </c>
      <c r="J57" s="2019" t="s">
        <v>4634</v>
      </c>
      <c r="K57" s="185"/>
      <c r="L57" s="2020" t="s">
        <v>5274</v>
      </c>
      <c r="M57" s="2020" t="s">
        <v>5275</v>
      </c>
      <c r="N57" s="270">
        <v>7890000</v>
      </c>
      <c r="O57" s="265">
        <v>0.05</v>
      </c>
      <c r="P57" s="262">
        <v>1.97</v>
      </c>
      <c r="Q57" s="2009" t="s">
        <v>5276</v>
      </c>
      <c r="R57" s="2018" t="s">
        <v>5277</v>
      </c>
      <c r="S57" s="2200" t="s">
        <v>5278</v>
      </c>
      <c r="T57" s="282" t="s">
        <v>5279</v>
      </c>
    </row>
    <row r="59" spans="1:20" s="91" customFormat="1" ht="146.25" customHeight="1">
      <c r="A59" s="172">
        <v>1</v>
      </c>
      <c r="B59" s="194">
        <v>86.44</v>
      </c>
      <c r="C59" s="2202" t="s">
        <v>2367</v>
      </c>
      <c r="D59" s="173" t="s">
        <v>195</v>
      </c>
      <c r="E59" s="174" t="s">
        <v>1447</v>
      </c>
      <c r="F59" s="195"/>
      <c r="G59" s="195"/>
      <c r="H59" s="196"/>
      <c r="I59" s="1993" t="s">
        <v>75</v>
      </c>
      <c r="J59" s="1993" t="s">
        <v>5280</v>
      </c>
      <c r="K59" s="196"/>
      <c r="L59" s="2203" t="s">
        <v>5281</v>
      </c>
      <c r="M59" s="2203" t="s">
        <v>5282</v>
      </c>
      <c r="N59" s="271">
        <v>17289000</v>
      </c>
      <c r="O59" s="257">
        <v>0.05</v>
      </c>
      <c r="P59" s="272">
        <v>0.43</v>
      </c>
      <c r="Q59" s="2204" t="s">
        <v>5283</v>
      </c>
      <c r="R59" s="1996" t="s">
        <v>5284</v>
      </c>
      <c r="S59" s="2205" t="s">
        <v>5285</v>
      </c>
      <c r="T59" s="282"/>
    </row>
    <row r="60" spans="1:20" s="91" customFormat="1" ht="146.25" customHeight="1">
      <c r="A60" s="172">
        <v>2</v>
      </c>
      <c r="B60" s="194">
        <v>57.15</v>
      </c>
      <c r="C60" s="2202" t="s">
        <v>2369</v>
      </c>
      <c r="D60" s="173" t="s">
        <v>195</v>
      </c>
      <c r="E60" s="174" t="s">
        <v>1447</v>
      </c>
      <c r="F60" s="195"/>
      <c r="G60" s="195"/>
      <c r="H60" s="196"/>
      <c r="I60" s="1993" t="s">
        <v>75</v>
      </c>
      <c r="J60" s="1993" t="s">
        <v>5286</v>
      </c>
      <c r="K60" s="196"/>
      <c r="L60" s="2203" t="s">
        <v>5281</v>
      </c>
      <c r="M60" s="2203" t="s">
        <v>5282</v>
      </c>
      <c r="N60" s="271">
        <v>11430000</v>
      </c>
      <c r="O60" s="257">
        <v>0.05</v>
      </c>
      <c r="P60" s="272">
        <v>0.28000000000000003</v>
      </c>
      <c r="Q60" s="2204" t="s">
        <v>5283</v>
      </c>
      <c r="R60" s="1996" t="s">
        <v>5287</v>
      </c>
      <c r="S60" s="2205" t="s">
        <v>5288</v>
      </c>
      <c r="T60" s="282"/>
    </row>
    <row r="61" spans="1:20" s="91" customFormat="1" ht="111" customHeight="1">
      <c r="A61" s="172">
        <v>3</v>
      </c>
      <c r="B61" s="197">
        <v>2.96</v>
      </c>
      <c r="C61" s="2202" t="s">
        <v>5289</v>
      </c>
      <c r="D61" s="173" t="s">
        <v>195</v>
      </c>
      <c r="E61" s="174" t="s">
        <v>1447</v>
      </c>
      <c r="F61" s="195"/>
      <c r="G61" s="195"/>
      <c r="H61" s="196"/>
      <c r="I61" s="1993" t="s">
        <v>4141</v>
      </c>
      <c r="J61" s="1993" t="s">
        <v>4141</v>
      </c>
      <c r="K61" s="196"/>
      <c r="L61" s="2203" t="s">
        <v>5290</v>
      </c>
      <c r="M61" s="2203" t="s">
        <v>5291</v>
      </c>
      <c r="N61" s="271">
        <v>593554</v>
      </c>
      <c r="O61" s="257">
        <v>0.05</v>
      </c>
      <c r="P61" s="272">
        <v>0.14000000000000001</v>
      </c>
      <c r="Q61" s="2204" t="s">
        <v>150</v>
      </c>
      <c r="R61" s="2004" t="s">
        <v>49</v>
      </c>
      <c r="S61" s="2206" t="s">
        <v>5292</v>
      </c>
      <c r="T61" s="282" t="s">
        <v>5293</v>
      </c>
    </row>
    <row r="63" spans="1:20" s="92" customFormat="1" ht="150.75" customHeight="1">
      <c r="A63" s="172">
        <v>1</v>
      </c>
      <c r="B63" s="155">
        <v>162.5</v>
      </c>
      <c r="C63" s="2017" t="s">
        <v>2375</v>
      </c>
      <c r="D63" s="177" t="s">
        <v>4606</v>
      </c>
      <c r="E63" s="178" t="s">
        <v>823</v>
      </c>
      <c r="F63" s="184"/>
      <c r="G63" s="184"/>
      <c r="H63" s="185"/>
      <c r="I63" s="2019" t="s">
        <v>43</v>
      </c>
      <c r="J63" s="2019" t="s">
        <v>43</v>
      </c>
      <c r="K63" s="185"/>
      <c r="L63" s="2020" t="s">
        <v>5294</v>
      </c>
      <c r="M63" s="2020" t="s">
        <v>5295</v>
      </c>
      <c r="N63" s="270">
        <v>32500000</v>
      </c>
      <c r="O63" s="265">
        <v>0.05</v>
      </c>
      <c r="P63" s="262">
        <v>8.1199999999999992</v>
      </c>
      <c r="Q63" s="2195" t="s">
        <v>34</v>
      </c>
      <c r="R63" s="2021" t="s">
        <v>5296</v>
      </c>
      <c r="S63" s="2200" t="s">
        <v>5297</v>
      </c>
      <c r="T63" s="282" t="s">
        <v>5298</v>
      </c>
    </row>
    <row r="64" spans="1:20" s="91" customFormat="1" ht="108.75" customHeight="1">
      <c r="A64" s="172">
        <v>1</v>
      </c>
      <c r="B64" s="182">
        <v>100</v>
      </c>
      <c r="C64" s="2001" t="s">
        <v>2379</v>
      </c>
      <c r="D64" s="174" t="s">
        <v>195</v>
      </c>
      <c r="E64" s="174" t="s">
        <v>1447</v>
      </c>
      <c r="F64" s="174" t="s">
        <v>4270</v>
      </c>
      <c r="G64" s="174"/>
      <c r="H64" s="175"/>
      <c r="I64" s="1993" t="s">
        <v>5299</v>
      </c>
      <c r="J64" s="1993" t="s">
        <v>5300</v>
      </c>
      <c r="K64" s="175"/>
      <c r="L64" s="1994" t="s">
        <v>5227</v>
      </c>
      <c r="M64" s="1994" t="s">
        <v>5301</v>
      </c>
      <c r="N64" s="273">
        <v>20000000</v>
      </c>
      <c r="O64" s="257">
        <v>0.05</v>
      </c>
      <c r="P64" s="258">
        <f>B64*O64</f>
        <v>5</v>
      </c>
      <c r="Q64" s="1995" t="s">
        <v>34</v>
      </c>
      <c r="R64" s="1996" t="s">
        <v>5302</v>
      </c>
      <c r="S64" s="2206" t="s">
        <v>5303</v>
      </c>
      <c r="T64" s="294" t="s">
        <v>5304</v>
      </c>
    </row>
    <row r="65" spans="1:20" s="91" customFormat="1" ht="112.5" customHeight="1">
      <c r="A65" s="172">
        <v>2</v>
      </c>
      <c r="B65" s="295">
        <v>36</v>
      </c>
      <c r="C65" s="2207" t="s">
        <v>2377</v>
      </c>
      <c r="D65" s="173" t="s">
        <v>195</v>
      </c>
      <c r="E65" s="174" t="s">
        <v>1447</v>
      </c>
      <c r="F65" s="188"/>
      <c r="G65" s="188"/>
      <c r="H65" s="296"/>
      <c r="I65" s="2208" t="s">
        <v>5305</v>
      </c>
      <c r="J65" s="2208" t="s">
        <v>5306</v>
      </c>
      <c r="K65" s="296"/>
      <c r="L65" s="2209" t="s">
        <v>5307</v>
      </c>
      <c r="M65" s="2209" t="s">
        <v>5308</v>
      </c>
      <c r="N65" s="388">
        <v>3600000</v>
      </c>
      <c r="O65" s="259">
        <v>0.1</v>
      </c>
      <c r="P65" s="389">
        <v>3.6</v>
      </c>
      <c r="Q65" s="2210" t="s">
        <v>5309</v>
      </c>
      <c r="R65" s="2211" t="s">
        <v>5310</v>
      </c>
      <c r="S65" s="2212" t="s">
        <v>5311</v>
      </c>
      <c r="T65" s="411"/>
    </row>
    <row r="66" spans="1:20" s="93" customFormat="1" ht="95.25" customHeight="1">
      <c r="A66" s="172">
        <v>1</v>
      </c>
      <c r="B66" s="297">
        <v>5.07</v>
      </c>
      <c r="C66" s="187" t="s">
        <v>2384</v>
      </c>
      <c r="D66" s="174" t="s">
        <v>195</v>
      </c>
      <c r="E66" s="174" t="s">
        <v>1447</v>
      </c>
      <c r="F66" s="189"/>
      <c r="G66" s="189"/>
      <c r="H66" s="190"/>
      <c r="I66" s="189" t="s">
        <v>43</v>
      </c>
      <c r="J66" s="189" t="s">
        <v>43</v>
      </c>
      <c r="K66" s="190"/>
      <c r="L66" s="390" t="s">
        <v>5312</v>
      </c>
      <c r="M66" s="390" t="s">
        <v>5313</v>
      </c>
      <c r="N66" s="391">
        <v>1014000</v>
      </c>
      <c r="O66" s="392">
        <v>0.03</v>
      </c>
      <c r="P66" s="393">
        <v>0.15</v>
      </c>
      <c r="Q66" s="2213" t="s">
        <v>34</v>
      </c>
      <c r="R66" s="2213" t="s">
        <v>49</v>
      </c>
      <c r="S66" s="412" t="s">
        <v>5314</v>
      </c>
    </row>
    <row r="67" spans="1:20" s="91" customFormat="1" ht="112.5" customHeight="1">
      <c r="A67" s="298">
        <v>1</v>
      </c>
      <c r="B67" s="176">
        <v>83.74</v>
      </c>
      <c r="C67" s="2017" t="s">
        <v>5315</v>
      </c>
      <c r="D67" s="184" t="s">
        <v>4606</v>
      </c>
      <c r="E67" s="179" t="s">
        <v>1447</v>
      </c>
      <c r="F67" s="179" t="s">
        <v>4641</v>
      </c>
      <c r="G67" s="179"/>
      <c r="H67" s="180"/>
      <c r="I67" s="2006" t="s">
        <v>43</v>
      </c>
      <c r="J67" s="2006" t="s">
        <v>43</v>
      </c>
      <c r="K67" s="180"/>
      <c r="L67" s="2007" t="s">
        <v>5316</v>
      </c>
      <c r="M67" s="2007" t="s">
        <v>5317</v>
      </c>
      <c r="N67" s="394">
        <v>5000000</v>
      </c>
      <c r="O67" s="395">
        <v>0.05</v>
      </c>
      <c r="P67" s="262">
        <f>B67*O67</f>
        <v>4.1870000000000003</v>
      </c>
      <c r="Q67" s="2008" t="s">
        <v>1318</v>
      </c>
      <c r="R67" s="2018" t="s">
        <v>5318</v>
      </c>
      <c r="S67" s="2214" t="s">
        <v>5319</v>
      </c>
    </row>
    <row r="68" spans="1:20" s="92" customFormat="1" ht="147.75" customHeight="1">
      <c r="A68" s="298">
        <v>1</v>
      </c>
      <c r="B68" s="299">
        <v>197.14699999999999</v>
      </c>
      <c r="C68" s="2017" t="s">
        <v>5320</v>
      </c>
      <c r="D68" s="184" t="s">
        <v>4606</v>
      </c>
      <c r="E68" s="179" t="s">
        <v>1447</v>
      </c>
      <c r="F68" s="184" t="s">
        <v>4189</v>
      </c>
      <c r="G68" s="184"/>
      <c r="H68" s="185"/>
      <c r="I68" s="2019" t="s">
        <v>5321</v>
      </c>
      <c r="J68" s="2019" t="s">
        <v>5322</v>
      </c>
      <c r="K68" s="185"/>
      <c r="L68" s="2020" t="s">
        <v>5323</v>
      </c>
      <c r="M68" s="2020" t="s">
        <v>5324</v>
      </c>
      <c r="N68" s="396">
        <v>10000000</v>
      </c>
      <c r="O68" s="397">
        <v>0.01</v>
      </c>
      <c r="P68" s="262">
        <v>2</v>
      </c>
      <c r="Q68" s="2009" t="s">
        <v>34</v>
      </c>
      <c r="R68" s="2018" t="s">
        <v>5325</v>
      </c>
      <c r="S68" s="2190" t="s">
        <v>5326</v>
      </c>
    </row>
    <row r="69" spans="1:20" s="92" customFormat="1" ht="180" customHeight="1">
      <c r="A69" s="298">
        <v>2</v>
      </c>
      <c r="B69" s="155">
        <v>162.5</v>
      </c>
      <c r="C69" s="2017" t="s">
        <v>2404</v>
      </c>
      <c r="D69" s="184" t="s">
        <v>4606</v>
      </c>
      <c r="E69" s="179" t="s">
        <v>823</v>
      </c>
      <c r="F69" s="179" t="s">
        <v>4641</v>
      </c>
      <c r="G69" s="184"/>
      <c r="H69" s="185"/>
      <c r="I69" s="263">
        <v>45374</v>
      </c>
      <c r="J69" s="2019" t="s">
        <v>5327</v>
      </c>
      <c r="K69" s="185"/>
      <c r="L69" s="2020" t="s">
        <v>5328</v>
      </c>
      <c r="M69" s="2020" t="s">
        <v>5329</v>
      </c>
      <c r="N69" s="398">
        <v>32500000</v>
      </c>
      <c r="O69" s="397">
        <v>0.1</v>
      </c>
      <c r="P69" s="262">
        <f>B69*O69</f>
        <v>16.25</v>
      </c>
      <c r="Q69" s="2009" t="s">
        <v>34</v>
      </c>
      <c r="R69" s="2018" t="s">
        <v>5330</v>
      </c>
      <c r="S69" s="2190" t="s">
        <v>5331</v>
      </c>
    </row>
    <row r="70" spans="1:20" s="91" customFormat="1" ht="112.5" customHeight="1">
      <c r="A70" s="298">
        <v>1</v>
      </c>
      <c r="B70" s="300">
        <v>24.29</v>
      </c>
      <c r="C70" s="2215" t="s">
        <v>2410</v>
      </c>
      <c r="D70" s="177" t="s">
        <v>1788</v>
      </c>
      <c r="E70" s="179" t="s">
        <v>823</v>
      </c>
      <c r="F70" s="178"/>
      <c r="G70" s="178"/>
      <c r="H70" s="301"/>
      <c r="I70" s="2006" t="s">
        <v>43</v>
      </c>
      <c r="J70" s="2006" t="s">
        <v>43</v>
      </c>
      <c r="K70" s="301"/>
      <c r="L70" s="2007" t="s">
        <v>5332</v>
      </c>
      <c r="M70" s="2007" t="s">
        <v>5333</v>
      </c>
      <c r="N70" s="394">
        <v>4859900</v>
      </c>
      <c r="O70" s="395">
        <v>0.03</v>
      </c>
      <c r="P70" s="262" t="s">
        <v>68</v>
      </c>
      <c r="Q70" s="2008" t="s">
        <v>1318</v>
      </c>
      <c r="R70" s="2009" t="s">
        <v>49</v>
      </c>
      <c r="S70" s="2216" t="s">
        <v>5334</v>
      </c>
    </row>
    <row r="71" spans="1:20" s="91" customFormat="1" ht="114.75" customHeight="1">
      <c r="A71" s="298">
        <v>2</v>
      </c>
      <c r="B71" s="302">
        <v>12.04</v>
      </c>
      <c r="C71" s="2017" t="s">
        <v>2406</v>
      </c>
      <c r="D71" s="184" t="s">
        <v>4606</v>
      </c>
      <c r="E71" s="179" t="s">
        <v>823</v>
      </c>
      <c r="F71" s="179"/>
      <c r="G71" s="179"/>
      <c r="H71" s="180"/>
      <c r="I71" s="2006" t="s">
        <v>5335</v>
      </c>
      <c r="J71" s="2006" t="s">
        <v>5336</v>
      </c>
      <c r="K71" s="180"/>
      <c r="L71" s="2007" t="s">
        <v>5337</v>
      </c>
      <c r="M71" s="2007" t="s">
        <v>5338</v>
      </c>
      <c r="N71" s="394">
        <v>602432</v>
      </c>
      <c r="O71" s="395">
        <v>0.03</v>
      </c>
      <c r="P71" s="262">
        <v>0.36</v>
      </c>
      <c r="Q71" s="2008" t="s">
        <v>34</v>
      </c>
      <c r="R71" s="2018" t="s">
        <v>5339</v>
      </c>
      <c r="S71" s="2190" t="s">
        <v>5340</v>
      </c>
    </row>
    <row r="72" spans="1:20" s="90" customFormat="1" ht="111.75" customHeight="1">
      <c r="A72" s="298">
        <v>1</v>
      </c>
      <c r="B72" s="171">
        <v>20</v>
      </c>
      <c r="C72" s="2017" t="s">
        <v>2408</v>
      </c>
      <c r="D72" s="184" t="s">
        <v>4606</v>
      </c>
      <c r="E72" s="303" t="s">
        <v>1447</v>
      </c>
      <c r="F72" s="304"/>
      <c r="G72" s="304"/>
      <c r="H72" s="305"/>
      <c r="I72" s="2217" t="s">
        <v>68</v>
      </c>
      <c r="J72" s="2217" t="s">
        <v>68</v>
      </c>
      <c r="K72" s="305"/>
      <c r="L72" s="2020" t="s">
        <v>5341</v>
      </c>
      <c r="M72" s="2020" t="s">
        <v>5342</v>
      </c>
      <c r="N72" s="396">
        <v>4000000</v>
      </c>
      <c r="O72" s="395">
        <v>0.02</v>
      </c>
      <c r="P72" s="184">
        <v>0.4</v>
      </c>
      <c r="Q72" s="2009" t="s">
        <v>34</v>
      </c>
      <c r="R72" s="2009" t="s">
        <v>49</v>
      </c>
      <c r="S72" s="2190" t="s">
        <v>5343</v>
      </c>
      <c r="T72" s="285"/>
    </row>
    <row r="73" spans="1:20" s="92" customFormat="1" ht="144.75" customHeight="1">
      <c r="A73" s="298">
        <v>1</v>
      </c>
      <c r="B73" s="306">
        <v>24.29</v>
      </c>
      <c r="C73" s="2017" t="s">
        <v>2410</v>
      </c>
      <c r="D73" s="184" t="s">
        <v>4606</v>
      </c>
      <c r="E73" s="179" t="s">
        <v>823</v>
      </c>
      <c r="F73" s="184" t="s">
        <v>4189</v>
      </c>
      <c r="G73" s="184"/>
      <c r="H73" s="185"/>
      <c r="I73" s="2019" t="s">
        <v>5344</v>
      </c>
      <c r="J73" s="2019" t="s">
        <v>5345</v>
      </c>
      <c r="K73" s="185"/>
      <c r="L73" s="2020" t="s">
        <v>5346</v>
      </c>
      <c r="M73" s="2020" t="s">
        <v>5347</v>
      </c>
      <c r="N73" s="398">
        <v>4859900</v>
      </c>
      <c r="O73" s="397" t="s">
        <v>68</v>
      </c>
      <c r="P73" s="397" t="s">
        <v>68</v>
      </c>
      <c r="Q73" s="2009" t="s">
        <v>1318</v>
      </c>
      <c r="R73" s="2021" t="s">
        <v>5348</v>
      </c>
      <c r="S73" s="2190" t="s">
        <v>5349</v>
      </c>
    </row>
    <row r="74" spans="1:20" s="91" customFormat="1" ht="187.5" customHeight="1">
      <c r="A74" s="298">
        <v>1</v>
      </c>
      <c r="B74" s="307">
        <v>11.98</v>
      </c>
      <c r="C74" s="2022" t="s">
        <v>2433</v>
      </c>
      <c r="D74" s="308" t="s">
        <v>4606</v>
      </c>
      <c r="E74" s="309" t="s">
        <v>1447</v>
      </c>
      <c r="F74" s="308" t="s">
        <v>4641</v>
      </c>
      <c r="G74" s="309"/>
      <c r="H74" s="310"/>
      <c r="I74" s="2012" t="s">
        <v>75</v>
      </c>
      <c r="J74" s="2012" t="s">
        <v>5350</v>
      </c>
      <c r="K74" s="310"/>
      <c r="L74" s="2013" t="s">
        <v>5351</v>
      </c>
      <c r="M74" s="2013" t="s">
        <v>5352</v>
      </c>
      <c r="N74" s="309" t="s">
        <v>5353</v>
      </c>
      <c r="O74" s="2014" t="s">
        <v>34</v>
      </c>
      <c r="P74" s="2015" t="s">
        <v>49</v>
      </c>
      <c r="Q74" s="2218" t="s">
        <v>5354</v>
      </c>
    </row>
    <row r="75" spans="1:20" s="91" customFormat="1" ht="210.75" customHeight="1">
      <c r="A75" s="298">
        <v>1</v>
      </c>
      <c r="B75" s="311">
        <v>4.41</v>
      </c>
      <c r="C75" s="2022" t="s">
        <v>2438</v>
      </c>
      <c r="D75" s="308" t="s">
        <v>4606</v>
      </c>
      <c r="E75" s="309" t="s">
        <v>1447</v>
      </c>
      <c r="F75" s="309" t="s">
        <v>4295</v>
      </c>
      <c r="G75" s="309"/>
      <c r="H75" s="310"/>
      <c r="I75" s="2012" t="s">
        <v>43</v>
      </c>
      <c r="J75" s="2012" t="s">
        <v>43</v>
      </c>
      <c r="K75" s="310"/>
      <c r="L75" s="2013" t="s">
        <v>5355</v>
      </c>
      <c r="M75" s="2013" t="s">
        <v>5356</v>
      </c>
      <c r="N75" s="309" t="s">
        <v>5357</v>
      </c>
      <c r="O75" s="2014" t="s">
        <v>34</v>
      </c>
      <c r="P75" s="2025" t="s">
        <v>5358</v>
      </c>
      <c r="Q75" s="2218" t="s">
        <v>5359</v>
      </c>
    </row>
    <row r="76" spans="1:20" s="92" customFormat="1" ht="147" customHeight="1">
      <c r="A76" s="298">
        <v>5</v>
      </c>
      <c r="B76" s="306">
        <v>50</v>
      </c>
      <c r="C76" s="2017" t="s">
        <v>2444</v>
      </c>
      <c r="D76" s="184" t="s">
        <v>4606</v>
      </c>
      <c r="E76" s="179" t="s">
        <v>823</v>
      </c>
      <c r="F76" s="184" t="s">
        <v>4189</v>
      </c>
      <c r="G76" s="184"/>
      <c r="H76" s="185"/>
      <c r="I76" s="2019" t="s">
        <v>5360</v>
      </c>
      <c r="J76" s="2019" t="s">
        <v>5361</v>
      </c>
      <c r="K76" s="185"/>
      <c r="L76" s="2020" t="s">
        <v>5362</v>
      </c>
      <c r="M76" s="2020" t="s">
        <v>5363</v>
      </c>
      <c r="N76" s="184" t="s">
        <v>5364</v>
      </c>
      <c r="O76" s="2009" t="s">
        <v>150</v>
      </c>
      <c r="P76" s="2018" t="s">
        <v>5365</v>
      </c>
      <c r="Q76" s="2190" t="s">
        <v>5366</v>
      </c>
    </row>
    <row r="77" spans="1:20" s="92" customFormat="1" ht="214.5" customHeight="1">
      <c r="A77" s="298">
        <v>1</v>
      </c>
      <c r="B77" s="312">
        <v>5</v>
      </c>
      <c r="C77" s="2001" t="s">
        <v>2447</v>
      </c>
      <c r="D77" s="173" t="s">
        <v>195</v>
      </c>
      <c r="E77" s="174" t="s">
        <v>1447</v>
      </c>
      <c r="F77" s="173" t="s">
        <v>4189</v>
      </c>
      <c r="G77" s="173"/>
      <c r="H77" s="313"/>
      <c r="I77" s="2002" t="s">
        <v>5367</v>
      </c>
      <c r="J77" s="2002" t="s">
        <v>5367</v>
      </c>
      <c r="K77" s="313"/>
      <c r="L77" s="2003" t="s">
        <v>5368</v>
      </c>
      <c r="M77" s="2003" t="s">
        <v>5369</v>
      </c>
      <c r="N77" s="173" t="s">
        <v>5370</v>
      </c>
      <c r="O77" s="2004" t="s">
        <v>34</v>
      </c>
      <c r="P77" s="1996" t="s">
        <v>5371</v>
      </c>
      <c r="Q77" s="2188" t="s">
        <v>5372</v>
      </c>
    </row>
    <row r="78" spans="1:20" s="92" customFormat="1" ht="181.5" customHeight="1">
      <c r="A78" s="298">
        <v>1</v>
      </c>
      <c r="B78" s="314">
        <v>8.43</v>
      </c>
      <c r="C78" s="2202" t="s">
        <v>5373</v>
      </c>
      <c r="D78" s="173" t="s">
        <v>195</v>
      </c>
      <c r="E78" s="195" t="s">
        <v>1447</v>
      </c>
      <c r="F78" s="315" t="s">
        <v>4641</v>
      </c>
      <c r="G78" s="315"/>
      <c r="H78" s="316"/>
      <c r="I78" s="2219" t="s">
        <v>5374</v>
      </c>
      <c r="J78" s="2219" t="s">
        <v>43</v>
      </c>
      <c r="K78" s="316"/>
      <c r="L78" s="2220" t="s">
        <v>5375</v>
      </c>
      <c r="M78" s="2220" t="s">
        <v>5376</v>
      </c>
      <c r="N78" s="315" t="s">
        <v>5377</v>
      </c>
      <c r="O78" s="2221" t="s">
        <v>4701</v>
      </c>
      <c r="P78" s="2222" t="s">
        <v>5378</v>
      </c>
      <c r="Q78" s="2188" t="s">
        <v>5379</v>
      </c>
    </row>
    <row r="79" spans="1:20" s="91" customFormat="1" ht="255.75" customHeight="1">
      <c r="A79" s="298">
        <v>1</v>
      </c>
      <c r="B79" s="182">
        <v>100</v>
      </c>
      <c r="C79" s="2001" t="s">
        <v>5380</v>
      </c>
      <c r="D79" s="174" t="s">
        <v>195</v>
      </c>
      <c r="E79" s="174" t="s">
        <v>1447</v>
      </c>
      <c r="F79" s="174" t="s">
        <v>4270</v>
      </c>
      <c r="G79" s="174"/>
      <c r="H79" s="175"/>
      <c r="I79" s="255">
        <v>45371</v>
      </c>
      <c r="J79" s="1993" t="s">
        <v>4271</v>
      </c>
      <c r="K79" s="175"/>
      <c r="L79" s="1994" t="s">
        <v>5381</v>
      </c>
      <c r="M79" s="1994" t="s">
        <v>5382</v>
      </c>
      <c r="N79" s="174" t="s">
        <v>4780</v>
      </c>
      <c r="O79" s="1995" t="s">
        <v>150</v>
      </c>
      <c r="P79" s="1999" t="s">
        <v>5383</v>
      </c>
      <c r="Q79" s="2188" t="s">
        <v>5384</v>
      </c>
    </row>
    <row r="80" spans="1:20" s="92" customFormat="1" ht="219" customHeight="1">
      <c r="A80" s="298">
        <v>1</v>
      </c>
      <c r="B80" s="171">
        <v>60</v>
      </c>
      <c r="C80" s="2017" t="s">
        <v>2470</v>
      </c>
      <c r="D80" s="304" t="s">
        <v>4606</v>
      </c>
      <c r="E80" s="179" t="s">
        <v>1447</v>
      </c>
      <c r="F80" s="184" t="s">
        <v>4189</v>
      </c>
      <c r="G80" s="184"/>
      <c r="H80" s="185"/>
      <c r="I80" s="2019" t="s">
        <v>5385</v>
      </c>
      <c r="J80" s="2019" t="s">
        <v>5386</v>
      </c>
      <c r="K80" s="185"/>
      <c r="L80" s="2020" t="s">
        <v>4739</v>
      </c>
      <c r="M80" s="2020" t="s">
        <v>5387</v>
      </c>
      <c r="N80" s="184" t="s">
        <v>5388</v>
      </c>
      <c r="O80" s="2009" t="s">
        <v>150</v>
      </c>
      <c r="P80" s="2018" t="s">
        <v>5389</v>
      </c>
      <c r="Q80" s="2190" t="s">
        <v>5390</v>
      </c>
    </row>
    <row r="81" spans="1:17" s="92" customFormat="1" ht="219" customHeight="1">
      <c r="A81" s="298">
        <v>1</v>
      </c>
      <c r="B81" s="317">
        <v>2.96</v>
      </c>
      <c r="C81" s="2223" t="s">
        <v>2482</v>
      </c>
      <c r="D81" s="304" t="s">
        <v>4606</v>
      </c>
      <c r="E81" s="303" t="s">
        <v>1447</v>
      </c>
      <c r="F81" s="304" t="s">
        <v>4189</v>
      </c>
      <c r="G81" s="304"/>
      <c r="H81" s="305"/>
      <c r="I81" s="2217" t="s">
        <v>4141</v>
      </c>
      <c r="J81" s="2217" t="s">
        <v>4141</v>
      </c>
      <c r="K81" s="2217" t="s">
        <v>4141</v>
      </c>
      <c r="L81" s="2217" t="s">
        <v>5391</v>
      </c>
      <c r="M81" s="2224" t="s">
        <v>5392</v>
      </c>
      <c r="N81" s="304" t="s">
        <v>5393</v>
      </c>
      <c r="O81" s="2225" t="s">
        <v>34</v>
      </c>
      <c r="P81" s="2009" t="s">
        <v>49</v>
      </c>
      <c r="Q81" s="2190" t="s">
        <v>5394</v>
      </c>
    </row>
    <row r="82" spans="1:17" s="92" customFormat="1" ht="181.5" customHeight="1">
      <c r="A82" s="298">
        <v>1</v>
      </c>
      <c r="B82" s="318">
        <v>22.7</v>
      </c>
      <c r="C82" s="2223" t="s">
        <v>5395</v>
      </c>
      <c r="D82" s="304" t="s">
        <v>4606</v>
      </c>
      <c r="E82" s="303" t="s">
        <v>1447</v>
      </c>
      <c r="F82" s="304" t="s">
        <v>4189</v>
      </c>
      <c r="G82" s="304"/>
      <c r="H82" s="305"/>
      <c r="I82" s="2217" t="s">
        <v>5396</v>
      </c>
      <c r="J82" s="2217" t="s">
        <v>5397</v>
      </c>
      <c r="K82" s="305"/>
      <c r="L82" s="2224" t="s">
        <v>5398</v>
      </c>
      <c r="M82" s="2224" t="s">
        <v>5399</v>
      </c>
      <c r="N82" s="304" t="s">
        <v>5400</v>
      </c>
      <c r="O82" s="2225" t="s">
        <v>83</v>
      </c>
      <c r="P82" s="2018" t="s">
        <v>5401</v>
      </c>
      <c r="Q82" s="2190" t="s">
        <v>5402</v>
      </c>
    </row>
    <row r="83" spans="1:17" s="92" customFormat="1" ht="186.75" customHeight="1">
      <c r="A83" s="298">
        <v>2</v>
      </c>
      <c r="B83" s="306">
        <v>0.5</v>
      </c>
      <c r="C83" s="2017" t="s">
        <v>2491</v>
      </c>
      <c r="D83" s="304" t="s">
        <v>4606</v>
      </c>
      <c r="E83" s="179" t="s">
        <v>1447</v>
      </c>
      <c r="F83" s="184" t="s">
        <v>4189</v>
      </c>
      <c r="G83" s="184"/>
      <c r="H83" s="185"/>
      <c r="I83" s="2019" t="s">
        <v>4289</v>
      </c>
      <c r="J83" s="2019" t="s">
        <v>4290</v>
      </c>
      <c r="K83" s="185"/>
      <c r="L83" s="2020" t="s">
        <v>5403</v>
      </c>
      <c r="M83" s="2020" t="s">
        <v>5404</v>
      </c>
      <c r="N83" s="184" t="s">
        <v>4678</v>
      </c>
      <c r="O83" s="2009" t="s">
        <v>34</v>
      </c>
      <c r="P83" s="2009" t="s">
        <v>49</v>
      </c>
      <c r="Q83" s="2190" t="s">
        <v>5405</v>
      </c>
    </row>
    <row r="84" spans="1:17" s="92" customFormat="1" ht="150.75" customHeight="1">
      <c r="A84" s="298">
        <v>3</v>
      </c>
      <c r="B84" s="319">
        <v>2</v>
      </c>
      <c r="C84" s="2022" t="s">
        <v>5406</v>
      </c>
      <c r="D84" s="320" t="s">
        <v>4606</v>
      </c>
      <c r="E84" s="309" t="s">
        <v>1447</v>
      </c>
      <c r="F84" s="308" t="s">
        <v>4189</v>
      </c>
      <c r="G84" s="308"/>
      <c r="H84" s="321"/>
      <c r="I84" s="2023" t="s">
        <v>5407</v>
      </c>
      <c r="J84" s="2040" t="s">
        <v>5408</v>
      </c>
      <c r="K84" s="321"/>
      <c r="L84" s="2024" t="s">
        <v>5409</v>
      </c>
      <c r="M84" s="2024" t="s">
        <v>5410</v>
      </c>
      <c r="N84" s="308" t="s">
        <v>5411</v>
      </c>
      <c r="O84" s="2015" t="s">
        <v>1106</v>
      </c>
      <c r="P84" s="2025" t="s">
        <v>5412</v>
      </c>
      <c r="Q84" s="2218" t="s">
        <v>5413</v>
      </c>
    </row>
    <row r="85" spans="1:17" s="92" customFormat="1" ht="219.75" customHeight="1">
      <c r="A85" s="322">
        <v>1</v>
      </c>
      <c r="B85" s="323">
        <v>41.5</v>
      </c>
      <c r="C85" s="2226" t="s">
        <v>5414</v>
      </c>
      <c r="D85" s="320" t="s">
        <v>4606</v>
      </c>
      <c r="E85" s="324" t="s">
        <v>1447</v>
      </c>
      <c r="F85" s="320" t="s">
        <v>4189</v>
      </c>
      <c r="G85" s="320"/>
      <c r="H85" s="325"/>
      <c r="I85" s="2227" t="s">
        <v>43</v>
      </c>
      <c r="J85" s="2228" t="s">
        <v>43</v>
      </c>
      <c r="K85" s="325"/>
      <c r="L85" s="2229" t="s">
        <v>5415</v>
      </c>
      <c r="M85" s="2229" t="s">
        <v>5416</v>
      </c>
      <c r="N85" s="320" t="s">
        <v>5417</v>
      </c>
      <c r="O85" s="400"/>
      <c r="P85" s="2230" t="s">
        <v>49</v>
      </c>
      <c r="Q85" s="2231" t="s">
        <v>5418</v>
      </c>
    </row>
    <row r="86" spans="1:17" s="94" customFormat="1" ht="115.5" customHeight="1">
      <c r="A86" s="322">
        <v>1</v>
      </c>
      <c r="B86" s="326">
        <v>69.53</v>
      </c>
      <c r="C86" s="2215" t="s">
        <v>2525</v>
      </c>
      <c r="D86" s="179" t="s">
        <v>4856</v>
      </c>
      <c r="E86" s="178" t="s">
        <v>823</v>
      </c>
      <c r="F86" s="178"/>
      <c r="G86" s="286"/>
      <c r="H86" s="301">
        <v>45297</v>
      </c>
      <c r="I86" s="2232" t="s">
        <v>5419</v>
      </c>
      <c r="J86" s="2232" t="s">
        <v>5420</v>
      </c>
      <c r="K86" s="2233" t="s">
        <v>5420</v>
      </c>
      <c r="L86" s="2233" t="s">
        <v>5421</v>
      </c>
      <c r="M86" s="2233" t="s">
        <v>5422</v>
      </c>
      <c r="N86" s="178" t="s">
        <v>4754</v>
      </c>
      <c r="O86" s="2234" t="s">
        <v>83</v>
      </c>
      <c r="P86" s="2235" t="s">
        <v>5423</v>
      </c>
      <c r="Q86" s="2216" t="s">
        <v>5424</v>
      </c>
    </row>
    <row r="87" spans="1:17" s="92" customFormat="1" ht="184.5" customHeight="1">
      <c r="A87" s="322">
        <v>1</v>
      </c>
      <c r="B87" s="327">
        <v>50</v>
      </c>
      <c r="C87" s="2001" t="s">
        <v>5425</v>
      </c>
      <c r="D87" s="173" t="s">
        <v>195</v>
      </c>
      <c r="E87" s="174" t="s">
        <v>1447</v>
      </c>
      <c r="F87" s="173" t="s">
        <v>4883</v>
      </c>
      <c r="G87" s="173"/>
      <c r="H87" s="313"/>
      <c r="I87" s="2052" t="s">
        <v>5426</v>
      </c>
      <c r="J87" s="2052" t="s">
        <v>68</v>
      </c>
      <c r="K87" s="313"/>
      <c r="L87" s="2003" t="s">
        <v>5427</v>
      </c>
      <c r="M87" s="2003" t="s">
        <v>5428</v>
      </c>
      <c r="N87" s="173" t="s">
        <v>4748</v>
      </c>
      <c r="O87" s="2004" t="s">
        <v>34</v>
      </c>
      <c r="P87" s="2004" t="s">
        <v>49</v>
      </c>
      <c r="Q87" s="2188" t="s">
        <v>5429</v>
      </c>
    </row>
    <row r="88" spans="1:17" s="92" customFormat="1" ht="152.25" customHeight="1">
      <c r="A88" s="322">
        <v>3</v>
      </c>
      <c r="B88" s="328">
        <v>6</v>
      </c>
      <c r="C88" s="2022" t="s">
        <v>2529</v>
      </c>
      <c r="D88" s="308" t="s">
        <v>4842</v>
      </c>
      <c r="E88" s="309" t="s">
        <v>1447</v>
      </c>
      <c r="F88" s="308" t="s">
        <v>4883</v>
      </c>
      <c r="G88" s="308"/>
      <c r="H88" s="321"/>
      <c r="I88" s="2040" t="s">
        <v>4877</v>
      </c>
      <c r="J88" s="2040" t="s">
        <v>5430</v>
      </c>
      <c r="K88" s="321"/>
      <c r="L88" s="2024" t="s">
        <v>5431</v>
      </c>
      <c r="M88" s="2024" t="s">
        <v>5432</v>
      </c>
      <c r="N88" s="308" t="s">
        <v>5433</v>
      </c>
      <c r="O88" s="2015" t="s">
        <v>68</v>
      </c>
      <c r="P88" s="2025" t="s">
        <v>5434</v>
      </c>
      <c r="Q88" s="2218" t="s">
        <v>5435</v>
      </c>
    </row>
    <row r="89" spans="1:17" s="94" customFormat="1" ht="210" customHeight="1">
      <c r="A89" s="322">
        <v>1</v>
      </c>
      <c r="B89" s="329">
        <v>167</v>
      </c>
      <c r="C89" s="2207" t="s">
        <v>5436</v>
      </c>
      <c r="D89" s="330" t="s">
        <v>195</v>
      </c>
      <c r="E89" s="188" t="s">
        <v>1447</v>
      </c>
      <c r="F89" s="330" t="s">
        <v>4889</v>
      </c>
      <c r="G89" s="290">
        <v>45238.770833333299</v>
      </c>
      <c r="H89" s="331">
        <v>45245</v>
      </c>
      <c r="I89" s="2236" t="s">
        <v>5437</v>
      </c>
      <c r="J89" s="2237" t="s">
        <v>5438</v>
      </c>
      <c r="K89" s="331"/>
      <c r="L89" s="2237" t="s">
        <v>5439</v>
      </c>
      <c r="M89" s="2237" t="s">
        <v>5440</v>
      </c>
      <c r="N89" s="330" t="s">
        <v>4748</v>
      </c>
      <c r="O89" s="2196" t="s">
        <v>4495</v>
      </c>
      <c r="P89" s="2238" t="s">
        <v>5441</v>
      </c>
      <c r="Q89" s="2239" t="s">
        <v>5442</v>
      </c>
    </row>
    <row r="90" spans="1:17" s="95" customFormat="1" ht="179.25" customHeight="1">
      <c r="A90" s="322">
        <v>1</v>
      </c>
      <c r="B90" s="327">
        <v>16</v>
      </c>
      <c r="C90" s="2001" t="s">
        <v>5443</v>
      </c>
      <c r="D90" s="332" t="s">
        <v>195</v>
      </c>
      <c r="E90" s="174" t="s">
        <v>1447</v>
      </c>
      <c r="F90" s="173" t="s">
        <v>4189</v>
      </c>
      <c r="G90" s="173"/>
      <c r="H90" s="313"/>
      <c r="I90" s="2052" t="s">
        <v>5444</v>
      </c>
      <c r="J90" s="2052" t="s">
        <v>5445</v>
      </c>
      <c r="K90" s="313"/>
      <c r="L90" s="2003" t="s">
        <v>5446</v>
      </c>
      <c r="M90" s="2003" t="s">
        <v>5447</v>
      </c>
      <c r="N90" s="173" t="s">
        <v>4862</v>
      </c>
      <c r="O90" s="2004" t="s">
        <v>34</v>
      </c>
      <c r="P90" s="1996" t="s">
        <v>5448</v>
      </c>
      <c r="Q90" s="2239" t="s">
        <v>5449</v>
      </c>
    </row>
    <row r="91" spans="1:17" s="95" customFormat="1" ht="265.5" customHeight="1">
      <c r="A91" s="322">
        <v>3</v>
      </c>
      <c r="B91" s="327">
        <v>20</v>
      </c>
      <c r="C91" s="2001" t="s">
        <v>5450</v>
      </c>
      <c r="D91" s="173" t="s">
        <v>195</v>
      </c>
      <c r="E91" s="174" t="s">
        <v>5451</v>
      </c>
      <c r="F91" s="173" t="s">
        <v>4883</v>
      </c>
      <c r="G91" s="173"/>
      <c r="H91" s="313"/>
      <c r="I91" s="2052" t="s">
        <v>5452</v>
      </c>
      <c r="J91" s="2052" t="s">
        <v>5453</v>
      </c>
      <c r="K91" s="313"/>
      <c r="L91" s="2003" t="s">
        <v>5454</v>
      </c>
      <c r="M91" s="2003" t="s">
        <v>5455</v>
      </c>
      <c r="N91" s="173" t="s">
        <v>4862</v>
      </c>
      <c r="O91" s="2004" t="s">
        <v>34</v>
      </c>
      <c r="P91" s="2240" t="s">
        <v>5456</v>
      </c>
      <c r="Q91" s="2241" t="s">
        <v>5457</v>
      </c>
    </row>
    <row r="92" spans="1:17" s="95" customFormat="1" ht="152.25" customHeight="1">
      <c r="A92" s="322">
        <v>2</v>
      </c>
      <c r="B92" s="333" t="s">
        <v>5458</v>
      </c>
      <c r="C92" s="2242" t="s">
        <v>5459</v>
      </c>
      <c r="D92" s="308" t="s">
        <v>4842</v>
      </c>
      <c r="E92" s="334" t="s">
        <v>5451</v>
      </c>
      <c r="F92" s="335" t="s">
        <v>4883</v>
      </c>
      <c r="G92" s="335"/>
      <c r="H92" s="336"/>
      <c r="I92" s="2243" t="s">
        <v>4877</v>
      </c>
      <c r="J92" s="2243" t="s">
        <v>5460</v>
      </c>
      <c r="K92" s="336"/>
      <c r="L92" s="2244" t="s">
        <v>5461</v>
      </c>
      <c r="M92" s="2244" t="s">
        <v>5462</v>
      </c>
      <c r="N92" s="335" t="s">
        <v>5463</v>
      </c>
      <c r="O92" s="2245" t="s">
        <v>5464</v>
      </c>
      <c r="P92" s="2246" t="s">
        <v>5465</v>
      </c>
      <c r="Q92" s="2247" t="s">
        <v>5466</v>
      </c>
    </row>
    <row r="93" spans="1:17" s="95" customFormat="1" ht="192.75" customHeight="1">
      <c r="A93" s="322">
        <v>1</v>
      </c>
      <c r="B93" s="337">
        <v>200</v>
      </c>
      <c r="C93" s="2242" t="s">
        <v>2551</v>
      </c>
      <c r="D93" s="335" t="s">
        <v>4842</v>
      </c>
      <c r="E93" s="334" t="s">
        <v>1447</v>
      </c>
      <c r="F93" s="335" t="s">
        <v>5467</v>
      </c>
      <c r="G93" s="335"/>
      <c r="H93" s="336"/>
      <c r="I93" s="2243" t="s">
        <v>4877</v>
      </c>
      <c r="J93" s="339">
        <v>45302</v>
      </c>
      <c r="K93" s="2243" t="s">
        <v>68</v>
      </c>
      <c r="L93" s="2243" t="s">
        <v>5468</v>
      </c>
      <c r="M93" s="2243" t="s">
        <v>68</v>
      </c>
      <c r="N93" s="401">
        <v>83510</v>
      </c>
      <c r="O93" s="2243" t="s">
        <v>68</v>
      </c>
      <c r="P93" s="2248" t="s">
        <v>5469</v>
      </c>
      <c r="Q93" s="2247" t="s">
        <v>5470</v>
      </c>
    </row>
    <row r="94" spans="1:17" s="92" customFormat="1" ht="254.25" customHeight="1">
      <c r="A94" s="322">
        <v>2</v>
      </c>
      <c r="B94" s="2249" t="s">
        <v>5471</v>
      </c>
      <c r="C94" s="2017" t="s">
        <v>2549</v>
      </c>
      <c r="D94" s="338" t="s">
        <v>4842</v>
      </c>
      <c r="E94" s="179" t="s">
        <v>1447</v>
      </c>
      <c r="F94" s="184" t="s">
        <v>68</v>
      </c>
      <c r="G94" s="184"/>
      <c r="H94" s="185"/>
      <c r="I94" s="2019" t="s">
        <v>5472</v>
      </c>
      <c r="J94" s="2043" t="s">
        <v>5473</v>
      </c>
      <c r="K94" s="185"/>
      <c r="L94" s="2020" t="s">
        <v>5474</v>
      </c>
      <c r="M94" s="2020" t="s">
        <v>4892</v>
      </c>
      <c r="N94" s="2043" t="s">
        <v>5475</v>
      </c>
      <c r="O94" s="2009" t="s">
        <v>34</v>
      </c>
      <c r="P94" s="2250" t="s">
        <v>5476</v>
      </c>
      <c r="Q94" s="2190" t="s">
        <v>5477</v>
      </c>
    </row>
    <row r="95" spans="1:17" s="94" customFormat="1" ht="222" customHeight="1">
      <c r="A95" s="322">
        <v>1</v>
      </c>
      <c r="B95" s="337">
        <v>52</v>
      </c>
      <c r="C95" s="2242" t="s">
        <v>2527</v>
      </c>
      <c r="D95" s="335" t="s">
        <v>817</v>
      </c>
      <c r="E95" s="334" t="s">
        <v>5478</v>
      </c>
      <c r="F95" s="335" t="s">
        <v>4883</v>
      </c>
      <c r="G95" s="339">
        <v>45244</v>
      </c>
      <c r="H95" s="336">
        <v>45244</v>
      </c>
      <c r="I95" s="2243" t="s">
        <v>5479</v>
      </c>
      <c r="J95" s="2244" t="s">
        <v>5480</v>
      </c>
      <c r="K95" s="336"/>
      <c r="L95" s="2244" t="s">
        <v>5481</v>
      </c>
      <c r="M95" s="2244" t="s">
        <v>5482</v>
      </c>
      <c r="N95" s="335" t="s">
        <v>4748</v>
      </c>
      <c r="O95" s="2245" t="s">
        <v>878</v>
      </c>
      <c r="P95" s="2251" t="s">
        <v>5483</v>
      </c>
      <c r="Q95" s="2247" t="s">
        <v>5484</v>
      </c>
    </row>
    <row r="96" spans="1:17" s="94" customFormat="1" ht="140.25" customHeight="1">
      <c r="A96" s="322">
        <v>2</v>
      </c>
      <c r="B96" s="340">
        <v>8.4700000000000006</v>
      </c>
      <c r="C96" s="2252" t="s">
        <v>2552</v>
      </c>
      <c r="D96" s="341" t="s">
        <v>4842</v>
      </c>
      <c r="E96" s="341" t="s">
        <v>1447</v>
      </c>
      <c r="F96" s="341" t="s">
        <v>4189</v>
      </c>
      <c r="G96" s="342"/>
      <c r="H96" s="343"/>
      <c r="I96" s="2253" t="s">
        <v>5485</v>
      </c>
      <c r="J96" s="2253" t="s">
        <v>5486</v>
      </c>
      <c r="K96" s="343"/>
      <c r="L96" s="2253" t="s">
        <v>5487</v>
      </c>
      <c r="M96" s="2253" t="s">
        <v>5488</v>
      </c>
      <c r="N96" s="341" t="s">
        <v>5489</v>
      </c>
      <c r="O96" s="2254" t="s">
        <v>5490</v>
      </c>
      <c r="P96" s="2254" t="s">
        <v>5491</v>
      </c>
      <c r="Q96" s="2255" t="s">
        <v>5492</v>
      </c>
    </row>
    <row r="97" spans="1:17" s="92" customFormat="1" ht="187.5" customHeight="1">
      <c r="A97" s="322">
        <v>1</v>
      </c>
      <c r="B97" s="344">
        <v>17</v>
      </c>
      <c r="C97" s="2242" t="s">
        <v>5493</v>
      </c>
      <c r="D97" s="335" t="s">
        <v>4842</v>
      </c>
      <c r="E97" s="334" t="s">
        <v>1447</v>
      </c>
      <c r="F97" s="335" t="s">
        <v>4641</v>
      </c>
      <c r="G97" s="335"/>
      <c r="H97" s="336"/>
      <c r="I97" s="2256" t="s">
        <v>43</v>
      </c>
      <c r="J97" s="2243" t="s">
        <v>43</v>
      </c>
      <c r="K97" s="336"/>
      <c r="L97" s="2244" t="s">
        <v>5494</v>
      </c>
      <c r="M97" s="2244" t="s">
        <v>5495</v>
      </c>
      <c r="N97" s="335" t="s">
        <v>4962</v>
      </c>
      <c r="O97" s="2245" t="s">
        <v>878</v>
      </c>
      <c r="P97" s="2257" t="s">
        <v>49</v>
      </c>
      <c r="Q97" s="2247" t="s">
        <v>5496</v>
      </c>
    </row>
    <row r="98" spans="1:17" s="95" customFormat="1" ht="170.25" customHeight="1">
      <c r="A98" s="345">
        <v>5</v>
      </c>
      <c r="B98" s="312">
        <v>11</v>
      </c>
      <c r="C98" s="2001" t="s">
        <v>5497</v>
      </c>
      <c r="D98" s="173" t="s">
        <v>817</v>
      </c>
      <c r="E98" s="195" t="s">
        <v>1447</v>
      </c>
      <c r="F98" s="173" t="s">
        <v>4189</v>
      </c>
      <c r="G98" s="173"/>
      <c r="H98" s="313"/>
      <c r="I98" s="2052" t="s">
        <v>5498</v>
      </c>
      <c r="J98" s="2052" t="s">
        <v>5499</v>
      </c>
      <c r="K98" s="313"/>
      <c r="L98" s="2003" t="s">
        <v>5500</v>
      </c>
      <c r="M98" s="2003" t="s">
        <v>5501</v>
      </c>
      <c r="N98" s="173" t="s">
        <v>5029</v>
      </c>
      <c r="O98" s="2004" t="s">
        <v>5502</v>
      </c>
      <c r="P98" s="1996" t="s">
        <v>5503</v>
      </c>
      <c r="Q98" s="2188" t="s">
        <v>5504</v>
      </c>
    </row>
    <row r="99" spans="1:17" s="94" customFormat="1" ht="387" customHeight="1">
      <c r="A99" s="345">
        <v>2</v>
      </c>
      <c r="B99" s="346">
        <v>11.78</v>
      </c>
      <c r="C99" s="2022" t="s">
        <v>5505</v>
      </c>
      <c r="D99" s="347" t="s">
        <v>4842</v>
      </c>
      <c r="E99" s="309" t="s">
        <v>1447</v>
      </c>
      <c r="F99" s="308" t="s">
        <v>4889</v>
      </c>
      <c r="G99" s="348">
        <v>45252.541666666701</v>
      </c>
      <c r="H99" s="321">
        <v>45252.541666666701</v>
      </c>
      <c r="I99" s="2024" t="s">
        <v>5506</v>
      </c>
      <c r="J99" s="2024" t="s">
        <v>5506</v>
      </c>
      <c r="K99" s="321"/>
      <c r="L99" s="2024" t="s">
        <v>5507</v>
      </c>
      <c r="M99" s="2024" t="s">
        <v>5508</v>
      </c>
      <c r="N99" s="308" t="s">
        <v>5509</v>
      </c>
      <c r="O99" s="2015" t="s">
        <v>5510</v>
      </c>
      <c r="P99" s="2041" t="s">
        <v>5511</v>
      </c>
      <c r="Q99" s="2218" t="s">
        <v>5512</v>
      </c>
    </row>
    <row r="100" spans="1:17" s="95" customFormat="1" ht="221.25" customHeight="1">
      <c r="A100" s="345">
        <v>3</v>
      </c>
      <c r="B100" s="349">
        <v>203</v>
      </c>
      <c r="C100" s="2022" t="s">
        <v>5513</v>
      </c>
      <c r="D100" s="347" t="s">
        <v>4842</v>
      </c>
      <c r="E100" s="309" t="s">
        <v>823</v>
      </c>
      <c r="F100" s="308" t="s">
        <v>4189</v>
      </c>
      <c r="G100" s="308"/>
      <c r="H100" s="321"/>
      <c r="I100" s="2040" t="s">
        <v>4141</v>
      </c>
      <c r="J100" s="2040" t="s">
        <v>4141</v>
      </c>
      <c r="K100" s="321"/>
      <c r="L100" s="2024" t="s">
        <v>4859</v>
      </c>
      <c r="M100" s="2024" t="s">
        <v>5514</v>
      </c>
      <c r="N100" s="308" t="s">
        <v>5515</v>
      </c>
      <c r="O100" s="2015" t="s">
        <v>5516</v>
      </c>
      <c r="P100" s="2026" t="s">
        <v>5517</v>
      </c>
      <c r="Q100" s="2218" t="s">
        <v>5518</v>
      </c>
    </row>
    <row r="101" spans="1:17" s="95" customFormat="1" ht="222" customHeight="1">
      <c r="A101" s="345">
        <v>1</v>
      </c>
      <c r="B101" s="350">
        <v>0</v>
      </c>
      <c r="C101" s="2198" t="s">
        <v>5519</v>
      </c>
      <c r="D101" s="351" t="s">
        <v>195</v>
      </c>
      <c r="E101" s="188" t="s">
        <v>1447</v>
      </c>
      <c r="F101" s="330" t="s">
        <v>4189</v>
      </c>
      <c r="G101" s="352"/>
      <c r="H101" s="353"/>
      <c r="I101" s="2258" t="s">
        <v>43</v>
      </c>
      <c r="J101" s="2258" t="s">
        <v>43</v>
      </c>
      <c r="K101" s="353"/>
      <c r="L101" s="2259" t="s">
        <v>5520</v>
      </c>
      <c r="M101" s="2259" t="s">
        <v>5521</v>
      </c>
      <c r="N101" s="352" t="s">
        <v>5522</v>
      </c>
      <c r="O101" s="2260" t="s">
        <v>150</v>
      </c>
      <c r="P101" s="2261" t="s">
        <v>49</v>
      </c>
      <c r="Q101" s="2262" t="s">
        <v>5523</v>
      </c>
    </row>
    <row r="102" spans="1:17" s="94" customFormat="1" ht="252" customHeight="1">
      <c r="A102" s="345">
        <v>1</v>
      </c>
      <c r="B102" s="354">
        <v>0</v>
      </c>
      <c r="C102" s="2263" t="s">
        <v>5524</v>
      </c>
      <c r="D102" s="354" t="s">
        <v>4856</v>
      </c>
      <c r="E102" s="355" t="s">
        <v>1447</v>
      </c>
      <c r="F102" s="354" t="s">
        <v>4889</v>
      </c>
      <c r="G102" s="356"/>
      <c r="H102" s="357"/>
      <c r="I102" s="2264" t="s">
        <v>43</v>
      </c>
      <c r="J102" s="2265" t="s">
        <v>43</v>
      </c>
      <c r="K102" s="357"/>
      <c r="L102" s="2265" t="s">
        <v>5525</v>
      </c>
      <c r="M102" s="2265" t="s">
        <v>5526</v>
      </c>
      <c r="N102" s="354" t="s">
        <v>5527</v>
      </c>
      <c r="O102" s="402"/>
      <c r="P102" s="2266" t="s">
        <v>5528</v>
      </c>
      <c r="Q102" s="2267" t="s">
        <v>5529</v>
      </c>
    </row>
    <row r="103" spans="1:17" s="94" customFormat="1" ht="261" customHeight="1">
      <c r="A103" s="345">
        <v>1</v>
      </c>
      <c r="B103" s="184" t="s">
        <v>5530</v>
      </c>
      <c r="C103" s="2017" t="s">
        <v>2575</v>
      </c>
      <c r="D103" s="184" t="s">
        <v>4856</v>
      </c>
      <c r="E103" s="179" t="s">
        <v>823</v>
      </c>
      <c r="F103" s="184" t="s">
        <v>4883</v>
      </c>
      <c r="G103" s="284"/>
      <c r="H103" s="185"/>
      <c r="I103" s="2047" t="s">
        <v>43</v>
      </c>
      <c r="J103" s="2020" t="s">
        <v>43</v>
      </c>
      <c r="K103" s="185"/>
      <c r="L103" s="2020" t="s">
        <v>4929</v>
      </c>
      <c r="M103" s="2020" t="s">
        <v>4930</v>
      </c>
      <c r="N103" s="184" t="s">
        <v>5531</v>
      </c>
      <c r="O103" s="2038" t="s">
        <v>34</v>
      </c>
      <c r="P103" s="2021" t="s">
        <v>5532</v>
      </c>
      <c r="Q103" s="2190" t="s">
        <v>5533</v>
      </c>
    </row>
    <row r="104" spans="1:17" s="96" customFormat="1" ht="189" customHeight="1">
      <c r="A104" s="358">
        <v>1</v>
      </c>
      <c r="B104" s="359">
        <v>0</v>
      </c>
      <c r="C104" s="2268" t="s">
        <v>5534</v>
      </c>
      <c r="D104" s="359" t="s">
        <v>817</v>
      </c>
      <c r="E104" s="359" t="s">
        <v>1447</v>
      </c>
      <c r="F104" s="359" t="s">
        <v>4883</v>
      </c>
      <c r="G104" s="360"/>
      <c r="H104" s="361"/>
      <c r="I104" s="2057" t="s">
        <v>68</v>
      </c>
      <c r="J104" s="2057" t="s">
        <v>68</v>
      </c>
      <c r="K104" s="359"/>
      <c r="L104" s="2058" t="s">
        <v>5535</v>
      </c>
      <c r="M104" s="2058" t="s">
        <v>5536</v>
      </c>
      <c r="N104" s="359" t="s">
        <v>5537</v>
      </c>
      <c r="O104" s="403"/>
      <c r="P104" s="2269" t="s">
        <v>49</v>
      </c>
      <c r="Q104" s="2270" t="s">
        <v>5538</v>
      </c>
    </row>
    <row r="105" spans="1:17" s="97" customFormat="1" ht="201" customHeight="1">
      <c r="A105" s="362">
        <v>1</v>
      </c>
      <c r="B105" s="363" t="s">
        <v>5539</v>
      </c>
      <c r="C105" s="2271" t="s">
        <v>2604</v>
      </c>
      <c r="D105" s="364" t="s">
        <v>817</v>
      </c>
      <c r="E105" s="365" t="s">
        <v>1447</v>
      </c>
      <c r="F105" s="363" t="s">
        <v>4189</v>
      </c>
      <c r="G105" s="2272" t="s">
        <v>5540</v>
      </c>
      <c r="H105" s="2273" t="s">
        <v>5541</v>
      </c>
      <c r="I105" s="2274" t="s">
        <v>5542</v>
      </c>
      <c r="J105" s="2274" t="s">
        <v>5543</v>
      </c>
      <c r="K105" s="2275" t="s">
        <v>5544</v>
      </c>
      <c r="L105" s="2275" t="s">
        <v>5545</v>
      </c>
      <c r="M105" s="404" t="s">
        <v>5546</v>
      </c>
      <c r="N105" s="2276" t="s">
        <v>5547</v>
      </c>
      <c r="O105" s="2277" t="s">
        <v>5548</v>
      </c>
      <c r="P105" s="2278" t="s">
        <v>5549</v>
      </c>
    </row>
    <row r="106" spans="1:17" s="98" customFormat="1" ht="129.75" customHeight="1">
      <c r="A106" s="366">
        <v>1</v>
      </c>
      <c r="B106" s="367">
        <v>0</v>
      </c>
      <c r="C106" s="2271" t="s">
        <v>5550</v>
      </c>
      <c r="D106" s="368" t="s">
        <v>817</v>
      </c>
      <c r="E106" s="369" t="s">
        <v>1447</v>
      </c>
      <c r="F106" s="367" t="s">
        <v>4189</v>
      </c>
      <c r="G106" s="370"/>
      <c r="H106" s="371"/>
      <c r="I106" s="1491" t="s">
        <v>4877</v>
      </c>
      <c r="J106" s="2095" t="s">
        <v>5551</v>
      </c>
      <c r="K106" s="2090" t="s">
        <v>5552</v>
      </c>
      <c r="L106" s="2090" t="s">
        <v>5553</v>
      </c>
      <c r="M106" s="2279" t="s">
        <v>5554</v>
      </c>
      <c r="N106" s="2091" t="s">
        <v>5555</v>
      </c>
      <c r="O106" s="2280" t="s">
        <v>5556</v>
      </c>
      <c r="P106" s="2281" t="s">
        <v>5557</v>
      </c>
    </row>
    <row r="107" spans="1:17" s="98" customFormat="1" ht="111" customHeight="1">
      <c r="A107" s="366">
        <v>4</v>
      </c>
      <c r="B107" s="367" t="s">
        <v>5558</v>
      </c>
      <c r="C107" s="2282" t="s">
        <v>2602</v>
      </c>
      <c r="D107" s="368" t="s">
        <v>817</v>
      </c>
      <c r="E107" s="369" t="s">
        <v>1447</v>
      </c>
      <c r="F107" s="367"/>
      <c r="G107" s="370"/>
      <c r="H107" s="371"/>
      <c r="I107" s="1491" t="s">
        <v>4877</v>
      </c>
      <c r="J107" s="2283" t="s">
        <v>5559</v>
      </c>
      <c r="K107" s="2090" t="s">
        <v>5560</v>
      </c>
      <c r="L107" s="2090" t="s">
        <v>5561</v>
      </c>
      <c r="M107" s="408">
        <v>60000</v>
      </c>
      <c r="N107" s="407"/>
      <c r="O107" s="2120" t="s">
        <v>49</v>
      </c>
      <c r="P107" s="2284" t="s">
        <v>5562</v>
      </c>
    </row>
    <row r="108" spans="1:17" s="97" customFormat="1" ht="139.5" customHeight="1">
      <c r="A108" s="366">
        <v>1</v>
      </c>
      <c r="B108" s="372">
        <v>0</v>
      </c>
      <c r="C108" s="2285" t="s">
        <v>2608</v>
      </c>
      <c r="D108" s="368" t="s">
        <v>195</v>
      </c>
      <c r="E108" s="369" t="s">
        <v>4970</v>
      </c>
      <c r="F108" s="367" t="s">
        <v>4189</v>
      </c>
      <c r="G108" s="370"/>
      <c r="H108" s="371"/>
      <c r="I108" s="3154" t="s">
        <v>4955</v>
      </c>
      <c r="J108" s="3155"/>
      <c r="K108" s="2090" t="s">
        <v>5563</v>
      </c>
      <c r="L108" s="2090" t="s">
        <v>5564</v>
      </c>
      <c r="M108" s="408" t="s">
        <v>5565</v>
      </c>
      <c r="N108" s="407"/>
      <c r="O108" s="2286" t="s">
        <v>5566</v>
      </c>
      <c r="P108" s="2287" t="s">
        <v>5567</v>
      </c>
    </row>
    <row r="109" spans="1:17" s="97" customFormat="1" ht="102.75" customHeight="1">
      <c r="A109" s="366">
        <v>1</v>
      </c>
      <c r="B109" s="367">
        <v>0</v>
      </c>
      <c r="C109" s="2288" t="s">
        <v>2610</v>
      </c>
      <c r="D109" s="368" t="s">
        <v>817</v>
      </c>
      <c r="E109" s="369" t="s">
        <v>1447</v>
      </c>
      <c r="F109" s="367" t="s">
        <v>4189</v>
      </c>
      <c r="G109" s="367"/>
      <c r="H109" s="371"/>
      <c r="I109" s="1491" t="s">
        <v>4877</v>
      </c>
      <c r="J109" s="2289" t="s">
        <v>4965</v>
      </c>
      <c r="K109" s="2090" t="s">
        <v>5568</v>
      </c>
      <c r="L109" s="2090" t="s">
        <v>5569</v>
      </c>
      <c r="M109" s="408">
        <v>60000</v>
      </c>
      <c r="N109" s="2091" t="s">
        <v>34</v>
      </c>
      <c r="O109" s="2290" t="s">
        <v>5570</v>
      </c>
      <c r="P109" s="2291" t="s">
        <v>4958</v>
      </c>
    </row>
    <row r="110" spans="1:17" s="97" customFormat="1" ht="161.25" customHeight="1">
      <c r="A110" s="366">
        <v>4</v>
      </c>
      <c r="B110" s="367">
        <v>0</v>
      </c>
      <c r="C110" s="2292" t="s">
        <v>2616</v>
      </c>
      <c r="D110" s="368" t="s">
        <v>817</v>
      </c>
      <c r="E110" s="369" t="s">
        <v>1447</v>
      </c>
      <c r="F110" s="367" t="s">
        <v>4889</v>
      </c>
      <c r="G110" s="373"/>
      <c r="H110" s="371"/>
      <c r="I110" s="1491" t="s">
        <v>5571</v>
      </c>
      <c r="J110" s="1491" t="s">
        <v>5572</v>
      </c>
      <c r="K110" s="2090" t="s">
        <v>5023</v>
      </c>
      <c r="L110" s="2090" t="s">
        <v>5573</v>
      </c>
      <c r="M110" s="406" t="s">
        <v>5574</v>
      </c>
      <c r="N110" s="2091" t="s">
        <v>5575</v>
      </c>
      <c r="O110" s="2290" t="s">
        <v>5576</v>
      </c>
      <c r="P110" s="2281" t="s">
        <v>5577</v>
      </c>
    </row>
    <row r="111" spans="1:17" s="98" customFormat="1" ht="170.25" customHeight="1">
      <c r="A111" s="366">
        <v>1</v>
      </c>
      <c r="B111" s="367">
        <v>0</v>
      </c>
      <c r="C111" s="2293" t="s">
        <v>5578</v>
      </c>
      <c r="D111" s="368" t="s">
        <v>817</v>
      </c>
      <c r="E111" s="369" t="s">
        <v>1447</v>
      </c>
      <c r="F111" s="367" t="s">
        <v>4883</v>
      </c>
      <c r="G111" s="1491" t="s">
        <v>5579</v>
      </c>
      <c r="H111" s="371">
        <v>45105</v>
      </c>
      <c r="I111" s="1491" t="s">
        <v>5580</v>
      </c>
      <c r="J111" s="1491" t="s">
        <v>5581</v>
      </c>
      <c r="K111" s="2090" t="s">
        <v>5582</v>
      </c>
      <c r="L111" s="2090" t="s">
        <v>5583</v>
      </c>
      <c r="M111" s="406" t="s">
        <v>5584</v>
      </c>
      <c r="N111" s="2091" t="s">
        <v>878</v>
      </c>
      <c r="O111" s="2290" t="s">
        <v>5585</v>
      </c>
      <c r="P111" s="2294" t="s">
        <v>5586</v>
      </c>
    </row>
    <row r="112" spans="1:17" s="97" customFormat="1" ht="161.25" customHeight="1">
      <c r="A112" s="366">
        <v>2</v>
      </c>
      <c r="B112" s="367">
        <v>0</v>
      </c>
      <c r="C112" s="2293" t="s">
        <v>5587</v>
      </c>
      <c r="D112" s="368" t="s">
        <v>817</v>
      </c>
      <c r="E112" s="369" t="s">
        <v>1447</v>
      </c>
      <c r="F112" s="367" t="s">
        <v>4883</v>
      </c>
      <c r="G112" s="1491" t="s">
        <v>5588</v>
      </c>
      <c r="H112" s="371">
        <v>45105</v>
      </c>
      <c r="I112" s="1491" t="s">
        <v>5580</v>
      </c>
      <c r="J112" s="1491" t="s">
        <v>5589</v>
      </c>
      <c r="K112" s="2090" t="s">
        <v>5582</v>
      </c>
      <c r="L112" s="2090" t="s">
        <v>5583</v>
      </c>
      <c r="M112" s="406" t="s">
        <v>5590</v>
      </c>
      <c r="N112" s="2091" t="s">
        <v>5591</v>
      </c>
      <c r="O112" s="2290" t="s">
        <v>5592</v>
      </c>
      <c r="P112" s="2294" t="s">
        <v>5593</v>
      </c>
    </row>
    <row r="113" spans="1:16" s="98" customFormat="1" ht="117.75" customHeight="1">
      <c r="A113" s="366">
        <v>2</v>
      </c>
      <c r="B113" s="367" t="s">
        <v>5594</v>
      </c>
      <c r="C113" s="2295" t="s">
        <v>2618</v>
      </c>
      <c r="D113" s="368" t="s">
        <v>817</v>
      </c>
      <c r="E113" s="369" t="s">
        <v>1447</v>
      </c>
      <c r="F113" s="367" t="s">
        <v>4189</v>
      </c>
      <c r="G113" s="370"/>
      <c r="H113" s="371"/>
      <c r="I113" s="1491" t="s">
        <v>4141</v>
      </c>
      <c r="J113" s="2095" t="s">
        <v>4141</v>
      </c>
      <c r="K113" s="2090" t="s">
        <v>5595</v>
      </c>
      <c r="L113" s="2090" t="s">
        <v>5596</v>
      </c>
      <c r="M113" s="2279" t="s">
        <v>5597</v>
      </c>
      <c r="N113" s="2091" t="s">
        <v>1156</v>
      </c>
      <c r="O113" s="2120" t="s">
        <v>49</v>
      </c>
      <c r="P113" s="2281" t="s">
        <v>5557</v>
      </c>
    </row>
    <row r="114" spans="1:16" s="98" customFormat="1" ht="188.25" customHeight="1">
      <c r="A114" s="374">
        <v>1</v>
      </c>
      <c r="B114" s="375" t="s">
        <v>5598</v>
      </c>
      <c r="C114" s="2296" t="s">
        <v>2624</v>
      </c>
      <c r="D114" s="376" t="s">
        <v>817</v>
      </c>
      <c r="E114" s="377" t="s">
        <v>1447</v>
      </c>
      <c r="F114" s="375" t="s">
        <v>4889</v>
      </c>
      <c r="G114" s="378"/>
      <c r="H114" s="379"/>
      <c r="I114" s="2297" t="s">
        <v>4141</v>
      </c>
      <c r="J114" s="2298" t="s">
        <v>4141</v>
      </c>
      <c r="K114" s="2299" t="s">
        <v>5599</v>
      </c>
      <c r="L114" s="2299" t="s">
        <v>5600</v>
      </c>
      <c r="M114" s="2300" t="s">
        <v>5601</v>
      </c>
      <c r="N114" s="2301" t="s">
        <v>5602</v>
      </c>
      <c r="O114" s="2302" t="s">
        <v>5603</v>
      </c>
      <c r="P114" s="2303" t="s">
        <v>5604</v>
      </c>
    </row>
    <row r="115" spans="1:16" s="98" customFormat="1" ht="168.75" customHeight="1">
      <c r="A115" s="366">
        <v>1</v>
      </c>
      <c r="B115" s="367">
        <v>0</v>
      </c>
      <c r="C115" s="2295" t="s">
        <v>5605</v>
      </c>
      <c r="D115" s="368" t="s">
        <v>817</v>
      </c>
      <c r="E115" s="369" t="s">
        <v>1447</v>
      </c>
      <c r="F115" s="367" t="s">
        <v>4889</v>
      </c>
      <c r="G115" s="370">
        <v>45222.708333333299</v>
      </c>
      <c r="H115" s="371">
        <v>45229.708333333299</v>
      </c>
      <c r="I115" s="1491" t="s">
        <v>4955</v>
      </c>
      <c r="J115" s="1491" t="s">
        <v>5606</v>
      </c>
      <c r="K115" s="2090" t="s">
        <v>4935</v>
      </c>
      <c r="L115" s="2090" t="s">
        <v>5607</v>
      </c>
      <c r="M115" s="406" t="s">
        <v>5608</v>
      </c>
      <c r="N115" s="2091" t="s">
        <v>5609</v>
      </c>
      <c r="O115" s="2121" t="s">
        <v>5610</v>
      </c>
      <c r="P115" s="2294" t="s">
        <v>5611</v>
      </c>
    </row>
    <row r="116" spans="1:16" s="99" customFormat="1" ht="115.5" customHeight="1">
      <c r="A116" s="366">
        <v>18</v>
      </c>
      <c r="B116" s="380" t="s">
        <v>5612</v>
      </c>
      <c r="C116" s="2304" t="s">
        <v>2638</v>
      </c>
      <c r="D116" s="381" t="s">
        <v>817</v>
      </c>
      <c r="E116" s="382" t="s">
        <v>1447</v>
      </c>
      <c r="F116" s="380" t="s">
        <v>4189</v>
      </c>
      <c r="G116" s="383">
        <v>45191.694444444402</v>
      </c>
      <c r="H116" s="2305" t="s">
        <v>5613</v>
      </c>
      <c r="I116" s="2306" t="s">
        <v>5614</v>
      </c>
      <c r="J116" s="2306" t="s">
        <v>5615</v>
      </c>
      <c r="K116" s="2307" t="s">
        <v>5616</v>
      </c>
      <c r="L116" s="2307" t="s">
        <v>5617</v>
      </c>
      <c r="M116" s="409" t="s">
        <v>5618</v>
      </c>
      <c r="N116" s="2308" t="s">
        <v>5547</v>
      </c>
      <c r="O116" s="2309" t="s">
        <v>5619</v>
      </c>
      <c r="P116" s="2310" t="s">
        <v>5620</v>
      </c>
    </row>
    <row r="117" spans="1:16" s="100" customFormat="1" ht="167.25" customHeight="1">
      <c r="A117" s="384">
        <v>1</v>
      </c>
      <c r="B117" s="385" t="s">
        <v>5621</v>
      </c>
      <c r="C117" s="2311" t="s">
        <v>2644</v>
      </c>
      <c r="D117" s="386" t="s">
        <v>817</v>
      </c>
      <c r="E117" s="387" t="s">
        <v>823</v>
      </c>
      <c r="F117" s="385" t="s">
        <v>4883</v>
      </c>
      <c r="G117" s="2312" t="s">
        <v>5622</v>
      </c>
      <c r="H117" s="2313" t="s">
        <v>5623</v>
      </c>
      <c r="I117" s="1449" t="s">
        <v>5624</v>
      </c>
      <c r="J117" s="1449" t="s">
        <v>4955</v>
      </c>
      <c r="K117" s="2314" t="s">
        <v>5625</v>
      </c>
      <c r="L117" s="2315" t="s">
        <v>5626</v>
      </c>
      <c r="M117" s="410" t="s">
        <v>5627</v>
      </c>
      <c r="N117" s="2097" t="s">
        <v>5628</v>
      </c>
      <c r="O117" s="2316" t="s">
        <v>5629</v>
      </c>
      <c r="P117" s="2317" t="s">
        <v>5630</v>
      </c>
    </row>
  </sheetData>
  <mergeCells count="2">
    <mergeCell ref="A1:P1"/>
    <mergeCell ref="I108:J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Master Sheet_2</vt:lpstr>
      <vt:lpstr>Reference ID</vt:lpstr>
      <vt:lpstr>Opened</vt:lpstr>
      <vt:lpstr>Cancelled</vt:lpstr>
      <vt:lpstr>No-Go</vt:lpstr>
      <vt:lpstr>Sheet2</vt:lpstr>
      <vt:lpstr>Completed Project</vt:lpstr>
      <vt:lpstr>Master Sheet</vt:lpstr>
      <vt:lpstr>Bidded</vt:lpstr>
      <vt:lpstr>Pre-Bid Query  Tracker </vt:lpstr>
      <vt:lpstr>UD</vt:lpstr>
      <vt:lpstr>Not Favourable</vt:lpstr>
      <vt:lpstr>No Go ( Cancelled )</vt:lpstr>
      <vt:lpstr>Old Tender ID</vt:lpstr>
      <vt:lpstr>Blue Funnel</vt:lpstr>
      <vt:lpstr>To_be_Opened</vt:lpstr>
      <vt:lpstr>'Master Sheet'!Print_Area</vt:lpstr>
      <vt:lpstr>'Master Sheet_2'!Print_Area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Technosys</dc:creator>
  <cp:lastModifiedBy>Yashika Pariyani</cp:lastModifiedBy>
  <cp:lastPrinted>2026-03-20T05:53:52Z</cp:lastPrinted>
  <dcterms:created xsi:type="dcterms:W3CDTF">2025-07-21T09:59:00Z</dcterms:created>
  <dcterms:modified xsi:type="dcterms:W3CDTF">2026-03-20T17:15:49Z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0F1E691029B4476F99E87322CEA87446_12</vt:lpwstr>
  </property>
  <property fmtid="{D5CDD505-2E9C-101B-9397-08002B2CF9AE}" pid="3" name="KSOProductBuildVer">
    <vt:lpwstr>1033-12.2.0.23196</vt:lpwstr>
  </property>
</Properties>
</file>