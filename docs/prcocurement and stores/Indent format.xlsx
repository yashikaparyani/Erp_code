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nosys\Desktop\"/>
    </mc:Choice>
  </mc:AlternateContent>
  <xr:revisionPtr revIDLastSave="0" documentId="8_{1836B46D-D181-47B6-9E7E-B7ADCC9C239C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able 1 (2)" sheetId="2" state="hidden" r:id="rId1"/>
    <sheet name="Purchase Indent - TISPL" sheetId="1" state="hidden" r:id="rId2"/>
    <sheet name="O&amp;M Indent - Common" sheetId="3" r:id="rId3"/>
    <sheet name="Project Code 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F16" i="3"/>
  <c r="H16" i="3" s="1"/>
  <c r="K16" i="3" s="1"/>
  <c r="E16" i="3"/>
  <c r="B16" i="3"/>
  <c r="K24" i="1"/>
  <c r="K23" i="1"/>
  <c r="K22" i="1"/>
  <c r="K21" i="1"/>
  <c r="K20" i="1"/>
  <c r="K19" i="1"/>
  <c r="K25" i="1" s="1"/>
  <c r="B24" i="1"/>
  <c r="F24" i="1"/>
  <c r="F23" i="1"/>
  <c r="F22" i="1"/>
  <c r="F21" i="1"/>
  <c r="F20" i="1"/>
  <c r="F19" i="1"/>
  <c r="E24" i="1"/>
  <c r="E23" i="1"/>
  <c r="E22" i="1"/>
  <c r="E21" i="1"/>
  <c r="E20" i="1"/>
  <c r="E19" i="1"/>
  <c r="B23" i="1"/>
  <c r="B22" i="1"/>
  <c r="B21" i="1"/>
  <c r="B20" i="1"/>
  <c r="B19" i="1"/>
  <c r="N8" i="2"/>
  <c r="N15" i="2" s="1"/>
  <c r="K17" i="3" l="1"/>
</calcChain>
</file>

<file path=xl/sharedStrings.xml><?xml version="1.0" encoding="utf-8"?>
<sst xmlns="http://schemas.openxmlformats.org/spreadsheetml/2006/main" count="168" uniqueCount="111">
  <si>
    <t>UOM</t>
  </si>
  <si>
    <t>Date</t>
  </si>
  <si>
    <t>Qty.</t>
  </si>
  <si>
    <t>:</t>
  </si>
  <si>
    <t>PLANT</t>
  </si>
  <si>
    <t>DEPARTMENT NAME</t>
  </si>
  <si>
    <t>INDENT NO.</t>
  </si>
  <si>
    <t>08/12/2020</t>
  </si>
  <si>
    <t>Employee A</t>
  </si>
  <si>
    <t>Verified By</t>
  </si>
  <si>
    <r>
      <rPr>
        <b/>
        <u/>
        <sz val="12"/>
        <color rgb="FF000000"/>
        <rFont val="Arial"/>
        <family val="2"/>
      </rPr>
      <t>TECHNOSYS INTEGRATED SOLUTIONS PVT. LTD.</t>
    </r>
    <r>
      <rPr>
        <b/>
        <sz val="10.5"/>
        <color rgb="FF000000"/>
        <rFont val="Arial"/>
        <family val="2"/>
      </rPr>
      <t xml:space="preserve">
</t>
    </r>
    <r>
      <rPr>
        <b/>
        <sz val="26"/>
        <color rgb="FF000000"/>
        <rFont val="Arial"/>
        <family val="2"/>
      </rPr>
      <t>Purchase Indent</t>
    </r>
  </si>
  <si>
    <t>Description</t>
  </si>
  <si>
    <t>Deliver/Complition Scheduled</t>
  </si>
  <si>
    <t>Estimated
Purchase Rate
Per Qty.</t>
  </si>
  <si>
    <t>○ Material  ○ Service</t>
  </si>
  <si>
    <t>TISPL/IND/</t>
  </si>
  <si>
    <t>ISSUE DATE</t>
  </si>
  <si>
    <t>ISSUED BY</t>
  </si>
  <si>
    <t>PROJECT NAME</t>
  </si>
  <si>
    <t>PURCHASE</t>
  </si>
  <si>
    <r>
      <rPr>
        <b/>
        <sz val="11"/>
        <rFont val="Helvetica"/>
      </rPr>
      <t>Sl.</t>
    </r>
    <r>
      <rPr>
        <sz val="11"/>
        <rFont val="Helvetica"/>
      </rPr>
      <t xml:space="preserve"> </t>
    </r>
    <r>
      <rPr>
        <b/>
        <sz val="11"/>
        <rFont val="Helvetica"/>
      </rPr>
      <t>No.</t>
    </r>
  </si>
  <si>
    <r>
      <rPr>
        <b/>
        <sz val="11"/>
        <rFont val="Helvetica"/>
      </rPr>
      <t>Required</t>
    </r>
    <r>
      <rPr>
        <sz val="11"/>
        <rFont val="Helvetica"/>
      </rPr>
      <t xml:space="preserve">
</t>
    </r>
    <r>
      <rPr>
        <b/>
        <sz val="11"/>
        <rFont val="Helvetica"/>
      </rPr>
      <t>Qty.</t>
    </r>
  </si>
  <si>
    <r>
      <rPr>
        <b/>
        <sz val="11"/>
        <rFont val="Helvetica"/>
      </rPr>
      <t>Stock</t>
    </r>
    <r>
      <rPr>
        <sz val="11"/>
        <rFont val="Helvetica"/>
      </rPr>
      <t xml:space="preserve">
</t>
    </r>
    <r>
      <rPr>
        <b/>
        <sz val="11"/>
        <rFont val="Helvetica"/>
      </rPr>
      <t>Qty.</t>
    </r>
  </si>
  <si>
    <r>
      <rPr>
        <b/>
        <sz val="11"/>
        <rFont val="Helvetica"/>
      </rPr>
      <t>Indent</t>
    </r>
    <r>
      <rPr>
        <sz val="11"/>
        <rFont val="Helvetica"/>
      </rPr>
      <t xml:space="preserve">
</t>
    </r>
    <r>
      <rPr>
        <b/>
        <sz val="11"/>
        <rFont val="Helvetica"/>
      </rPr>
      <t>Qty.</t>
    </r>
  </si>
  <si>
    <r>
      <rPr>
        <b/>
        <sz val="11"/>
        <rFont val="Helvetica"/>
      </rPr>
      <t>Previous
Purchase</t>
    </r>
    <r>
      <rPr>
        <sz val="11"/>
        <rFont val="Helvetica"/>
      </rPr>
      <t xml:space="preserve">
</t>
    </r>
    <r>
      <rPr>
        <b/>
        <sz val="11"/>
        <rFont val="Helvetica"/>
      </rPr>
      <t>Rate</t>
    </r>
  </si>
  <si>
    <r>
      <rPr>
        <b/>
        <sz val="11"/>
        <rFont val="Helvetica"/>
      </rPr>
      <t>Estimated</t>
    </r>
    <r>
      <rPr>
        <sz val="11"/>
        <rFont val="Helvetica"/>
      </rPr>
      <t xml:space="preserve"> </t>
    </r>
    <r>
      <rPr>
        <b/>
        <sz val="11"/>
        <rFont val="Helvetica"/>
      </rPr>
      <t>Value</t>
    </r>
  </si>
  <si>
    <r>
      <rPr>
        <b/>
        <sz val="12"/>
        <rFont val="Helvetica"/>
      </rPr>
      <t>Total</t>
    </r>
    <r>
      <rPr>
        <sz val="12"/>
        <rFont val="Helvetica"/>
      </rPr>
      <t xml:space="preserve">  </t>
    </r>
    <r>
      <rPr>
        <b/>
        <sz val="12"/>
        <rFont val="Helvetica"/>
      </rPr>
      <t>Value</t>
    </r>
  </si>
  <si>
    <t>Remarks :</t>
  </si>
  <si>
    <t>Prepared By</t>
  </si>
  <si>
    <t xml:space="preserve">INDENT TYPE                  </t>
  </si>
  <si>
    <t xml:space="preserve">If Non Billable - Reason - </t>
  </si>
  <si>
    <t>Approved By</t>
  </si>
  <si>
    <t>Bill Status - ○ Billable
                   ○ Non Billable</t>
  </si>
  <si>
    <t>To be filled by Purchase Team:</t>
  </si>
  <si>
    <t>To be filled by Project Manager:</t>
  </si>
  <si>
    <t>ABC</t>
  </si>
  <si>
    <t>CREATED BY</t>
  </si>
  <si>
    <t>DATE</t>
  </si>
  <si>
    <t>○ Material
○ Service</t>
  </si>
  <si>
    <t>Junction Name</t>
  </si>
  <si>
    <t>Billing Status</t>
  </si>
  <si>
    <t xml:space="preserve">○ Billable - </t>
  </si>
  <si>
    <t>Amount</t>
  </si>
  <si>
    <t>Applicable</t>
  </si>
  <si>
    <t xml:space="preserve">○ Non-Billable - </t>
  </si>
  <si>
    <t xml:space="preserve">○ Insured - </t>
  </si>
  <si>
    <r>
      <rPr>
        <b/>
        <sz val="11"/>
        <rFont val="Helvetica"/>
      </rPr>
      <t>Indent</t>
    </r>
    <r>
      <rPr>
        <sz val="11"/>
        <rFont val="Helvetica"/>
      </rPr>
      <t xml:space="preserve">
</t>
    </r>
    <r>
      <rPr>
        <b/>
        <sz val="11"/>
        <rFont val="Helvetica"/>
      </rPr>
      <t>Qty.</t>
    </r>
    <r>
      <rPr>
        <sz val="11"/>
        <rFont val="Helvetica"/>
      </rPr>
      <t xml:space="preserve">
(A)</t>
    </r>
  </si>
  <si>
    <t>Estimated
Purchase Rate
Per Qty. (B)</t>
  </si>
  <si>
    <r>
      <rPr>
        <b/>
        <sz val="11"/>
        <rFont val="Helvetica"/>
      </rPr>
      <t>Estimated</t>
    </r>
    <r>
      <rPr>
        <sz val="11"/>
        <rFont val="Helvetica"/>
      </rPr>
      <t xml:space="preserve"> </t>
    </r>
    <r>
      <rPr>
        <b/>
        <sz val="11"/>
        <rFont val="Helvetica"/>
      </rPr>
      <t>Value</t>
    </r>
    <r>
      <rPr>
        <sz val="11"/>
        <rFont val="Helvetica"/>
      </rPr>
      <t xml:space="preserve">
(AxB)</t>
    </r>
  </si>
  <si>
    <t>Complition Schedule
T + Days</t>
  </si>
  <si>
    <t>T - Date</t>
  </si>
  <si>
    <t>Complition Date</t>
  </si>
  <si>
    <r>
      <rPr>
        <b/>
        <u/>
        <sz val="12"/>
        <rFont val="Arial"/>
        <family val="2"/>
      </rPr>
      <t>Purchase Remarks</t>
    </r>
    <r>
      <rPr>
        <b/>
        <sz val="12"/>
        <rFont val="Arial"/>
        <family val="2"/>
      </rPr>
      <t xml:space="preserve"> :</t>
    </r>
  </si>
  <si>
    <r>
      <rPr>
        <b/>
        <u/>
        <sz val="12"/>
        <rFont val="Arial"/>
        <family val="2"/>
      </rPr>
      <t>PM Remarks</t>
    </r>
    <r>
      <rPr>
        <b/>
        <sz val="12"/>
        <rFont val="Arial"/>
        <family val="2"/>
      </rPr>
      <t xml:space="preserve"> :</t>
    </r>
  </si>
  <si>
    <t>O&amp;M Indent</t>
  </si>
  <si>
    <t>Project Name</t>
  </si>
  <si>
    <t>Ayodhya</t>
  </si>
  <si>
    <t>Mathura</t>
  </si>
  <si>
    <t>Bhopal ITMS</t>
  </si>
  <si>
    <t>Bilaspur</t>
  </si>
  <si>
    <t>Firozabad</t>
  </si>
  <si>
    <t>Gwalior</t>
  </si>
  <si>
    <t>Guwahati</t>
  </si>
  <si>
    <t>Gandhinagar</t>
  </si>
  <si>
    <t>BHO</t>
  </si>
  <si>
    <t>BIL</t>
  </si>
  <si>
    <t>FIR</t>
  </si>
  <si>
    <t>GAN</t>
  </si>
  <si>
    <t>GUW</t>
  </si>
  <si>
    <t>GWA</t>
  </si>
  <si>
    <t>AYO</t>
  </si>
  <si>
    <t>Lucknow</t>
  </si>
  <si>
    <t>Mohali</t>
  </si>
  <si>
    <t>MP - 3</t>
  </si>
  <si>
    <t>MP - 5</t>
  </si>
  <si>
    <t>Raipur</t>
  </si>
  <si>
    <t>Sagar</t>
  </si>
  <si>
    <t>Satna</t>
  </si>
  <si>
    <t>Srinagar</t>
  </si>
  <si>
    <t>Ujjain</t>
  </si>
  <si>
    <t>LUC</t>
  </si>
  <si>
    <t>MAT</t>
  </si>
  <si>
    <t>MOH</t>
  </si>
  <si>
    <t>RAI</t>
  </si>
  <si>
    <t>SAG</t>
  </si>
  <si>
    <t>SAT</t>
  </si>
  <si>
    <t>SRI</t>
  </si>
  <si>
    <t>UJJ</t>
  </si>
  <si>
    <t>MP3</t>
  </si>
  <si>
    <t>MP5</t>
  </si>
  <si>
    <r>
      <rPr>
        <b/>
        <sz val="11"/>
        <rFont val="Helvetica"/>
      </rPr>
      <t>Last
Purchase</t>
    </r>
    <r>
      <rPr>
        <sz val="11"/>
        <rFont val="Helvetica"/>
      </rPr>
      <t xml:space="preserve">
</t>
    </r>
    <r>
      <rPr>
        <b/>
        <sz val="11"/>
        <rFont val="Helvetica"/>
      </rPr>
      <t>Price</t>
    </r>
    <r>
      <rPr>
        <sz val="11"/>
        <rFont val="Helvetica"/>
      </rPr>
      <t xml:space="preserve">
(LPP)</t>
    </r>
  </si>
  <si>
    <t>Delivery Date</t>
  </si>
  <si>
    <t>T - Days</t>
  </si>
  <si>
    <t>Junction/Location
Name</t>
  </si>
  <si>
    <t>Description of Material/Service</t>
  </si>
  <si>
    <t>Site Delivery Schedule
T + Days</t>
  </si>
  <si>
    <t>Approved By - Project Head</t>
  </si>
  <si>
    <t>Verified By - Service Manager</t>
  </si>
  <si>
    <t>○ Billable</t>
  </si>
  <si>
    <t>○ Insured</t>
  </si>
  <si>
    <t>Project Code</t>
  </si>
  <si>
    <t>Sl. No.</t>
  </si>
  <si>
    <t>T = Material/Service delivered at site</t>
  </si>
  <si>
    <t>T = Indent Received Date + 3 Days</t>
  </si>
  <si>
    <t>Note - PO should be close within 3 days</t>
  </si>
  <si>
    <t>Material Return Store</t>
  </si>
  <si>
    <t>Store Manager</t>
  </si>
  <si>
    <t>5 days</t>
  </si>
  <si>
    <r>
      <rPr>
        <sz val="10"/>
        <color theme="3"/>
        <rFont val="Arial"/>
        <family val="2"/>
      </rPr>
      <t>MAT</t>
    </r>
    <r>
      <rPr>
        <sz val="10"/>
        <rFont val="Arial"/>
        <family val="2"/>
      </rPr>
      <t>/25/09/</t>
    </r>
    <r>
      <rPr>
        <sz val="10"/>
        <color theme="3"/>
        <rFont val="Arial"/>
        <family val="2"/>
      </rPr>
      <t>002</t>
    </r>
  </si>
  <si>
    <t xml:space="preserve">If Non Billable - Reason -  </t>
  </si>
  <si>
    <r>
      <rPr>
        <b/>
        <u/>
        <sz val="12"/>
        <rFont val="Arial"/>
        <family val="2"/>
      </rPr>
      <t>Purchase Remarks</t>
    </r>
    <r>
      <rPr>
        <b/>
        <sz val="12"/>
        <rFont val="Arial"/>
        <family val="2"/>
      </rPr>
      <t xml:space="preserve"> :</t>
    </r>
    <r>
      <rPr>
        <sz val="12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</si>
</sst>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Rs&quot;#,##0.00_);[Red]\(&quot;Rs&quot;#,##0.00\)"/>
    <numFmt numFmtId="165" formatCode="mm/dd/yyyy;@"/>
    <numFmt numFmtId="166" formatCode="[$-409]d/mmm/yy;@"/>
  </numFmts>
  <fonts count="33" x14ac:knownFonts="1">
    <font>
      <sz val="10"/>
      <color rgb="FF000000"/>
      <name val="Times New Roman"/>
      <charset val="204"/>
    </font>
    <font>
      <sz val="9"/>
      <color rgb="FF000000"/>
      <name val="Times New Roman"/>
      <family val="1"/>
    </font>
    <font>
      <sz val="10.5"/>
      <color rgb="FF000000"/>
      <name val="Times New Roman"/>
      <family val="1"/>
    </font>
    <font>
      <sz val="9"/>
      <name val="Arial"/>
      <family val="2"/>
    </font>
    <font>
      <sz val="10"/>
      <color rgb="FF000000"/>
      <name val="Times New Roman"/>
      <family val="1"/>
    </font>
    <font>
      <b/>
      <sz val="10.5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9"/>
      <color rgb="FF000000"/>
      <name val="Helvetica"/>
    </font>
    <font>
      <sz val="9"/>
      <name val="Helvetica"/>
    </font>
    <font>
      <b/>
      <sz val="9"/>
      <name val="Helvetica"/>
    </font>
    <font>
      <sz val="10"/>
      <color rgb="FF000000"/>
      <name val="Helvetica"/>
    </font>
    <font>
      <b/>
      <sz val="11"/>
      <name val="Helvetica"/>
    </font>
    <font>
      <b/>
      <sz val="26"/>
      <color rgb="FF000000"/>
      <name val="Arial"/>
      <family val="2"/>
    </font>
    <font>
      <b/>
      <u/>
      <sz val="12"/>
      <color rgb="FF000000"/>
      <name val="Arial"/>
      <family val="2"/>
    </font>
    <font>
      <b/>
      <sz val="10.5"/>
      <color rgb="FF000000"/>
      <name val="Helvetica"/>
    </font>
    <font>
      <sz val="11"/>
      <name val="Arial"/>
      <family val="2"/>
    </font>
    <font>
      <sz val="11"/>
      <color rgb="FF000000"/>
      <name val="Helvetica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Helvetica"/>
    </font>
    <font>
      <sz val="10"/>
      <name val="Helvetica"/>
    </font>
    <font>
      <sz val="12"/>
      <color rgb="FF000000"/>
      <name val="Helvetica"/>
    </font>
    <font>
      <b/>
      <sz val="12"/>
      <name val="Helvetica"/>
    </font>
    <font>
      <sz val="12"/>
      <name val="Helvetica"/>
    </font>
    <font>
      <b/>
      <sz val="12"/>
      <color rgb="FF000000"/>
      <name val="Helvetica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0"/>
      <color theme="3"/>
      <name val="Arial"/>
      <family val="2"/>
    </font>
    <font>
      <b/>
      <sz val="10"/>
      <color rgb="FF000000"/>
      <name val="Times New Roman"/>
      <family val="1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2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top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14" fontId="19" fillId="2" borderId="0" xfId="0" quotePrefix="1" applyNumberFormat="1" applyFont="1" applyFill="1" applyAlignment="1">
      <alignment vertical="center"/>
    </xf>
    <xf numFmtId="0" fontId="9" fillId="2" borderId="36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14" fontId="10" fillId="2" borderId="0" xfId="0" quotePrefix="1" applyNumberFormat="1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14" fontId="9" fillId="2" borderId="0" xfId="0" quotePrefix="1" applyNumberFormat="1" applyFont="1" applyFill="1" applyAlignment="1">
      <alignment horizontal="left" vertical="center" wrapText="1"/>
    </xf>
    <xf numFmtId="14" fontId="9" fillId="2" borderId="37" xfId="0" quotePrefix="1" applyNumberFormat="1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1" fontId="11" fillId="2" borderId="42" xfId="0" applyNumberFormat="1" applyFont="1" applyFill="1" applyBorder="1" applyAlignment="1">
      <alignment horizontal="center" vertical="center" shrinkToFit="1"/>
    </xf>
    <xf numFmtId="0" fontId="22" fillId="2" borderId="12" xfId="0" applyFont="1" applyFill="1" applyBorder="1" applyAlignment="1">
      <alignment horizontal="center" vertical="center" wrapText="1"/>
    </xf>
    <xf numFmtId="2" fontId="11" fillId="2" borderId="12" xfId="1" applyNumberFormat="1" applyFont="1" applyFill="1" applyBorder="1" applyAlignment="1">
      <alignment vertical="center" shrinkToFit="1"/>
    </xf>
    <xf numFmtId="43" fontId="11" fillId="2" borderId="12" xfId="1" applyFont="1" applyFill="1" applyBorder="1" applyAlignment="1">
      <alignment horizontal="center" vertical="center" shrinkToFit="1"/>
    </xf>
    <xf numFmtId="165" fontId="11" fillId="2" borderId="12" xfId="0" applyNumberFormat="1" applyFont="1" applyFill="1" applyBorder="1" applyAlignment="1">
      <alignment horizontal="center" vertical="center" shrinkToFit="1"/>
    </xf>
    <xf numFmtId="43" fontId="11" fillId="2" borderId="43" xfId="1" applyFont="1" applyFill="1" applyBorder="1" applyAlignment="1">
      <alignment horizontal="center" vertical="center" shrinkToFit="1"/>
    </xf>
    <xf numFmtId="1" fontId="11" fillId="2" borderId="44" xfId="0" applyNumberFormat="1" applyFont="1" applyFill="1" applyBorder="1" applyAlignment="1">
      <alignment horizontal="center" vertical="center" shrinkToFit="1"/>
    </xf>
    <xf numFmtId="0" fontId="22" fillId="2" borderId="11" xfId="0" applyFont="1" applyFill="1" applyBorder="1" applyAlignment="1">
      <alignment horizontal="center" vertical="center" wrapText="1"/>
    </xf>
    <xf numFmtId="43" fontId="22" fillId="2" borderId="11" xfId="1" applyFont="1" applyFill="1" applyBorder="1" applyAlignment="1">
      <alignment horizontal="center" vertical="center" wrapText="1"/>
    </xf>
    <xf numFmtId="43" fontId="11" fillId="2" borderId="11" xfId="1" applyFont="1" applyFill="1" applyBorder="1" applyAlignment="1">
      <alignment horizontal="center" vertical="center" shrinkToFit="1"/>
    </xf>
    <xf numFmtId="165" fontId="11" fillId="2" borderId="11" xfId="0" applyNumberFormat="1" applyFont="1" applyFill="1" applyBorder="1" applyAlignment="1">
      <alignment horizontal="center" vertical="center" shrinkToFit="1"/>
    </xf>
    <xf numFmtId="43" fontId="11" fillId="2" borderId="45" xfId="1" applyFont="1" applyFill="1" applyBorder="1" applyAlignment="1">
      <alignment horizontal="center" vertical="center" shrinkToFit="1"/>
    </xf>
    <xf numFmtId="0" fontId="22" fillId="2" borderId="8" xfId="0" applyFont="1" applyFill="1" applyBorder="1" applyAlignment="1">
      <alignment horizontal="center" vertical="center" wrapText="1"/>
    </xf>
    <xf numFmtId="43" fontId="11" fillId="2" borderId="9" xfId="1" applyFont="1" applyFill="1" applyBorder="1" applyAlignment="1">
      <alignment horizontal="center" vertical="center" shrinkToFit="1"/>
    </xf>
    <xf numFmtId="165" fontId="11" fillId="2" borderId="9" xfId="0" applyNumberFormat="1" applyFont="1" applyFill="1" applyBorder="1" applyAlignment="1">
      <alignment horizontal="center" vertical="center" shrinkToFit="1"/>
    </xf>
    <xf numFmtId="43" fontId="11" fillId="2" borderId="46" xfId="1" applyFont="1" applyFill="1" applyBorder="1" applyAlignment="1">
      <alignment horizontal="center" vertical="center" shrinkToFit="1"/>
    </xf>
    <xf numFmtId="0" fontId="22" fillId="2" borderId="6" xfId="0" applyFont="1" applyFill="1" applyBorder="1" applyAlignment="1">
      <alignment horizontal="center" vertical="center" wrapText="1"/>
    </xf>
    <xf numFmtId="43" fontId="11" fillId="2" borderId="6" xfId="1" applyFont="1" applyFill="1" applyBorder="1" applyAlignment="1">
      <alignment horizontal="center" vertical="center" shrinkToFit="1"/>
    </xf>
    <xf numFmtId="165" fontId="11" fillId="2" borderId="6" xfId="0" applyNumberFormat="1" applyFont="1" applyFill="1" applyBorder="1" applyAlignment="1">
      <alignment horizontal="center" vertical="center" shrinkToFit="1"/>
    </xf>
    <xf numFmtId="0" fontId="11" fillId="2" borderId="31" xfId="0" applyFont="1" applyFill="1" applyBorder="1" applyAlignment="1">
      <alignment horizontal="left" wrapText="1"/>
    </xf>
    <xf numFmtId="43" fontId="26" fillId="2" borderId="48" xfId="1" applyFont="1" applyFill="1" applyBorder="1" applyAlignment="1">
      <alignment horizontal="left" vertical="center" indent="1" shrinkToFit="1"/>
    </xf>
    <xf numFmtId="0" fontId="28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 wrapText="1"/>
    </xf>
    <xf numFmtId="0" fontId="11" fillId="2" borderId="56" xfId="0" applyFont="1" applyFill="1" applyBorder="1" applyAlignment="1">
      <alignment horizontal="left" vertical="center" wrapText="1"/>
    </xf>
    <xf numFmtId="0" fontId="11" fillId="2" borderId="58" xfId="0" applyFont="1" applyFill="1" applyBorder="1" applyAlignment="1">
      <alignment vertical="center" wrapText="1"/>
    </xf>
    <xf numFmtId="0" fontId="28" fillId="2" borderId="65" xfId="0" applyFont="1" applyFill="1" applyBorder="1" applyAlignment="1">
      <alignment horizontal="left" vertical="top" wrapText="1"/>
    </xf>
    <xf numFmtId="0" fontId="28" fillId="2" borderId="22" xfId="0" applyFont="1" applyFill="1" applyBorder="1" applyAlignment="1">
      <alignment horizontal="left" vertical="top" wrapText="1"/>
    </xf>
    <xf numFmtId="0" fontId="28" fillId="2" borderId="66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vertical="center" wrapText="1"/>
    </xf>
    <xf numFmtId="0" fontId="11" fillId="2" borderId="25" xfId="0" applyFont="1" applyFill="1" applyBorder="1" applyAlignment="1">
      <alignment horizontal="left" wrapText="1"/>
    </xf>
    <xf numFmtId="0" fontId="23" fillId="2" borderId="25" xfId="0" applyFont="1" applyFill="1" applyBorder="1" applyAlignment="1">
      <alignment vertical="center" wrapText="1"/>
    </xf>
    <xf numFmtId="43" fontId="26" fillId="2" borderId="17" xfId="1" applyFont="1" applyFill="1" applyBorder="1" applyAlignment="1">
      <alignment horizontal="left" vertical="center" indent="1" shrinkToFit="1"/>
    </xf>
    <xf numFmtId="0" fontId="4" fillId="0" borderId="0" xfId="0" applyFont="1" applyAlignment="1">
      <alignment vertical="top"/>
    </xf>
    <xf numFmtId="0" fontId="12" fillId="2" borderId="48" xfId="0" applyFont="1" applyFill="1" applyBorder="1" applyAlignment="1">
      <alignment horizontal="center" vertical="center" wrapText="1"/>
    </xf>
    <xf numFmtId="43" fontId="11" fillId="2" borderId="43" xfId="1" applyFont="1" applyFill="1" applyBorder="1" applyAlignment="1">
      <alignment vertical="center" shrinkToFit="1"/>
    </xf>
    <xf numFmtId="43" fontId="11" fillId="2" borderId="45" xfId="1" applyFont="1" applyFill="1" applyBorder="1" applyAlignment="1">
      <alignment vertical="center" shrinkToFit="1"/>
    </xf>
    <xf numFmtId="43" fontId="11" fillId="2" borderId="63" xfId="1" applyFont="1" applyFill="1" applyBorder="1" applyAlignment="1">
      <alignment vertical="center" shrinkToFit="1"/>
    </xf>
    <xf numFmtId="0" fontId="4" fillId="0" borderId="35" xfId="0" applyFont="1" applyBorder="1" applyAlignment="1">
      <alignment horizontal="left" vertical="top"/>
    </xf>
    <xf numFmtId="0" fontId="22" fillId="2" borderId="17" xfId="0" applyFont="1" applyFill="1" applyBorder="1" applyAlignment="1">
      <alignment horizontal="center" vertical="center" wrapText="1"/>
    </xf>
    <xf numFmtId="2" fontId="11" fillId="2" borderId="17" xfId="1" applyNumberFormat="1" applyFont="1" applyFill="1" applyBorder="1" applyAlignment="1">
      <alignment vertical="center" shrinkToFit="1"/>
    </xf>
    <xf numFmtId="43" fontId="11" fillId="2" borderId="17" xfId="1" applyFont="1" applyFill="1" applyBorder="1" applyAlignment="1">
      <alignment horizontal="center" vertical="center" shrinkToFit="1"/>
    </xf>
    <xf numFmtId="43" fontId="22" fillId="2" borderId="17" xfId="1" applyFont="1" applyFill="1" applyBorder="1" applyAlignment="1">
      <alignment vertical="center" wrapText="1"/>
    </xf>
    <xf numFmtId="1" fontId="11" fillId="2" borderId="64" xfId="0" applyNumberFormat="1" applyFont="1" applyFill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top"/>
    </xf>
    <xf numFmtId="0" fontId="28" fillId="2" borderId="72" xfId="0" applyFont="1" applyFill="1" applyBorder="1"/>
    <xf numFmtId="0" fontId="28" fillId="2" borderId="73" xfId="0" applyFont="1" applyFill="1" applyBorder="1"/>
    <xf numFmtId="0" fontId="28" fillId="2" borderId="74" xfId="0" applyFont="1" applyFill="1" applyBorder="1"/>
    <xf numFmtId="0" fontId="4" fillId="0" borderId="0" xfId="0" applyFont="1" applyAlignment="1">
      <alignment horizontal="left"/>
    </xf>
    <xf numFmtId="43" fontId="22" fillId="2" borderId="24" xfId="1" applyFont="1" applyFill="1" applyBorder="1" applyAlignment="1">
      <alignment vertical="center" wrapText="1"/>
    </xf>
    <xf numFmtId="0" fontId="4" fillId="0" borderId="17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vertical="top"/>
    </xf>
    <xf numFmtId="0" fontId="2" fillId="0" borderId="17" xfId="0" applyFont="1" applyBorder="1" applyAlignment="1">
      <alignment horizontal="left" vertical="top"/>
    </xf>
    <xf numFmtId="164" fontId="4" fillId="0" borderId="17" xfId="0" applyNumberFormat="1" applyFont="1" applyBorder="1" applyAlignment="1">
      <alignment horizontal="left" vertical="top"/>
    </xf>
    <xf numFmtId="0" fontId="31" fillId="0" borderId="17" xfId="0" applyFont="1" applyBorder="1" applyAlignment="1">
      <alignment horizontal="center" vertical="top"/>
    </xf>
    <xf numFmtId="0" fontId="23" fillId="2" borderId="33" xfId="0" applyFont="1" applyFill="1" applyBorder="1" applyAlignment="1">
      <alignment vertical="center" wrapText="1"/>
    </xf>
    <xf numFmtId="43" fontId="32" fillId="2" borderId="24" xfId="1" applyFont="1" applyFill="1" applyBorder="1" applyAlignment="1">
      <alignment horizontal="left" vertical="center" indent="1" shrinkToFit="1"/>
    </xf>
    <xf numFmtId="14" fontId="11" fillId="2" borderId="17" xfId="1" applyNumberFormat="1" applyFont="1" applyFill="1" applyBorder="1" applyAlignment="1">
      <alignment vertical="center" shrinkToFit="1"/>
    </xf>
    <xf numFmtId="0" fontId="23" fillId="2" borderId="24" xfId="0" applyFont="1" applyFill="1" applyBorder="1" applyAlignment="1">
      <alignment vertical="center" wrapText="1"/>
    </xf>
    <xf numFmtId="0" fontId="23" fillId="2" borderId="35" xfId="0" applyFont="1" applyFill="1" applyBorder="1" applyAlignment="1">
      <alignment vertical="center" wrapText="1"/>
    </xf>
    <xf numFmtId="43" fontId="11" fillId="2" borderId="17" xfId="1" applyFont="1" applyFill="1" applyBorder="1" applyAlignment="1">
      <alignment vertical="center" shrinkToFit="1"/>
    </xf>
    <xf numFmtId="0" fontId="11" fillId="2" borderId="55" xfId="0" applyFont="1" applyFill="1" applyBorder="1" applyAlignment="1">
      <alignment horizontal="left" vertical="center" wrapText="1" indent="1"/>
    </xf>
    <xf numFmtId="0" fontId="11" fillId="2" borderId="56" xfId="0" applyFont="1" applyFill="1" applyBorder="1" applyAlignment="1">
      <alignment horizontal="left" vertical="center" wrapText="1" indent="1"/>
    </xf>
    <xf numFmtId="0" fontId="11" fillId="2" borderId="56" xfId="0" applyFont="1" applyFill="1" applyBorder="1" applyAlignment="1">
      <alignment horizontal="left" vertical="center" wrapText="1"/>
    </xf>
    <xf numFmtId="0" fontId="28" fillId="2" borderId="61" xfId="0" applyFont="1" applyFill="1" applyBorder="1" applyAlignment="1">
      <alignment horizontal="left" vertical="top" wrapText="1"/>
    </xf>
    <xf numFmtId="0" fontId="28" fillId="2" borderId="25" xfId="0" applyFont="1" applyFill="1" applyBorder="1" applyAlignment="1">
      <alignment horizontal="left" vertical="top" wrapText="1"/>
    </xf>
    <xf numFmtId="0" fontId="28" fillId="2" borderId="35" xfId="0" applyFont="1" applyFill="1" applyBorder="1" applyAlignment="1">
      <alignment horizontal="left" vertical="top" wrapText="1"/>
    </xf>
    <xf numFmtId="0" fontId="16" fillId="2" borderId="62" xfId="0" applyFont="1" applyFill="1" applyBorder="1" applyAlignment="1">
      <alignment horizontal="center" vertical="center" wrapText="1"/>
    </xf>
    <xf numFmtId="0" fontId="3" fillId="2" borderId="59" xfId="0" applyFont="1" applyFill="1" applyBorder="1" applyAlignment="1">
      <alignment horizontal="center" vertical="center" wrapText="1"/>
    </xf>
    <xf numFmtId="0" fontId="16" fillId="2" borderId="59" xfId="0" applyFont="1" applyFill="1" applyBorder="1" applyAlignment="1">
      <alignment horizontal="center" vertical="center" wrapText="1"/>
    </xf>
    <xf numFmtId="0" fontId="16" fillId="2" borderId="63" xfId="0" applyFont="1" applyFill="1" applyBorder="1" applyAlignment="1">
      <alignment horizontal="center" vertical="center" wrapText="1"/>
    </xf>
    <xf numFmtId="0" fontId="16" fillId="2" borderId="6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48" xfId="0" applyFont="1" applyFill="1" applyBorder="1" applyAlignment="1">
      <alignment horizontal="center" vertical="center" wrapText="1"/>
    </xf>
    <xf numFmtId="0" fontId="11" fillId="2" borderId="47" xfId="0" applyFont="1" applyFill="1" applyBorder="1" applyAlignment="1">
      <alignment horizontal="left" wrapText="1"/>
    </xf>
    <xf numFmtId="0" fontId="11" fillId="2" borderId="31" xfId="0" applyFont="1" applyFill="1" applyBorder="1" applyAlignment="1">
      <alignment horizontal="left" wrapText="1"/>
    </xf>
    <xf numFmtId="0" fontId="23" fillId="2" borderId="31" xfId="0" applyFont="1" applyFill="1" applyBorder="1" applyAlignment="1">
      <alignment horizontal="left" vertical="center" wrapText="1" indent="6"/>
    </xf>
    <xf numFmtId="0" fontId="27" fillId="2" borderId="49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50" xfId="0" applyFont="1" applyFill="1" applyBorder="1" applyAlignment="1">
      <alignment horizontal="left" vertical="top" wrapText="1"/>
    </xf>
    <xf numFmtId="0" fontId="27" fillId="2" borderId="54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27" fillId="2" borderId="57" xfId="0" applyFont="1" applyFill="1" applyBorder="1" applyAlignment="1">
      <alignment horizontal="left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43" fontId="22" fillId="2" borderId="7" xfId="1" applyFont="1" applyFill="1" applyBorder="1" applyAlignment="1">
      <alignment horizontal="center" vertical="center" wrapText="1"/>
    </xf>
    <xf numFmtId="43" fontId="22" fillId="2" borderId="8" xfId="1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43" fontId="22" fillId="2" borderId="3" xfId="1" applyFont="1" applyFill="1" applyBorder="1" applyAlignment="1">
      <alignment horizontal="center" vertical="center" wrapText="1"/>
    </xf>
    <xf numFmtId="43" fontId="22" fillId="2" borderId="5" xfId="1" applyFont="1" applyFill="1" applyBorder="1" applyAlignment="1">
      <alignment horizontal="center" vertical="center" wrapText="1"/>
    </xf>
    <xf numFmtId="43" fontId="22" fillId="2" borderId="13" xfId="1" applyFont="1" applyFill="1" applyBorder="1" applyAlignment="1">
      <alignment horizontal="center" vertical="center" wrapText="1"/>
    </xf>
    <xf numFmtId="43" fontId="22" fillId="2" borderId="15" xfId="1" applyFont="1" applyFill="1" applyBorder="1" applyAlignment="1">
      <alignment horizontal="center" vertical="center" wrapText="1"/>
    </xf>
    <xf numFmtId="43" fontId="22" fillId="2" borderId="16" xfId="1" applyFont="1" applyFill="1" applyBorder="1" applyAlignment="1">
      <alignment horizontal="center" vertical="center" wrapText="1"/>
    </xf>
    <xf numFmtId="43" fontId="22" fillId="2" borderId="10" xfId="1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left" vertical="center" wrapText="1"/>
    </xf>
    <xf numFmtId="0" fontId="22" fillId="2" borderId="14" xfId="0" applyFont="1" applyFill="1" applyBorder="1" applyAlignment="1">
      <alignment horizontal="left" vertical="center" wrapText="1"/>
    </xf>
    <xf numFmtId="0" fontId="22" fillId="2" borderId="15" xfId="0" applyFont="1" applyFill="1" applyBorder="1" applyAlignment="1">
      <alignment horizontal="left" vertical="center" wrapText="1"/>
    </xf>
    <xf numFmtId="0" fontId="18" fillId="2" borderId="36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14" fontId="19" fillId="2" borderId="0" xfId="0" quotePrefix="1" applyNumberFormat="1" applyFont="1" applyFill="1" applyAlignment="1">
      <alignment horizontal="left" vertical="center" wrapText="1"/>
    </xf>
    <xf numFmtId="14" fontId="19" fillId="2" borderId="37" xfId="0" quotePrefix="1" applyNumberFormat="1" applyFont="1" applyFill="1" applyBorder="1" applyAlignment="1">
      <alignment horizontal="left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4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21" fillId="2" borderId="28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21" fillId="2" borderId="39" xfId="0" applyFont="1" applyFill="1" applyBorder="1" applyAlignment="1">
      <alignment horizontal="center" vertical="center" wrapText="1"/>
    </xf>
    <xf numFmtId="0" fontId="21" fillId="2" borderId="41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top" wrapText="1"/>
    </xf>
    <xf numFmtId="0" fontId="7" fillId="2" borderId="33" xfId="0" applyFont="1" applyFill="1" applyBorder="1" applyAlignment="1">
      <alignment horizontal="center" vertical="top" wrapText="1"/>
    </xf>
    <xf numFmtId="0" fontId="7" fillId="2" borderId="34" xfId="0" applyFont="1" applyFill="1" applyBorder="1" applyAlignment="1">
      <alignment horizontal="center" vertical="top" wrapText="1"/>
    </xf>
    <xf numFmtId="0" fontId="19" fillId="2" borderId="0" xfId="0" applyFont="1" applyFill="1" applyAlignment="1">
      <alignment horizontal="left" vertical="center" wrapText="1"/>
    </xf>
    <xf numFmtId="0" fontId="19" fillId="2" borderId="37" xfId="0" applyFont="1" applyFill="1" applyBorder="1" applyAlignment="1">
      <alignment horizontal="left" vertical="center" wrapText="1"/>
    </xf>
    <xf numFmtId="0" fontId="25" fillId="2" borderId="25" xfId="0" applyFont="1" applyFill="1" applyBorder="1" applyAlignment="1">
      <alignment horizontal="center" vertical="center" wrapText="1"/>
    </xf>
    <xf numFmtId="0" fontId="25" fillId="2" borderId="26" xfId="0" applyFont="1" applyFill="1" applyBorder="1" applyAlignment="1">
      <alignment horizontal="center" vertical="center" wrapText="1"/>
    </xf>
    <xf numFmtId="43" fontId="11" fillId="2" borderId="13" xfId="1" applyFont="1" applyFill="1" applyBorder="1" applyAlignment="1">
      <alignment horizontal="center" vertical="center" shrinkToFit="1"/>
    </xf>
    <xf numFmtId="43" fontId="11" fillId="2" borderId="14" xfId="1" applyFont="1" applyFill="1" applyBorder="1" applyAlignment="1">
      <alignment horizontal="center" vertical="center" shrinkToFit="1"/>
    </xf>
    <xf numFmtId="43" fontId="11" fillId="2" borderId="16" xfId="1" applyFont="1" applyFill="1" applyBorder="1" applyAlignment="1">
      <alignment horizontal="center" vertical="center" shrinkToFit="1"/>
    </xf>
    <xf numFmtId="43" fontId="11" fillId="2" borderId="0" xfId="1" applyFont="1" applyFill="1" applyBorder="1" applyAlignment="1">
      <alignment horizontal="center" vertical="center" shrinkToFit="1"/>
    </xf>
    <xf numFmtId="43" fontId="11" fillId="2" borderId="68" xfId="1" applyFont="1" applyFill="1" applyBorder="1" applyAlignment="1">
      <alignment horizontal="center" vertical="center" shrinkToFit="1"/>
    </xf>
    <xf numFmtId="43" fontId="11" fillId="2" borderId="22" xfId="1" applyFont="1" applyFill="1" applyBorder="1" applyAlignment="1">
      <alignment horizontal="center" vertical="center" shrinkToFit="1"/>
    </xf>
    <xf numFmtId="0" fontId="21" fillId="2" borderId="23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2" fontId="11" fillId="2" borderId="14" xfId="1" applyNumberFormat="1" applyFont="1" applyFill="1" applyBorder="1" applyAlignment="1">
      <alignment horizontal="left" vertical="center" shrinkToFit="1"/>
    </xf>
    <xf numFmtId="2" fontId="11" fillId="2" borderId="0" xfId="1" applyNumberFormat="1" applyFont="1" applyFill="1" applyBorder="1" applyAlignment="1">
      <alignment horizontal="left" vertical="center" shrinkToFit="1"/>
    </xf>
    <xf numFmtId="43" fontId="11" fillId="2" borderId="43" xfId="1" applyFont="1" applyFill="1" applyBorder="1" applyAlignment="1">
      <alignment horizontal="center" vertical="center" shrinkToFit="1"/>
    </xf>
    <xf numFmtId="43" fontId="11" fillId="2" borderId="45" xfId="1" applyFont="1" applyFill="1" applyBorder="1" applyAlignment="1">
      <alignment horizontal="center" vertical="center" shrinkToFit="1"/>
    </xf>
    <xf numFmtId="0" fontId="23" fillId="2" borderId="32" xfId="0" applyFont="1" applyFill="1" applyBorder="1" applyAlignment="1">
      <alignment horizontal="left" vertical="center" wrapText="1"/>
    </xf>
    <xf numFmtId="0" fontId="23" fillId="2" borderId="33" xfId="0" applyFont="1" applyFill="1" applyBorder="1" applyAlignment="1">
      <alignment horizontal="left" vertical="center" wrapText="1"/>
    </xf>
    <xf numFmtId="0" fontId="23" fillId="2" borderId="34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left" vertical="center" wrapText="1"/>
    </xf>
    <xf numFmtId="0" fontId="11" fillId="2" borderId="61" xfId="0" applyFont="1" applyFill="1" applyBorder="1" applyAlignment="1">
      <alignment horizontal="left" wrapText="1"/>
    </xf>
    <xf numFmtId="0" fontId="11" fillId="2" borderId="25" xfId="0" applyFont="1" applyFill="1" applyBorder="1" applyAlignment="1">
      <alignment horizontal="left" wrapText="1"/>
    </xf>
    <xf numFmtId="0" fontId="12" fillId="2" borderId="9" xfId="0" applyFont="1" applyFill="1" applyBorder="1" applyAlignment="1">
      <alignment horizontal="center" vertical="center" wrapText="1"/>
    </xf>
    <xf numFmtId="0" fontId="28" fillId="2" borderId="51" xfId="0" applyFont="1" applyFill="1" applyBorder="1" applyAlignment="1">
      <alignment horizontal="center" vertical="top" wrapText="1"/>
    </xf>
    <xf numFmtId="0" fontId="28" fillId="2" borderId="52" xfId="0" applyFont="1" applyFill="1" applyBorder="1" applyAlignment="1">
      <alignment horizontal="center" vertical="top" wrapText="1"/>
    </xf>
    <xf numFmtId="0" fontId="28" fillId="2" borderId="53" xfId="0" applyFont="1" applyFill="1" applyBorder="1" applyAlignment="1">
      <alignment horizontal="center" vertical="top" wrapText="1"/>
    </xf>
    <xf numFmtId="0" fontId="7" fillId="2" borderId="69" xfId="0" applyFont="1" applyFill="1" applyBorder="1" applyAlignment="1">
      <alignment horizontal="center" vertical="top" wrapText="1"/>
    </xf>
    <xf numFmtId="0" fontId="7" fillId="2" borderId="70" xfId="0" applyFont="1" applyFill="1" applyBorder="1" applyAlignment="1">
      <alignment horizontal="center" vertical="top" wrapText="1"/>
    </xf>
    <xf numFmtId="0" fontId="7" fillId="2" borderId="71" xfId="0" applyFont="1" applyFill="1" applyBorder="1" applyAlignment="1">
      <alignment horizontal="center" vertical="top" wrapText="1"/>
    </xf>
    <xf numFmtId="166" fontId="19" fillId="2" borderId="0" xfId="0" quotePrefix="1" applyNumberFormat="1" applyFont="1" applyFill="1" applyAlignment="1">
      <alignment horizontal="left" vertical="center" wrapText="1"/>
    </xf>
    <xf numFmtId="166" fontId="19" fillId="2" borderId="37" xfId="0" quotePrefix="1" applyNumberFormat="1" applyFont="1" applyFill="1" applyBorder="1" applyAlignment="1">
      <alignment horizontal="left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2" fontId="11" fillId="2" borderId="22" xfId="1" applyNumberFormat="1" applyFont="1" applyFill="1" applyBorder="1" applyAlignment="1">
      <alignment horizontal="left" vertical="center" shrinkToFit="1"/>
    </xf>
    <xf numFmtId="43" fontId="11" fillId="2" borderId="63" xfId="1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left" vertical="top" wrapText="1"/>
    </xf>
    <xf numFmtId="0" fontId="27" fillId="2" borderId="55" xfId="0" applyFont="1" applyFill="1" applyBorder="1" applyAlignment="1">
      <alignment horizontal="left" vertical="top" wrapText="1"/>
    </xf>
    <xf numFmtId="0" fontId="7" fillId="2" borderId="56" xfId="0" applyFont="1" applyFill="1" applyBorder="1" applyAlignment="1">
      <alignment horizontal="left" vertical="top" wrapText="1"/>
    </xf>
    <xf numFmtId="0" fontId="7" fillId="2" borderId="58" xfId="0" applyFont="1" applyFill="1" applyBorder="1" applyAlignment="1">
      <alignment horizontal="left" vertical="top" wrapText="1"/>
    </xf>
    <xf numFmtId="14" fontId="19" fillId="2" borderId="56" xfId="0" quotePrefix="1" applyNumberFormat="1" applyFont="1" applyFill="1" applyBorder="1" applyAlignment="1">
      <alignment horizontal="left" vertical="center"/>
    </xf>
    <xf numFmtId="2" fontId="11" fillId="2" borderId="17" xfId="1" applyNumberFormat="1" applyFont="1" applyFill="1" applyBorder="1" applyAlignment="1">
      <alignment horizontal="left" vertical="center" shrinkToFit="1"/>
    </xf>
    <xf numFmtId="0" fontId="12" fillId="2" borderId="15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top"/>
    </xf>
    <xf numFmtId="43" fontId="11" fillId="2" borderId="48" xfId="1" applyFont="1" applyFill="1" applyBorder="1" applyAlignment="1">
      <alignment horizontal="center" vertical="center" shrinkToFit="1"/>
    </xf>
    <xf numFmtId="0" fontId="11" fillId="2" borderId="61" xfId="0" applyFont="1" applyFill="1" applyBorder="1" applyAlignment="1">
      <alignment horizontal="left"/>
    </xf>
    <xf numFmtId="0" fontId="11" fillId="2" borderId="25" xfId="0" applyFont="1" applyFill="1" applyBorder="1" applyAlignment="1">
      <alignment horizontal="left"/>
    </xf>
    <xf numFmtId="0" fontId="26" fillId="2" borderId="33" xfId="0" applyFont="1" applyFill="1" applyBorder="1" applyAlignment="1">
      <alignment horizontal="center" vertical="center" wrapText="1"/>
    </xf>
    <xf numFmtId="0" fontId="26" fillId="2" borderId="34" xfId="0" applyFont="1" applyFill="1" applyBorder="1" applyAlignment="1">
      <alignment horizontal="center" vertical="center" wrapText="1"/>
    </xf>
    <xf numFmtId="2" fontId="11" fillId="2" borderId="17" xfId="1" applyNumberFormat="1" applyFont="1" applyFill="1" applyBorder="1" applyAlignment="1">
      <alignment horizontal="center" vertical="center" shrinkToFit="1"/>
    </xf>
    <xf numFmtId="0" fontId="13" fillId="2" borderId="69" xfId="0" applyFont="1" applyFill="1" applyBorder="1" applyAlignment="1">
      <alignment horizontal="center" vertical="top"/>
    </xf>
    <xf numFmtId="0" fontId="7" fillId="2" borderId="70" xfId="0" applyFont="1" applyFill="1" applyBorder="1" applyAlignment="1">
      <alignment horizontal="center" vertical="top"/>
    </xf>
    <xf numFmtId="0" fontId="7" fillId="2" borderId="71" xfId="0" applyFont="1" applyFill="1" applyBorder="1" applyAlignment="1">
      <alignment horizontal="center" vertical="top"/>
    </xf>
    <xf numFmtId="0" fontId="19" fillId="2" borderId="60" xfId="0" applyFont="1" applyFill="1" applyBorder="1" applyAlignment="1">
      <alignment horizontal="left" vertical="center"/>
    </xf>
    <xf numFmtId="166" fontId="19" fillId="2" borderId="0" xfId="0" applyNumberFormat="1" applyFont="1" applyFill="1" applyAlignment="1">
      <alignment horizontal="left" vertical="center" wrapText="1"/>
    </xf>
    <xf numFmtId="0" fontId="19" fillId="2" borderId="0" xfId="0" quotePrefix="1" applyFont="1" applyFill="1" applyAlignment="1">
      <alignment horizontal="left" vertical="center" wrapText="1"/>
    </xf>
    <xf numFmtId="0" fontId="19" fillId="2" borderId="37" xfId="0" quotePrefix="1" applyFont="1" applyFill="1" applyBorder="1" applyAlignment="1">
      <alignment horizontal="left" vertical="center" wrapText="1"/>
    </xf>
    <xf numFmtId="0" fontId="15" fillId="0" borderId="23" xfId="0" applyFont="1" applyBorder="1" applyAlignment="1">
      <alignment horizontal="center" vertical="center" wrapText="1"/>
    </xf>
    <xf numFmtId="0" fontId="28" fillId="2" borderId="73" xfId="0" applyFont="1" applyFill="1" applyBorder="1" applyAlignment="1">
      <alignment horizontal="center"/>
    </xf>
    <xf numFmtId="14" fontId="11" fillId="2" borderId="24" xfId="1" applyNumberFormat="1" applyFont="1" applyFill="1" applyBorder="1" applyAlignment="1">
      <alignment horizontal="center" vertical="center" shrinkToFit="1"/>
    </xf>
    <xf numFmtId="14" fontId="11" fillId="2" borderId="35" xfId="1" applyNumberFormat="1" applyFont="1" applyFill="1" applyBorder="1" applyAlignment="1">
      <alignment horizontal="center" vertical="center" shrinkToFit="1"/>
    </xf>
    <xf numFmtId="0" fontId="27" fillId="2" borderId="36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7" fillId="2" borderId="37" xfId="0" applyFont="1" applyFill="1" applyBorder="1" applyAlignment="1">
      <alignment horizontal="left" vertical="top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15240</xdr:rowOff>
    </xdr:from>
    <xdr:to>
      <xdr:col>1</xdr:col>
      <xdr:colOff>182880</xdr:colOff>
      <xdr:row>0</xdr:row>
      <xdr:rowOff>655320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EFB643-C6CF-A545-946C-1D1A4CB5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5240"/>
          <a:ext cx="640080" cy="640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zoomScaleNormal="100" workbookViewId="0">
      <selection activeCell="K16" sqref="K16:N16"/>
    </sheetView>
  </sheetViews>
  <sheetFormatPr defaultRowHeight="13.2" x14ac:dyDescent="0.25"/>
  <cols>
    <col min="1" max="1" width="7.109375" bestFit="1" customWidth="1"/>
    <col min="2" max="2" width="14.109375" customWidth="1"/>
    <col min="3" max="3" width="2.6640625" customWidth="1"/>
    <col min="4" max="4" width="19.109375" customWidth="1"/>
    <col min="5" max="5" width="10" customWidth="1"/>
    <col min="6" max="6" width="13.33203125" customWidth="1"/>
    <col min="7" max="7" width="10.6640625" customWidth="1"/>
    <col min="8" max="8" width="14.33203125" customWidth="1"/>
    <col min="9" max="9" width="16" customWidth="1"/>
    <col min="10" max="10" width="12.33203125" customWidth="1"/>
    <col min="11" max="11" width="12" customWidth="1"/>
    <col min="12" max="12" width="2.6640625" customWidth="1"/>
    <col min="13" max="13" width="15.109375" customWidth="1"/>
    <col min="14" max="14" width="17.109375" customWidth="1"/>
    <col min="15" max="15" width="15.6640625" bestFit="1" customWidth="1"/>
  </cols>
  <sheetData>
    <row r="1" spans="1:15" ht="53.4" customHeight="1" x14ac:dyDescent="0.25">
      <c r="A1" s="141" t="s">
        <v>10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3"/>
    </row>
    <row r="2" spans="1:15" s="4" customFormat="1" ht="16.649999999999999" customHeight="1" x14ac:dyDescent="0.25">
      <c r="A2" s="121" t="s">
        <v>18</v>
      </c>
      <c r="B2" s="122"/>
      <c r="C2" s="7" t="s">
        <v>3</v>
      </c>
      <c r="D2" s="8" t="s">
        <v>4</v>
      </c>
      <c r="E2" s="9"/>
      <c r="F2" s="9"/>
      <c r="G2" s="9"/>
      <c r="H2" s="9"/>
      <c r="I2" s="9"/>
      <c r="J2" s="122" t="s">
        <v>29</v>
      </c>
      <c r="K2" s="122"/>
      <c r="L2" s="10" t="s">
        <v>3</v>
      </c>
      <c r="M2" s="144" t="s">
        <v>14</v>
      </c>
      <c r="N2" s="145"/>
    </row>
    <row r="3" spans="1:15" s="4" customFormat="1" ht="16.649999999999999" customHeight="1" x14ac:dyDescent="0.25">
      <c r="A3" s="121" t="s">
        <v>5</v>
      </c>
      <c r="B3" s="122"/>
      <c r="C3" s="7" t="s">
        <v>3</v>
      </c>
      <c r="D3" s="8" t="s">
        <v>19</v>
      </c>
      <c r="E3" s="9"/>
      <c r="F3" s="9"/>
      <c r="G3" s="9"/>
      <c r="H3" s="9"/>
      <c r="I3" s="9"/>
      <c r="J3" s="122" t="s">
        <v>6</v>
      </c>
      <c r="K3" s="122"/>
      <c r="L3" s="10" t="s">
        <v>3</v>
      </c>
      <c r="M3" s="144" t="s">
        <v>15</v>
      </c>
      <c r="N3" s="145"/>
    </row>
    <row r="4" spans="1:15" s="5" customFormat="1" ht="16.649999999999999" customHeight="1" x14ac:dyDescent="0.25">
      <c r="A4" s="121" t="s">
        <v>17</v>
      </c>
      <c r="B4" s="122"/>
      <c r="C4" s="7" t="s">
        <v>3</v>
      </c>
      <c r="D4" s="11" t="s">
        <v>8</v>
      </c>
      <c r="E4" s="9"/>
      <c r="F4" s="9"/>
      <c r="G4" s="9"/>
      <c r="H4" s="9"/>
      <c r="I4" s="9"/>
      <c r="J4" s="122" t="s">
        <v>16</v>
      </c>
      <c r="K4" s="122"/>
      <c r="L4" s="10" t="s">
        <v>3</v>
      </c>
      <c r="M4" s="123" t="s">
        <v>7</v>
      </c>
      <c r="N4" s="124"/>
    </row>
    <row r="5" spans="1:15" s="3" customFormat="1" ht="9.75" customHeight="1" x14ac:dyDescent="0.25">
      <c r="A5" s="12"/>
      <c r="B5" s="13"/>
      <c r="C5" s="13"/>
      <c r="D5" s="14"/>
      <c r="E5" s="15"/>
      <c r="F5" s="15"/>
      <c r="G5" s="15"/>
      <c r="H5" s="15"/>
      <c r="I5" s="15"/>
      <c r="J5" s="13"/>
      <c r="K5" s="15"/>
      <c r="L5" s="15"/>
      <c r="M5" s="16"/>
      <c r="N5" s="17"/>
    </row>
    <row r="6" spans="1:15" s="2" customFormat="1" ht="30.6" customHeight="1" x14ac:dyDescent="0.25">
      <c r="A6" s="125" t="s">
        <v>20</v>
      </c>
      <c r="B6" s="127" t="s">
        <v>11</v>
      </c>
      <c r="C6" s="128"/>
      <c r="D6" s="129"/>
      <c r="E6" s="133" t="s">
        <v>0</v>
      </c>
      <c r="F6" s="135" t="s">
        <v>21</v>
      </c>
      <c r="G6" s="135" t="s">
        <v>22</v>
      </c>
      <c r="H6" s="135" t="s">
        <v>23</v>
      </c>
      <c r="I6" s="135" t="s">
        <v>24</v>
      </c>
      <c r="J6" s="137" t="s">
        <v>12</v>
      </c>
      <c r="K6" s="138"/>
      <c r="L6" s="127" t="s">
        <v>13</v>
      </c>
      <c r="M6" s="129"/>
      <c r="N6" s="139" t="s">
        <v>25</v>
      </c>
    </row>
    <row r="7" spans="1:15" s="2" customFormat="1" ht="24.75" customHeight="1" x14ac:dyDescent="0.25">
      <c r="A7" s="126"/>
      <c r="B7" s="130"/>
      <c r="C7" s="131"/>
      <c r="D7" s="132"/>
      <c r="E7" s="134"/>
      <c r="F7" s="136"/>
      <c r="G7" s="136"/>
      <c r="H7" s="136"/>
      <c r="I7" s="136"/>
      <c r="J7" s="18" t="s">
        <v>1</v>
      </c>
      <c r="K7" s="18" t="s">
        <v>2</v>
      </c>
      <c r="L7" s="130"/>
      <c r="M7" s="132"/>
      <c r="N7" s="140"/>
    </row>
    <row r="8" spans="1:15" s="4" customFormat="1" ht="18" customHeight="1" x14ac:dyDescent="0.25">
      <c r="A8" s="19">
        <v>1</v>
      </c>
      <c r="B8" s="118"/>
      <c r="C8" s="119"/>
      <c r="D8" s="120"/>
      <c r="E8" s="20"/>
      <c r="F8" s="21">
        <v>0</v>
      </c>
      <c r="G8" s="21">
        <v>0</v>
      </c>
      <c r="H8" s="21">
        <v>0</v>
      </c>
      <c r="I8" s="22">
        <v>0</v>
      </c>
      <c r="J8" s="23">
        <v>44177</v>
      </c>
      <c r="K8" s="21">
        <v>0</v>
      </c>
      <c r="L8" s="114">
        <v>0</v>
      </c>
      <c r="M8" s="115"/>
      <c r="N8" s="24">
        <f>L8*K8</f>
        <v>0</v>
      </c>
    </row>
    <row r="9" spans="1:15" s="4" customFormat="1" ht="18" customHeight="1" x14ac:dyDescent="0.25">
      <c r="A9" s="25">
        <v>2</v>
      </c>
      <c r="B9" s="104"/>
      <c r="C9" s="105"/>
      <c r="D9" s="106"/>
      <c r="E9" s="26"/>
      <c r="F9" s="27"/>
      <c r="G9" s="28"/>
      <c r="H9" s="28"/>
      <c r="I9" s="28"/>
      <c r="J9" s="29"/>
      <c r="K9" s="28"/>
      <c r="L9" s="116"/>
      <c r="M9" s="117"/>
      <c r="N9" s="30"/>
    </row>
    <row r="10" spans="1:15" s="4" customFormat="1" ht="18" customHeight="1" x14ac:dyDescent="0.25">
      <c r="A10" s="25">
        <v>3</v>
      </c>
      <c r="B10" s="104"/>
      <c r="C10" s="105"/>
      <c r="D10" s="106"/>
      <c r="E10" s="26"/>
      <c r="F10" s="27"/>
      <c r="G10" s="28"/>
      <c r="H10" s="28"/>
      <c r="I10" s="28"/>
      <c r="J10" s="29"/>
      <c r="K10" s="28"/>
      <c r="L10" s="116"/>
      <c r="M10" s="117"/>
      <c r="N10" s="30"/>
      <c r="O10" s="6"/>
    </row>
    <row r="11" spans="1:15" s="4" customFormat="1" ht="18" customHeight="1" x14ac:dyDescent="0.25">
      <c r="A11" s="25">
        <v>4</v>
      </c>
      <c r="B11" s="104"/>
      <c r="C11" s="105"/>
      <c r="D11" s="106"/>
      <c r="E11" s="26"/>
      <c r="F11" s="28"/>
      <c r="G11" s="28"/>
      <c r="H11" s="28"/>
      <c r="I11" s="28"/>
      <c r="J11" s="29"/>
      <c r="K11" s="28"/>
      <c r="L11" s="116"/>
      <c r="M11" s="117"/>
      <c r="N11" s="30"/>
    </row>
    <row r="12" spans="1:15" s="4" customFormat="1" ht="18" customHeight="1" x14ac:dyDescent="0.25">
      <c r="A12" s="25">
        <v>5</v>
      </c>
      <c r="B12" s="104"/>
      <c r="C12" s="105"/>
      <c r="D12" s="106"/>
      <c r="E12" s="31"/>
      <c r="F12" s="32"/>
      <c r="G12" s="32"/>
      <c r="H12" s="32"/>
      <c r="I12" s="32"/>
      <c r="J12" s="33"/>
      <c r="K12" s="32"/>
      <c r="L12" s="107"/>
      <c r="M12" s="108"/>
      <c r="N12" s="34"/>
    </row>
    <row r="13" spans="1:15" s="4" customFormat="1" ht="18" customHeight="1" x14ac:dyDescent="0.25">
      <c r="A13" s="25">
        <v>6</v>
      </c>
      <c r="B13" s="104"/>
      <c r="C13" s="105"/>
      <c r="D13" s="106"/>
      <c r="E13" s="31"/>
      <c r="F13" s="32"/>
      <c r="G13" s="32"/>
      <c r="H13" s="32"/>
      <c r="I13" s="32"/>
      <c r="J13" s="33"/>
      <c r="K13" s="32"/>
      <c r="L13" s="107"/>
      <c r="M13" s="108"/>
      <c r="N13" s="34"/>
    </row>
    <row r="14" spans="1:15" s="4" customFormat="1" ht="18" customHeight="1" x14ac:dyDescent="0.25">
      <c r="A14" s="25">
        <v>7</v>
      </c>
      <c r="B14" s="109"/>
      <c r="C14" s="110"/>
      <c r="D14" s="111"/>
      <c r="E14" s="35"/>
      <c r="F14" s="36"/>
      <c r="G14" s="36"/>
      <c r="H14" s="36"/>
      <c r="I14" s="36"/>
      <c r="J14" s="37"/>
      <c r="K14" s="36"/>
      <c r="L14" s="112"/>
      <c r="M14" s="113"/>
      <c r="N14" s="34"/>
    </row>
    <row r="15" spans="1:15" s="4" customFormat="1" ht="24.75" customHeight="1" x14ac:dyDescent="0.25">
      <c r="A15" s="95"/>
      <c r="B15" s="96"/>
      <c r="C15" s="96"/>
      <c r="D15" s="96"/>
      <c r="E15" s="38"/>
      <c r="F15" s="38"/>
      <c r="G15" s="38"/>
      <c r="H15" s="38"/>
      <c r="I15" s="38"/>
      <c r="J15" s="38"/>
      <c r="K15" s="97" t="s">
        <v>26</v>
      </c>
      <c r="L15" s="97"/>
      <c r="M15" s="97"/>
      <c r="N15" s="39">
        <f>SUM(N8:N14)</f>
        <v>0</v>
      </c>
    </row>
    <row r="16" spans="1:15" ht="99.9" customHeight="1" x14ac:dyDescent="0.25">
      <c r="A16" s="98" t="s">
        <v>27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100"/>
    </row>
    <row r="17" spans="1:14" ht="30" customHeight="1" x14ac:dyDescent="0.25">
      <c r="A17" s="101" t="s">
        <v>32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3"/>
    </row>
    <row r="18" spans="1:14" s="4" customFormat="1" ht="30" customHeight="1" x14ac:dyDescent="0.25">
      <c r="A18" s="84" t="s">
        <v>30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6"/>
    </row>
    <row r="19" spans="1:14" s="4" customFormat="1" ht="30" customHeight="1" x14ac:dyDescent="0.25">
      <c r="A19" s="45"/>
      <c r="B19" s="46"/>
      <c r="C19" s="46"/>
      <c r="D19" s="46"/>
      <c r="E19" s="40"/>
      <c r="F19" s="46"/>
      <c r="G19" s="46"/>
      <c r="H19" s="46"/>
      <c r="I19" s="46"/>
      <c r="J19" s="40"/>
      <c r="K19" s="46"/>
      <c r="L19" s="46"/>
      <c r="M19" s="46"/>
      <c r="N19" s="47"/>
    </row>
    <row r="20" spans="1:14" s="4" customFormat="1" ht="30" customHeight="1" x14ac:dyDescent="0.25">
      <c r="A20" s="87" t="s">
        <v>28</v>
      </c>
      <c r="B20" s="88"/>
      <c r="C20" s="88"/>
      <c r="D20" s="88"/>
      <c r="E20" s="40"/>
      <c r="F20" s="89" t="s">
        <v>9</v>
      </c>
      <c r="G20" s="89"/>
      <c r="H20" s="89"/>
      <c r="I20" s="89"/>
      <c r="J20" s="41"/>
      <c r="K20" s="89" t="s">
        <v>31</v>
      </c>
      <c r="L20" s="89"/>
      <c r="M20" s="89"/>
      <c r="N20" s="90"/>
    </row>
    <row r="21" spans="1:14" s="1" customFormat="1" ht="55.5" customHeight="1" x14ac:dyDescent="0.25">
      <c r="A21" s="91"/>
      <c r="B21" s="92"/>
      <c r="C21" s="92"/>
      <c r="D21" s="92"/>
      <c r="E21" s="42"/>
      <c r="F21" s="93"/>
      <c r="G21" s="93"/>
      <c r="H21" s="93"/>
      <c r="I21" s="93"/>
      <c r="J21" s="42"/>
      <c r="K21" s="93"/>
      <c r="L21" s="93"/>
      <c r="M21" s="93"/>
      <c r="N21" s="94"/>
    </row>
    <row r="22" spans="1:14" ht="23.85" customHeight="1" thickBot="1" x14ac:dyDescent="0.3">
      <c r="A22" s="81"/>
      <c r="B22" s="82"/>
      <c r="C22" s="83"/>
      <c r="D22" s="83"/>
      <c r="E22" s="43"/>
      <c r="F22" s="43"/>
      <c r="G22" s="43"/>
      <c r="H22" s="43"/>
      <c r="I22" s="43"/>
      <c r="J22" s="43"/>
      <c r="K22" s="83"/>
      <c r="L22" s="83"/>
      <c r="M22" s="83"/>
      <c r="N22" s="44"/>
    </row>
  </sheetData>
  <mergeCells count="49">
    <mergeCell ref="A1:N1"/>
    <mergeCell ref="A2:B2"/>
    <mergeCell ref="J2:K2"/>
    <mergeCell ref="M2:N2"/>
    <mergeCell ref="A3:B3"/>
    <mergeCell ref="J3:K3"/>
    <mergeCell ref="M3:N3"/>
    <mergeCell ref="A4:B4"/>
    <mergeCell ref="J4:K4"/>
    <mergeCell ref="M4:N4"/>
    <mergeCell ref="A6:A7"/>
    <mergeCell ref="B6:D7"/>
    <mergeCell ref="E6:E7"/>
    <mergeCell ref="F6:F7"/>
    <mergeCell ref="G6:G7"/>
    <mergeCell ref="H6:H7"/>
    <mergeCell ref="I6:I7"/>
    <mergeCell ref="J6:K6"/>
    <mergeCell ref="L6:M7"/>
    <mergeCell ref="N6:N7"/>
    <mergeCell ref="L8:M8"/>
    <mergeCell ref="B10:D10"/>
    <mergeCell ref="L10:M10"/>
    <mergeCell ref="B11:D11"/>
    <mergeCell ref="L11:M11"/>
    <mergeCell ref="B9:D9"/>
    <mergeCell ref="L9:M9"/>
    <mergeCell ref="B8:D8"/>
    <mergeCell ref="B12:D12"/>
    <mergeCell ref="L12:M12"/>
    <mergeCell ref="B13:D13"/>
    <mergeCell ref="L13:M13"/>
    <mergeCell ref="B14:D14"/>
    <mergeCell ref="L14:M14"/>
    <mergeCell ref="A15:B15"/>
    <mergeCell ref="C15:D15"/>
    <mergeCell ref="K15:M15"/>
    <mergeCell ref="A16:N16"/>
    <mergeCell ref="A17:N17"/>
    <mergeCell ref="A22:B22"/>
    <mergeCell ref="C22:D22"/>
    <mergeCell ref="K22:M22"/>
    <mergeCell ref="A18:N18"/>
    <mergeCell ref="A20:D20"/>
    <mergeCell ref="F20:I20"/>
    <mergeCell ref="K20:N20"/>
    <mergeCell ref="A21:D21"/>
    <mergeCell ref="F21:I21"/>
    <mergeCell ref="K21:N21"/>
  </mergeCells>
  <printOptions horizontalCentered="1"/>
  <pageMargins left="0.7" right="0.7" top="0.75" bottom="0.75" header="0.3" footer="0.3"/>
  <pageSetup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7"/>
  <sheetViews>
    <sheetView zoomScaleNormal="100" workbookViewId="0">
      <selection activeCell="K16" sqref="K16:N16"/>
    </sheetView>
  </sheetViews>
  <sheetFormatPr defaultRowHeight="13.2" x14ac:dyDescent="0.25"/>
  <cols>
    <col min="1" max="1" width="7.109375" bestFit="1" customWidth="1"/>
    <col min="2" max="2" width="14.109375" customWidth="1"/>
    <col min="3" max="3" width="2.6640625" customWidth="1"/>
    <col min="4" max="4" width="19.109375" customWidth="1"/>
    <col min="5" max="5" width="10" customWidth="1"/>
    <col min="6" max="6" width="13.33203125" customWidth="1"/>
    <col min="7" max="7" width="10.6640625" customWidth="1"/>
    <col min="8" max="8" width="14.33203125" customWidth="1"/>
    <col min="9" max="9" width="16" customWidth="1"/>
    <col min="10" max="10" width="12.33203125" customWidth="1"/>
    <col min="11" max="11" width="12" customWidth="1"/>
    <col min="12" max="12" width="2.6640625" customWidth="1"/>
    <col min="13" max="13" width="15.109375" customWidth="1"/>
    <col min="14" max="14" width="17.109375" customWidth="1"/>
    <col min="15" max="15" width="15.6640625" bestFit="1" customWidth="1"/>
  </cols>
  <sheetData>
    <row r="1" spans="1:17" ht="53.4" customHeight="1" thickBot="1" x14ac:dyDescent="0.3">
      <c r="A1" s="178" t="s">
        <v>10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80"/>
    </row>
    <row r="2" spans="1:17" s="4" customFormat="1" ht="16.649999999999999" customHeight="1" x14ac:dyDescent="0.25">
      <c r="A2" s="121" t="s">
        <v>18</v>
      </c>
      <c r="B2" s="122"/>
      <c r="C2" s="7" t="s">
        <v>3</v>
      </c>
      <c r="D2" s="8" t="s">
        <v>35</v>
      </c>
      <c r="E2" s="9"/>
      <c r="F2" s="9"/>
      <c r="G2" s="9"/>
      <c r="H2" s="9"/>
      <c r="I2" s="9"/>
      <c r="J2" s="122" t="s">
        <v>29</v>
      </c>
      <c r="K2" s="122"/>
      <c r="L2" s="169" t="s">
        <v>3</v>
      </c>
      <c r="M2" s="144" t="s">
        <v>38</v>
      </c>
      <c r="N2" s="145"/>
    </row>
    <row r="3" spans="1:17" s="4" customFormat="1" ht="16.649999999999999" customHeight="1" x14ac:dyDescent="0.25">
      <c r="A3" s="121" t="s">
        <v>6</v>
      </c>
      <c r="B3" s="122"/>
      <c r="C3" s="7" t="s">
        <v>3</v>
      </c>
      <c r="D3" s="8"/>
      <c r="E3" s="9"/>
      <c r="F3" s="9"/>
      <c r="G3" s="9"/>
      <c r="H3" s="9"/>
      <c r="I3" s="9"/>
      <c r="J3" s="122"/>
      <c r="K3" s="122"/>
      <c r="L3" s="169"/>
      <c r="M3" s="144"/>
      <c r="N3" s="145"/>
    </row>
    <row r="4" spans="1:17" s="5" customFormat="1" ht="16.649999999999999" customHeight="1" thickBot="1" x14ac:dyDescent="0.3">
      <c r="A4" s="121" t="s">
        <v>36</v>
      </c>
      <c r="B4" s="122"/>
      <c r="C4" s="7" t="s">
        <v>3</v>
      </c>
      <c r="D4" s="11" t="s">
        <v>8</v>
      </c>
      <c r="E4" s="9"/>
      <c r="F4" s="9"/>
      <c r="G4" s="9"/>
      <c r="H4" s="9"/>
      <c r="I4" s="9"/>
      <c r="J4" s="122" t="s">
        <v>37</v>
      </c>
      <c r="K4" s="122"/>
      <c r="L4" s="10" t="s">
        <v>3</v>
      </c>
      <c r="M4" s="181">
        <v>45748</v>
      </c>
      <c r="N4" s="182"/>
    </row>
    <row r="5" spans="1:17" s="4" customFormat="1" ht="24.75" customHeight="1" x14ac:dyDescent="0.25">
      <c r="A5" s="166" t="s">
        <v>34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8"/>
    </row>
    <row r="6" spans="1:17" s="2" customFormat="1" ht="30.6" customHeight="1" x14ac:dyDescent="0.25">
      <c r="A6" s="125" t="s">
        <v>20</v>
      </c>
      <c r="B6" s="184" t="s">
        <v>39</v>
      </c>
      <c r="C6" s="185"/>
      <c r="D6" s="186"/>
      <c r="E6" s="128" t="s">
        <v>11</v>
      </c>
      <c r="F6" s="128"/>
      <c r="G6" s="128"/>
      <c r="H6" s="129"/>
      <c r="I6" s="133" t="s">
        <v>0</v>
      </c>
      <c r="J6" s="154" t="s">
        <v>21</v>
      </c>
      <c r="K6" s="158" t="s">
        <v>40</v>
      </c>
      <c r="L6" s="160"/>
      <c r="M6" s="160"/>
      <c r="N6" s="161"/>
    </row>
    <row r="7" spans="1:17" s="2" customFormat="1" ht="24.75" customHeight="1" x14ac:dyDescent="0.25">
      <c r="A7" s="126"/>
      <c r="B7" s="187"/>
      <c r="C7" s="188"/>
      <c r="D7" s="189"/>
      <c r="E7" s="131"/>
      <c r="F7" s="131"/>
      <c r="G7" s="131"/>
      <c r="H7" s="132"/>
      <c r="I7" s="134"/>
      <c r="J7" s="170"/>
      <c r="K7" s="130" t="s">
        <v>43</v>
      </c>
      <c r="L7" s="131"/>
      <c r="M7" s="131"/>
      <c r="N7" s="53" t="s">
        <v>42</v>
      </c>
    </row>
    <row r="8" spans="1:17" s="4" customFormat="1" ht="18" customHeight="1" x14ac:dyDescent="0.25">
      <c r="A8" s="62">
        <v>1</v>
      </c>
      <c r="B8" s="183"/>
      <c r="C8" s="183"/>
      <c r="D8" s="183"/>
      <c r="E8" s="159"/>
      <c r="F8" s="159"/>
      <c r="G8" s="159"/>
      <c r="H8" s="159"/>
      <c r="I8" s="58"/>
      <c r="J8" s="59">
        <v>0</v>
      </c>
      <c r="K8" s="162" t="s">
        <v>41</v>
      </c>
      <c r="L8" s="162"/>
      <c r="M8" s="162"/>
      <c r="N8" s="164">
        <v>100</v>
      </c>
    </row>
    <row r="9" spans="1:17" s="4" customFormat="1" ht="18" customHeight="1" x14ac:dyDescent="0.25">
      <c r="A9" s="62">
        <v>2</v>
      </c>
      <c r="B9" s="183"/>
      <c r="C9" s="183"/>
      <c r="D9" s="183"/>
      <c r="E9" s="159"/>
      <c r="F9" s="159"/>
      <c r="G9" s="159"/>
      <c r="H9" s="159"/>
      <c r="I9" s="58"/>
      <c r="J9" s="59">
        <v>0</v>
      </c>
      <c r="K9" s="163"/>
      <c r="L9" s="163"/>
      <c r="M9" s="163"/>
      <c r="N9" s="165"/>
    </row>
    <row r="10" spans="1:17" s="4" customFormat="1" ht="18" customHeight="1" x14ac:dyDescent="0.25">
      <c r="A10" s="62">
        <v>3</v>
      </c>
      <c r="B10" s="183"/>
      <c r="C10" s="183"/>
      <c r="D10" s="183"/>
      <c r="E10" s="159"/>
      <c r="F10" s="159"/>
      <c r="G10" s="159"/>
      <c r="H10" s="159"/>
      <c r="I10" s="58"/>
      <c r="J10" s="59">
        <v>0</v>
      </c>
      <c r="K10" s="162" t="s">
        <v>44</v>
      </c>
      <c r="L10" s="162"/>
      <c r="M10" s="162"/>
      <c r="N10" s="164">
        <v>100</v>
      </c>
      <c r="O10" s="6"/>
    </row>
    <row r="11" spans="1:17" s="4" customFormat="1" ht="18" customHeight="1" x14ac:dyDescent="0.25">
      <c r="A11" s="62">
        <v>4</v>
      </c>
      <c r="B11" s="183"/>
      <c r="C11" s="183"/>
      <c r="D11" s="183"/>
      <c r="E11" s="159"/>
      <c r="F11" s="159"/>
      <c r="G11" s="159"/>
      <c r="H11" s="159"/>
      <c r="I11" s="58"/>
      <c r="J11" s="59">
        <v>0</v>
      </c>
      <c r="K11" s="163"/>
      <c r="L11" s="163"/>
      <c r="M11" s="163"/>
      <c r="N11" s="165"/>
      <c r="O11" s="52"/>
      <c r="P11" s="52"/>
    </row>
    <row r="12" spans="1:17" s="4" customFormat="1" ht="18" customHeight="1" x14ac:dyDescent="0.25">
      <c r="A12" s="62">
        <v>5</v>
      </c>
      <c r="B12" s="183"/>
      <c r="C12" s="183"/>
      <c r="D12" s="183"/>
      <c r="E12" s="159"/>
      <c r="F12" s="159"/>
      <c r="G12" s="159"/>
      <c r="H12" s="159"/>
      <c r="I12" s="58"/>
      <c r="J12" s="59">
        <v>0</v>
      </c>
      <c r="K12" s="162" t="s">
        <v>45</v>
      </c>
      <c r="L12" s="162"/>
      <c r="M12" s="162"/>
      <c r="N12" s="164">
        <v>100</v>
      </c>
      <c r="O12" s="52"/>
      <c r="P12" s="52"/>
    </row>
    <row r="13" spans="1:17" s="4" customFormat="1" ht="18" customHeight="1" x14ac:dyDescent="0.25">
      <c r="A13" s="62">
        <v>6</v>
      </c>
      <c r="B13" s="183"/>
      <c r="C13" s="183"/>
      <c r="D13" s="183"/>
      <c r="E13" s="159"/>
      <c r="F13" s="159"/>
      <c r="G13" s="159"/>
      <c r="H13" s="159"/>
      <c r="I13" s="58"/>
      <c r="J13" s="59">
        <v>0</v>
      </c>
      <c r="K13" s="190"/>
      <c r="L13" s="190"/>
      <c r="M13" s="190"/>
      <c r="N13" s="191"/>
      <c r="O13" s="52"/>
      <c r="P13" s="52"/>
    </row>
    <row r="14" spans="1:17" s="4" customFormat="1" ht="30" customHeight="1" x14ac:dyDescent="0.25">
      <c r="A14" s="84" t="s">
        <v>30</v>
      </c>
      <c r="B14" s="85"/>
      <c r="C14" s="85"/>
      <c r="D14" s="85"/>
      <c r="E14" s="85"/>
      <c r="F14" s="85"/>
      <c r="G14" s="85"/>
      <c r="H14" s="85"/>
      <c r="I14" s="85"/>
      <c r="J14" s="192"/>
      <c r="K14" s="85"/>
      <c r="L14" s="85"/>
      <c r="M14" s="85"/>
      <c r="N14" s="86"/>
      <c r="O14" s="52"/>
      <c r="P14" s="52"/>
    </row>
    <row r="15" spans="1:17" ht="50.1" customHeight="1" thickBot="1" x14ac:dyDescent="0.3">
      <c r="A15" s="193" t="s">
        <v>53</v>
      </c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5"/>
      <c r="O15" s="52"/>
      <c r="P15" s="52"/>
      <c r="Q15" s="4"/>
    </row>
    <row r="16" spans="1:17" s="4" customFormat="1" ht="24.75" customHeight="1" x14ac:dyDescent="0.25">
      <c r="A16" s="166" t="s">
        <v>33</v>
      </c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8"/>
      <c r="O16" s="52"/>
      <c r="P16" s="52"/>
    </row>
    <row r="17" spans="1:17" s="2" customFormat="1" ht="30.6" customHeight="1" x14ac:dyDescent="0.25">
      <c r="A17" s="125" t="s">
        <v>20</v>
      </c>
      <c r="B17" s="127" t="s">
        <v>11</v>
      </c>
      <c r="C17" s="128"/>
      <c r="D17" s="129"/>
      <c r="E17" s="133" t="s">
        <v>0</v>
      </c>
      <c r="F17" s="135" t="s">
        <v>21</v>
      </c>
      <c r="G17" s="135" t="s">
        <v>22</v>
      </c>
      <c r="H17" s="135" t="s">
        <v>46</v>
      </c>
      <c r="I17" s="135" t="s">
        <v>24</v>
      </c>
      <c r="J17" s="127" t="s">
        <v>47</v>
      </c>
      <c r="K17" s="154" t="s">
        <v>48</v>
      </c>
      <c r="L17" s="156" t="s">
        <v>49</v>
      </c>
      <c r="M17" s="156"/>
      <c r="N17" s="157"/>
      <c r="O17" s="52"/>
      <c r="P17" s="52"/>
      <c r="Q17" s="4"/>
    </row>
    <row r="18" spans="1:17" s="2" customFormat="1" ht="24.75" customHeight="1" x14ac:dyDescent="0.25">
      <c r="A18" s="126"/>
      <c r="B18" s="130"/>
      <c r="C18" s="131"/>
      <c r="D18" s="132"/>
      <c r="E18" s="174"/>
      <c r="F18" s="170"/>
      <c r="G18" s="170"/>
      <c r="H18" s="170"/>
      <c r="I18" s="170"/>
      <c r="J18" s="130"/>
      <c r="K18" s="155"/>
      <c r="L18" s="156" t="s">
        <v>50</v>
      </c>
      <c r="M18" s="158"/>
      <c r="N18" s="53" t="s">
        <v>51</v>
      </c>
      <c r="O18" s="52"/>
      <c r="P18" s="52"/>
      <c r="Q18" s="4"/>
    </row>
    <row r="19" spans="1:17" s="4" customFormat="1" ht="18" customHeight="1" x14ac:dyDescent="0.25">
      <c r="A19" s="62">
        <v>1</v>
      </c>
      <c r="B19" s="171">
        <f t="shared" ref="B19:B24" si="0">E8</f>
        <v>0</v>
      </c>
      <c r="C19" s="171"/>
      <c r="D19" s="171"/>
      <c r="E19" s="58">
        <f t="shared" ref="E19:F24" si="1">I8</f>
        <v>0</v>
      </c>
      <c r="F19" s="59">
        <f t="shared" si="1"/>
        <v>0</v>
      </c>
      <c r="G19" s="59">
        <v>0</v>
      </c>
      <c r="H19" s="59">
        <v>0</v>
      </c>
      <c r="I19" s="60">
        <v>0</v>
      </c>
      <c r="J19" s="61">
        <v>0</v>
      </c>
      <c r="K19" s="61">
        <f>H19*J19</f>
        <v>0</v>
      </c>
      <c r="L19" s="148"/>
      <c r="M19" s="149"/>
      <c r="N19" s="54"/>
      <c r="O19" s="52"/>
      <c r="P19" s="52"/>
    </row>
    <row r="20" spans="1:17" s="4" customFormat="1" ht="18" customHeight="1" x14ac:dyDescent="0.25">
      <c r="A20" s="62">
        <v>2</v>
      </c>
      <c r="B20" s="171">
        <f t="shared" si="0"/>
        <v>0</v>
      </c>
      <c r="C20" s="171"/>
      <c r="D20" s="171"/>
      <c r="E20" s="58">
        <f t="shared" si="1"/>
        <v>0</v>
      </c>
      <c r="F20" s="59">
        <f t="shared" si="1"/>
        <v>0</v>
      </c>
      <c r="G20" s="59">
        <v>0</v>
      </c>
      <c r="H20" s="59">
        <v>0</v>
      </c>
      <c r="I20" s="60">
        <v>0</v>
      </c>
      <c r="J20" s="61">
        <v>0</v>
      </c>
      <c r="K20" s="61">
        <f t="shared" ref="K20:K24" si="2">H20*J20</f>
        <v>0</v>
      </c>
      <c r="L20" s="150"/>
      <c r="M20" s="151"/>
      <c r="N20" s="55"/>
      <c r="O20" s="52"/>
      <c r="P20" s="52"/>
    </row>
    <row r="21" spans="1:17" s="4" customFormat="1" ht="18" customHeight="1" x14ac:dyDescent="0.25">
      <c r="A21" s="62">
        <v>3</v>
      </c>
      <c r="B21" s="171">
        <f t="shared" si="0"/>
        <v>0</v>
      </c>
      <c r="C21" s="171"/>
      <c r="D21" s="171"/>
      <c r="E21" s="58">
        <f t="shared" si="1"/>
        <v>0</v>
      </c>
      <c r="F21" s="59">
        <f t="shared" si="1"/>
        <v>0</v>
      </c>
      <c r="G21" s="59">
        <v>0</v>
      </c>
      <c r="H21" s="59">
        <v>0</v>
      </c>
      <c r="I21" s="60">
        <v>0</v>
      </c>
      <c r="J21" s="61">
        <v>0</v>
      </c>
      <c r="K21" s="61">
        <f t="shared" si="2"/>
        <v>0</v>
      </c>
      <c r="L21" s="150"/>
      <c r="M21" s="151"/>
      <c r="N21" s="55"/>
      <c r="O21" s="52"/>
      <c r="P21" s="52"/>
    </row>
    <row r="22" spans="1:17" s="4" customFormat="1" ht="18" customHeight="1" x14ac:dyDescent="0.25">
      <c r="A22" s="62">
        <v>4</v>
      </c>
      <c r="B22" s="171">
        <f t="shared" si="0"/>
        <v>0</v>
      </c>
      <c r="C22" s="171"/>
      <c r="D22" s="171"/>
      <c r="E22" s="58">
        <f t="shared" si="1"/>
        <v>0</v>
      </c>
      <c r="F22" s="59">
        <f t="shared" si="1"/>
        <v>0</v>
      </c>
      <c r="G22" s="59">
        <v>0</v>
      </c>
      <c r="H22" s="59">
        <v>0</v>
      </c>
      <c r="I22" s="60">
        <v>0</v>
      </c>
      <c r="J22" s="61">
        <v>0</v>
      </c>
      <c r="K22" s="61">
        <f t="shared" si="2"/>
        <v>0</v>
      </c>
      <c r="L22" s="150"/>
      <c r="M22" s="151"/>
      <c r="N22" s="55"/>
      <c r="O22" s="52"/>
      <c r="P22" s="52"/>
    </row>
    <row r="23" spans="1:17" s="4" customFormat="1" ht="18" customHeight="1" x14ac:dyDescent="0.25">
      <c r="A23" s="62">
        <v>5</v>
      </c>
      <c r="B23" s="171">
        <f t="shared" si="0"/>
        <v>0</v>
      </c>
      <c r="C23" s="171"/>
      <c r="D23" s="171"/>
      <c r="E23" s="58">
        <f t="shared" si="1"/>
        <v>0</v>
      </c>
      <c r="F23" s="59">
        <f t="shared" si="1"/>
        <v>0</v>
      </c>
      <c r="G23" s="59">
        <v>0</v>
      </c>
      <c r="H23" s="59">
        <v>0</v>
      </c>
      <c r="I23" s="60">
        <v>0</v>
      </c>
      <c r="J23" s="61">
        <v>0</v>
      </c>
      <c r="K23" s="61">
        <f t="shared" si="2"/>
        <v>0</v>
      </c>
      <c r="L23" s="150"/>
      <c r="M23" s="151"/>
      <c r="N23" s="55"/>
      <c r="O23" s="52"/>
      <c r="P23" s="52"/>
    </row>
    <row r="24" spans="1:17" s="4" customFormat="1" ht="18" customHeight="1" x14ac:dyDescent="0.25">
      <c r="A24" s="62">
        <v>6</v>
      </c>
      <c r="B24" s="171">
        <f t="shared" si="0"/>
        <v>0</v>
      </c>
      <c r="C24" s="171"/>
      <c r="D24" s="171"/>
      <c r="E24" s="58">
        <f t="shared" si="1"/>
        <v>0</v>
      </c>
      <c r="F24" s="59">
        <f t="shared" si="1"/>
        <v>0</v>
      </c>
      <c r="G24" s="59">
        <v>0</v>
      </c>
      <c r="H24" s="59">
        <v>0</v>
      </c>
      <c r="I24" s="60">
        <v>0</v>
      </c>
      <c r="J24" s="61">
        <v>0</v>
      </c>
      <c r="K24" s="61">
        <f t="shared" si="2"/>
        <v>0</v>
      </c>
      <c r="L24" s="152"/>
      <c r="M24" s="153"/>
      <c r="N24" s="56"/>
      <c r="O24" s="52"/>
      <c r="P24" s="52"/>
    </row>
    <row r="25" spans="1:17" s="4" customFormat="1" ht="24.75" customHeight="1" x14ac:dyDescent="0.25">
      <c r="A25" s="172"/>
      <c r="B25" s="173"/>
      <c r="C25" s="173"/>
      <c r="D25" s="173"/>
      <c r="E25" s="49"/>
      <c r="F25" s="49"/>
      <c r="G25" s="49"/>
      <c r="H25" s="49"/>
      <c r="I25" s="146" t="s">
        <v>26</v>
      </c>
      <c r="J25" s="147"/>
      <c r="K25" s="51">
        <f>SUM(N19:N24)</f>
        <v>0</v>
      </c>
      <c r="L25" s="50"/>
      <c r="M25" s="50"/>
      <c r="N25" s="57"/>
      <c r="O25" s="52"/>
      <c r="P25" s="52"/>
    </row>
    <row r="26" spans="1:17" ht="50.1" customHeight="1" x14ac:dyDescent="0.25">
      <c r="A26" s="98" t="s">
        <v>52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100"/>
      <c r="O26" s="52"/>
      <c r="P26" s="52"/>
      <c r="Q26" s="4"/>
    </row>
    <row r="27" spans="1:17" s="4" customFormat="1" ht="30" customHeight="1" thickBot="1" x14ac:dyDescent="0.3">
      <c r="A27" s="175"/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7"/>
    </row>
  </sheetData>
  <mergeCells count="66">
    <mergeCell ref="B13:D13"/>
    <mergeCell ref="A16:N16"/>
    <mergeCell ref="E10:H10"/>
    <mergeCell ref="E11:H11"/>
    <mergeCell ref="E12:H12"/>
    <mergeCell ref="K12:M13"/>
    <mergeCell ref="N12:N13"/>
    <mergeCell ref="E13:H13"/>
    <mergeCell ref="K10:M11"/>
    <mergeCell ref="N10:N11"/>
    <mergeCell ref="A14:N14"/>
    <mergeCell ref="A15:N15"/>
    <mergeCell ref="A27:N27"/>
    <mergeCell ref="A4:B4"/>
    <mergeCell ref="A1:N1"/>
    <mergeCell ref="A2:B2"/>
    <mergeCell ref="A3:B3"/>
    <mergeCell ref="J4:K4"/>
    <mergeCell ref="M4:N4"/>
    <mergeCell ref="B8:D8"/>
    <mergeCell ref="A6:A7"/>
    <mergeCell ref="B6:D7"/>
    <mergeCell ref="I6:I7"/>
    <mergeCell ref="A26:N26"/>
    <mergeCell ref="B11:D11"/>
    <mergeCell ref="B9:D9"/>
    <mergeCell ref="B10:D10"/>
    <mergeCell ref="B12:D12"/>
    <mergeCell ref="B19:D19"/>
    <mergeCell ref="B20:D20"/>
    <mergeCell ref="B21:D21"/>
    <mergeCell ref="H17:H18"/>
    <mergeCell ref="I17:I18"/>
    <mergeCell ref="B17:D18"/>
    <mergeCell ref="E17:E18"/>
    <mergeCell ref="F17:F18"/>
    <mergeCell ref="G17:G18"/>
    <mergeCell ref="B24:D24"/>
    <mergeCell ref="A25:B25"/>
    <mergeCell ref="C25:D25"/>
    <mergeCell ref="B22:D22"/>
    <mergeCell ref="B23:D23"/>
    <mergeCell ref="A5:N5"/>
    <mergeCell ref="J2:K3"/>
    <mergeCell ref="L2:L3"/>
    <mergeCell ref="M2:N3"/>
    <mergeCell ref="J6:J7"/>
    <mergeCell ref="E6:H7"/>
    <mergeCell ref="E8:H8"/>
    <mergeCell ref="E9:H9"/>
    <mergeCell ref="K6:N6"/>
    <mergeCell ref="K7:M7"/>
    <mergeCell ref="K8:M9"/>
    <mergeCell ref="N8:N9"/>
    <mergeCell ref="J17:J18"/>
    <mergeCell ref="K17:K18"/>
    <mergeCell ref="L17:N17"/>
    <mergeCell ref="A17:A18"/>
    <mergeCell ref="L18:M18"/>
    <mergeCell ref="I25:J25"/>
    <mergeCell ref="L19:M19"/>
    <mergeCell ref="L20:M20"/>
    <mergeCell ref="L21:M21"/>
    <mergeCell ref="L22:M22"/>
    <mergeCell ref="L23:M23"/>
    <mergeCell ref="L24:M24"/>
  </mergeCells>
  <printOptions horizontalCentered="1"/>
  <pageMargins left="0.25" right="0.25" top="0.24" bottom="0.22" header="0.23" footer="0.2"/>
  <pageSetup paperSize="9" scale="8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9"/>
  <sheetViews>
    <sheetView tabSelected="1" zoomScaleNormal="100" workbookViewId="0">
      <selection activeCell="M4" sqref="M4:N4"/>
    </sheetView>
  </sheetViews>
  <sheetFormatPr defaultRowHeight="13.2" x14ac:dyDescent="0.25"/>
  <cols>
    <col min="1" max="1" width="7.109375" bestFit="1" customWidth="1"/>
    <col min="2" max="2" width="14.109375" customWidth="1"/>
    <col min="3" max="3" width="2.6640625" customWidth="1"/>
    <col min="4" max="4" width="19.109375" customWidth="1"/>
    <col min="5" max="5" width="10" customWidth="1"/>
    <col min="6" max="6" width="13.33203125" customWidth="1"/>
    <col min="7" max="7" width="10.6640625" customWidth="1"/>
    <col min="8" max="8" width="14.33203125" customWidth="1"/>
    <col min="9" max="9" width="10.109375" bestFit="1" customWidth="1"/>
    <col min="10" max="10" width="12.33203125" customWidth="1"/>
    <col min="11" max="11" width="13.6640625" bestFit="1" customWidth="1"/>
    <col min="12" max="12" width="10.6640625" customWidth="1"/>
    <col min="13" max="13" width="15.109375" customWidth="1"/>
    <col min="14" max="14" width="17.109375" customWidth="1"/>
    <col min="15" max="15" width="15.6640625" bestFit="1" customWidth="1"/>
    <col min="16" max="16" width="15.6640625" customWidth="1"/>
  </cols>
  <sheetData>
    <row r="1" spans="1:18" ht="33.6" thickBot="1" x14ac:dyDescent="0.3">
      <c r="A1" s="206" t="s">
        <v>54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8"/>
    </row>
    <row r="2" spans="1:18" s="4" customFormat="1" ht="16.649999999999999" customHeight="1" x14ac:dyDescent="0.25">
      <c r="A2" s="121" t="s">
        <v>6</v>
      </c>
      <c r="B2" s="122"/>
      <c r="C2" s="7" t="s">
        <v>3</v>
      </c>
      <c r="D2" s="209" t="s">
        <v>108</v>
      </c>
      <c r="E2" s="209"/>
      <c r="F2" s="9"/>
      <c r="G2" s="9"/>
      <c r="H2" s="9"/>
      <c r="I2" s="9"/>
      <c r="J2" s="122" t="s">
        <v>29</v>
      </c>
      <c r="K2" s="122"/>
      <c r="L2" s="169" t="s">
        <v>3</v>
      </c>
      <c r="M2" s="144" t="s">
        <v>38</v>
      </c>
      <c r="N2" s="145"/>
    </row>
    <row r="3" spans="1:18" s="4" customFormat="1" ht="16.649999999999999" customHeight="1" x14ac:dyDescent="0.25">
      <c r="A3" s="121" t="s">
        <v>37</v>
      </c>
      <c r="B3" s="122"/>
      <c r="C3" s="7" t="s">
        <v>3</v>
      </c>
      <c r="D3" s="210">
        <v>45943</v>
      </c>
      <c r="E3" s="210"/>
      <c r="F3" s="9"/>
      <c r="G3" s="9"/>
      <c r="H3" s="9"/>
      <c r="I3" s="9"/>
      <c r="J3" s="122"/>
      <c r="K3" s="122"/>
      <c r="L3" s="169"/>
      <c r="M3" s="144"/>
      <c r="N3" s="145"/>
    </row>
    <row r="4" spans="1:18" s="5" customFormat="1" ht="16.649999999999999" customHeight="1" thickBot="1" x14ac:dyDescent="0.3">
      <c r="A4" s="121" t="s">
        <v>36</v>
      </c>
      <c r="B4" s="122"/>
      <c r="C4" s="7" t="s">
        <v>3</v>
      </c>
      <c r="D4" s="196"/>
      <c r="E4" s="196"/>
      <c r="F4" s="9"/>
      <c r="G4" s="9"/>
      <c r="H4" s="9"/>
      <c r="I4" s="9"/>
      <c r="J4" s="122" t="s">
        <v>18</v>
      </c>
      <c r="K4" s="122"/>
      <c r="L4" s="10" t="s">
        <v>3</v>
      </c>
      <c r="M4" s="211"/>
      <c r="N4" s="212"/>
    </row>
    <row r="5" spans="1:18" s="4" customFormat="1" ht="24.75" customHeight="1" x14ac:dyDescent="0.25">
      <c r="A5" s="166" t="s">
        <v>34</v>
      </c>
      <c r="B5" s="167"/>
      <c r="C5" s="167"/>
      <c r="D5" s="167"/>
      <c r="E5" s="167"/>
      <c r="F5" s="167"/>
      <c r="G5" s="167"/>
      <c r="H5" s="167"/>
      <c r="I5" s="167"/>
      <c r="J5" s="75"/>
      <c r="K5" s="203" t="s">
        <v>102</v>
      </c>
      <c r="L5" s="203"/>
      <c r="M5" s="203"/>
      <c r="N5" s="204"/>
    </row>
    <row r="6" spans="1:18" s="2" customFormat="1" ht="30.6" customHeight="1" x14ac:dyDescent="0.25">
      <c r="A6" s="125" t="s">
        <v>20</v>
      </c>
      <c r="B6" s="213" t="s">
        <v>93</v>
      </c>
      <c r="C6" s="185"/>
      <c r="D6" s="186"/>
      <c r="E6" s="128" t="s">
        <v>94</v>
      </c>
      <c r="F6" s="128"/>
      <c r="G6" s="128"/>
      <c r="H6" s="129"/>
      <c r="I6" s="133" t="s">
        <v>0</v>
      </c>
      <c r="J6" s="154" t="s">
        <v>21</v>
      </c>
      <c r="K6" s="127" t="s">
        <v>51</v>
      </c>
      <c r="L6" s="198"/>
      <c r="M6" s="156" t="s">
        <v>40</v>
      </c>
      <c r="N6" s="157"/>
    </row>
    <row r="7" spans="1:18" s="2" customFormat="1" ht="24.75" customHeight="1" x14ac:dyDescent="0.25">
      <c r="A7" s="126"/>
      <c r="B7" s="187"/>
      <c r="C7" s="188"/>
      <c r="D7" s="189"/>
      <c r="E7" s="131"/>
      <c r="F7" s="131"/>
      <c r="G7" s="131"/>
      <c r="H7" s="132"/>
      <c r="I7" s="134"/>
      <c r="J7" s="170"/>
      <c r="K7" s="156" t="s">
        <v>92</v>
      </c>
      <c r="L7" s="158"/>
      <c r="M7" s="48" t="s">
        <v>43</v>
      </c>
      <c r="N7" s="53" t="s">
        <v>42</v>
      </c>
    </row>
    <row r="8" spans="1:18" s="4" customFormat="1" ht="18" customHeight="1" x14ac:dyDescent="0.25">
      <c r="A8" s="62">
        <v>1</v>
      </c>
      <c r="B8" s="104"/>
      <c r="C8" s="105"/>
      <c r="D8" s="106"/>
      <c r="E8" s="159"/>
      <c r="F8" s="159"/>
      <c r="G8" s="159"/>
      <c r="H8" s="159"/>
      <c r="I8" s="58"/>
      <c r="J8" s="59"/>
      <c r="K8" s="199" t="s">
        <v>107</v>
      </c>
      <c r="L8" s="199"/>
      <c r="M8" s="59" t="s">
        <v>98</v>
      </c>
      <c r="N8" s="80"/>
      <c r="O8" s="6"/>
    </row>
    <row r="9" spans="1:18" s="4" customFormat="1" ht="18" customHeight="1" x14ac:dyDescent="0.25">
      <c r="A9" s="62"/>
      <c r="B9" s="183"/>
      <c r="C9" s="183"/>
      <c r="D9" s="183"/>
      <c r="E9" s="159"/>
      <c r="F9" s="159"/>
      <c r="G9" s="159"/>
      <c r="H9" s="159"/>
      <c r="I9" s="58"/>
      <c r="J9" s="59">
        <v>0</v>
      </c>
      <c r="K9" s="199"/>
      <c r="L9" s="199"/>
      <c r="M9" s="197" t="s">
        <v>99</v>
      </c>
      <c r="N9" s="200">
        <v>0</v>
      </c>
      <c r="O9" s="52"/>
      <c r="P9" s="52"/>
      <c r="Q9" s="52"/>
    </row>
    <row r="10" spans="1:18" s="4" customFormat="1" ht="18" customHeight="1" x14ac:dyDescent="0.25">
      <c r="A10" s="62"/>
      <c r="B10" s="183"/>
      <c r="C10" s="183"/>
      <c r="D10" s="183"/>
      <c r="E10" s="159"/>
      <c r="F10" s="159"/>
      <c r="G10" s="159"/>
      <c r="H10" s="159"/>
      <c r="I10" s="58"/>
      <c r="J10" s="59">
        <v>0</v>
      </c>
      <c r="K10" s="205"/>
      <c r="L10" s="205"/>
      <c r="M10" s="197"/>
      <c r="N10" s="200"/>
      <c r="O10" s="52"/>
      <c r="P10" s="52"/>
      <c r="Q10" s="52"/>
    </row>
    <row r="11" spans="1:18" s="4" customFormat="1" ht="30" customHeight="1" x14ac:dyDescent="0.25">
      <c r="A11" s="84" t="s">
        <v>109</v>
      </c>
      <c r="B11" s="85"/>
      <c r="C11" s="85"/>
      <c r="D11" s="85"/>
      <c r="E11" s="85"/>
      <c r="F11" s="85"/>
      <c r="G11" s="85"/>
      <c r="H11" s="85"/>
      <c r="I11" s="85"/>
      <c r="J11" s="192"/>
      <c r="K11" s="85"/>
      <c r="L11" s="85"/>
      <c r="M11" s="85"/>
      <c r="N11" s="86"/>
      <c r="O11" s="52"/>
      <c r="P11" s="52"/>
      <c r="Q11" s="52"/>
    </row>
    <row r="12" spans="1:18" ht="50.1" customHeight="1" thickBot="1" x14ac:dyDescent="0.3">
      <c r="A12" s="193" t="s">
        <v>53</v>
      </c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5"/>
      <c r="O12" s="52"/>
      <c r="P12" s="52"/>
      <c r="Q12" s="52"/>
      <c r="R12" s="4"/>
    </row>
    <row r="13" spans="1:18" s="4" customFormat="1" ht="24.75" customHeight="1" x14ac:dyDescent="0.25">
      <c r="A13" s="166" t="s">
        <v>33</v>
      </c>
      <c r="B13" s="167"/>
      <c r="C13" s="167"/>
      <c r="D13" s="167"/>
      <c r="E13" s="167"/>
      <c r="F13" s="167"/>
      <c r="G13" s="167"/>
      <c r="H13" s="167"/>
      <c r="I13" s="167"/>
      <c r="J13" s="167"/>
      <c r="K13" s="203" t="s">
        <v>103</v>
      </c>
      <c r="L13" s="203"/>
      <c r="M13" s="203"/>
      <c r="N13" s="204"/>
      <c r="O13" s="52"/>
      <c r="P13" s="52"/>
      <c r="Q13" s="52"/>
    </row>
    <row r="14" spans="1:18" s="2" customFormat="1" ht="30.6" customHeight="1" x14ac:dyDescent="0.25">
      <c r="A14" s="125" t="s">
        <v>20</v>
      </c>
      <c r="B14" s="127" t="s">
        <v>94</v>
      </c>
      <c r="C14" s="128"/>
      <c r="D14" s="129"/>
      <c r="E14" s="133" t="s">
        <v>0</v>
      </c>
      <c r="F14" s="135" t="s">
        <v>21</v>
      </c>
      <c r="G14" s="135" t="s">
        <v>22</v>
      </c>
      <c r="H14" s="135" t="s">
        <v>46</v>
      </c>
      <c r="I14" s="135" t="s">
        <v>90</v>
      </c>
      <c r="J14" s="127" t="s">
        <v>47</v>
      </c>
      <c r="K14" s="154" t="s">
        <v>48</v>
      </c>
      <c r="L14" s="220" t="s">
        <v>105</v>
      </c>
      <c r="M14" s="158" t="s">
        <v>95</v>
      </c>
      <c r="N14" s="161"/>
      <c r="O14" s="52"/>
      <c r="P14" s="52"/>
      <c r="Q14" s="52"/>
      <c r="R14" s="4"/>
    </row>
    <row r="15" spans="1:18" s="2" customFormat="1" ht="24.75" customHeight="1" x14ac:dyDescent="0.25">
      <c r="A15" s="126"/>
      <c r="B15" s="130"/>
      <c r="C15" s="131"/>
      <c r="D15" s="132"/>
      <c r="E15" s="174"/>
      <c r="F15" s="170"/>
      <c r="G15" s="170"/>
      <c r="H15" s="170"/>
      <c r="I15" s="170"/>
      <c r="J15" s="130"/>
      <c r="K15" s="155"/>
      <c r="L15" s="221"/>
      <c r="M15" s="158" t="s">
        <v>91</v>
      </c>
      <c r="N15" s="161"/>
      <c r="O15" s="52"/>
      <c r="P15" s="52"/>
      <c r="Q15" s="52"/>
      <c r="R15" s="4"/>
    </row>
    <row r="16" spans="1:18" s="4" customFormat="1" ht="18" customHeight="1" x14ac:dyDescent="0.25">
      <c r="A16" s="62">
        <v>1</v>
      </c>
      <c r="B16" s="171">
        <f>E8</f>
        <v>0</v>
      </c>
      <c r="C16" s="171"/>
      <c r="D16" s="171"/>
      <c r="E16" s="58">
        <f>I8</f>
        <v>0</v>
      </c>
      <c r="F16" s="59">
        <f>J8</f>
        <v>0</v>
      </c>
      <c r="G16" s="59"/>
      <c r="H16" s="59">
        <f t="shared" ref="H16" si="0">F16-G16</f>
        <v>0</v>
      </c>
      <c r="I16" s="60">
        <v>0</v>
      </c>
      <c r="J16" s="61">
        <v>0</v>
      </c>
      <c r="K16" s="68">
        <f t="shared" ref="K16" si="1">H16*J16</f>
        <v>0</v>
      </c>
      <c r="L16" s="77"/>
      <c r="M16" s="215"/>
      <c r="N16" s="216"/>
      <c r="O16" s="52"/>
      <c r="P16" s="52"/>
      <c r="Q16" s="52"/>
    </row>
    <row r="17" spans="1:18" s="4" customFormat="1" ht="24.75" customHeight="1" x14ac:dyDescent="0.25">
      <c r="A17" s="201" t="s">
        <v>104</v>
      </c>
      <c r="B17" s="202"/>
      <c r="C17" s="202"/>
      <c r="D17" s="202"/>
      <c r="E17" s="49"/>
      <c r="F17" s="49"/>
      <c r="G17" s="49"/>
      <c r="H17" s="49"/>
      <c r="I17" s="146" t="s">
        <v>26</v>
      </c>
      <c r="J17" s="147"/>
      <c r="K17" s="76">
        <f>SUM(K16:K16)</f>
        <v>0</v>
      </c>
      <c r="L17" s="78"/>
      <c r="M17" s="50"/>
      <c r="N17" s="79"/>
      <c r="O17" s="52"/>
      <c r="P17" s="52"/>
      <c r="Q17" s="52"/>
    </row>
    <row r="18" spans="1:18" ht="50.1" customHeight="1" x14ac:dyDescent="0.25">
      <c r="A18" s="217" t="s">
        <v>110</v>
      </c>
      <c r="B18" s="218"/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9"/>
      <c r="O18" s="52"/>
      <c r="P18" s="52"/>
      <c r="Q18" s="52"/>
      <c r="R18" s="4"/>
    </row>
    <row r="19" spans="1:18" s="67" customFormat="1" ht="30" customHeight="1" thickBot="1" x14ac:dyDescent="0.3">
      <c r="A19" s="64" t="s">
        <v>97</v>
      </c>
      <c r="B19" s="65"/>
      <c r="C19" s="65"/>
      <c r="D19" s="65"/>
      <c r="E19" s="65"/>
      <c r="F19" s="214" t="s">
        <v>106</v>
      </c>
      <c r="G19" s="214"/>
      <c r="H19" s="214"/>
      <c r="I19" s="214"/>
      <c r="J19" s="214"/>
      <c r="K19" s="65"/>
      <c r="L19" s="65" t="s">
        <v>96</v>
      </c>
      <c r="M19" s="65"/>
      <c r="N19" s="66"/>
    </row>
  </sheetData>
  <mergeCells count="55">
    <mergeCell ref="K5:N5"/>
    <mergeCell ref="B9:D9"/>
    <mergeCell ref="E9:H9"/>
    <mergeCell ref="B8:D8"/>
    <mergeCell ref="F19:J19"/>
    <mergeCell ref="M15:N15"/>
    <mergeCell ref="M16:N16"/>
    <mergeCell ref="K14:K15"/>
    <mergeCell ref="M14:N14"/>
    <mergeCell ref="A18:N18"/>
    <mergeCell ref="I17:J17"/>
    <mergeCell ref="L14:L15"/>
    <mergeCell ref="B6:D7"/>
    <mergeCell ref="E6:H7"/>
    <mergeCell ref="I6:I7"/>
    <mergeCell ref="J6:J7"/>
    <mergeCell ref="A5:I5"/>
    <mergeCell ref="A1:N1"/>
    <mergeCell ref="A2:B2"/>
    <mergeCell ref="J2:K3"/>
    <mergeCell ref="L2:L3"/>
    <mergeCell ref="M2:N3"/>
    <mergeCell ref="A3:B3"/>
    <mergeCell ref="D2:E2"/>
    <mergeCell ref="D3:E3"/>
    <mergeCell ref="A17:D17"/>
    <mergeCell ref="A11:N11"/>
    <mergeCell ref="A12:N12"/>
    <mergeCell ref="A14:A15"/>
    <mergeCell ref="B14:D15"/>
    <mergeCell ref="E14:E15"/>
    <mergeCell ref="F14:F15"/>
    <mergeCell ref="G14:G15"/>
    <mergeCell ref="H14:H15"/>
    <mergeCell ref="I14:I15"/>
    <mergeCell ref="A13:J13"/>
    <mergeCell ref="K13:N13"/>
    <mergeCell ref="J14:J15"/>
    <mergeCell ref="B16:D16"/>
    <mergeCell ref="D4:E4"/>
    <mergeCell ref="M6:N6"/>
    <mergeCell ref="M9:M10"/>
    <mergeCell ref="K6:L6"/>
    <mergeCell ref="K8:L8"/>
    <mergeCell ref="E8:H8"/>
    <mergeCell ref="N9:N10"/>
    <mergeCell ref="K7:L7"/>
    <mergeCell ref="B10:D10"/>
    <mergeCell ref="E10:H10"/>
    <mergeCell ref="K9:L9"/>
    <mergeCell ref="K10:L10"/>
    <mergeCell ref="A4:B4"/>
    <mergeCell ref="J4:K4"/>
    <mergeCell ref="M4:N4"/>
    <mergeCell ref="A6:A7"/>
  </mergeCells>
  <printOptions horizontalCentered="1"/>
  <pageMargins left="0.25" right="0.25" top="0.24" bottom="0.22" header="0.23" footer="0.2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zoomScale="150" zoomScaleNormal="150" workbookViewId="0">
      <selection activeCell="C1" sqref="C1"/>
    </sheetView>
  </sheetViews>
  <sheetFormatPr defaultRowHeight="13.2" x14ac:dyDescent="0.25"/>
  <cols>
    <col min="1" max="1" width="6.33203125" bestFit="1" customWidth="1"/>
    <col min="2" max="2" width="11.6640625" bestFit="1" customWidth="1"/>
    <col min="3" max="3" width="11.77734375" bestFit="1" customWidth="1"/>
  </cols>
  <sheetData>
    <row r="1" spans="1:3" x14ac:dyDescent="0.25">
      <c r="A1" s="74" t="s">
        <v>101</v>
      </c>
      <c r="B1" s="74" t="s">
        <v>55</v>
      </c>
      <c r="C1" s="74" t="s">
        <v>100</v>
      </c>
    </row>
    <row r="2" spans="1:3" x14ac:dyDescent="0.25">
      <c r="A2" s="63">
        <v>1</v>
      </c>
      <c r="B2" s="69" t="s">
        <v>56</v>
      </c>
      <c r="C2" s="69" t="s">
        <v>70</v>
      </c>
    </row>
    <row r="3" spans="1:3" x14ac:dyDescent="0.25">
      <c r="A3" s="63">
        <f>A2+1</f>
        <v>2</v>
      </c>
      <c r="B3" s="69" t="s">
        <v>58</v>
      </c>
      <c r="C3" s="69" t="s">
        <v>64</v>
      </c>
    </row>
    <row r="4" spans="1:3" x14ac:dyDescent="0.25">
      <c r="A4" s="63">
        <f t="shared" ref="A4:A18" si="0">A3+1</f>
        <v>3</v>
      </c>
      <c r="B4" s="70" t="s">
        <v>59</v>
      </c>
      <c r="C4" s="70" t="s">
        <v>65</v>
      </c>
    </row>
    <row r="5" spans="1:3" x14ac:dyDescent="0.25">
      <c r="A5" s="63">
        <f t="shared" si="0"/>
        <v>4</v>
      </c>
      <c r="B5" s="69" t="s">
        <v>60</v>
      </c>
      <c r="C5" s="69" t="s">
        <v>66</v>
      </c>
    </row>
    <row r="6" spans="1:3" ht="13.8" x14ac:dyDescent="0.25">
      <c r="A6" s="63">
        <f t="shared" si="0"/>
        <v>5</v>
      </c>
      <c r="B6" s="71" t="s">
        <v>63</v>
      </c>
      <c r="C6" s="72" t="s">
        <v>67</v>
      </c>
    </row>
    <row r="7" spans="1:3" ht="13.8" x14ac:dyDescent="0.25">
      <c r="A7" s="63">
        <f t="shared" si="0"/>
        <v>6</v>
      </c>
      <c r="B7" s="73" t="s">
        <v>62</v>
      </c>
      <c r="C7" s="72" t="s">
        <v>68</v>
      </c>
    </row>
    <row r="8" spans="1:3" x14ac:dyDescent="0.25">
      <c r="A8" s="63">
        <f t="shared" si="0"/>
        <v>7</v>
      </c>
      <c r="B8" s="69" t="s">
        <v>61</v>
      </c>
      <c r="C8" s="69" t="s">
        <v>69</v>
      </c>
    </row>
    <row r="9" spans="1:3" x14ac:dyDescent="0.25">
      <c r="A9" s="63">
        <f t="shared" si="0"/>
        <v>8</v>
      </c>
      <c r="B9" s="69" t="s">
        <v>71</v>
      </c>
      <c r="C9" s="69" t="s">
        <v>80</v>
      </c>
    </row>
    <row r="10" spans="1:3" x14ac:dyDescent="0.25">
      <c r="A10" s="63">
        <f t="shared" si="0"/>
        <v>9</v>
      </c>
      <c r="B10" s="69" t="s">
        <v>57</v>
      </c>
      <c r="C10" s="69" t="s">
        <v>81</v>
      </c>
    </row>
    <row r="11" spans="1:3" x14ac:dyDescent="0.25">
      <c r="A11" s="63">
        <f t="shared" si="0"/>
        <v>10</v>
      </c>
      <c r="B11" s="69" t="s">
        <v>72</v>
      </c>
      <c r="C11" s="69" t="s">
        <v>82</v>
      </c>
    </row>
    <row r="12" spans="1:3" x14ac:dyDescent="0.25">
      <c r="A12" s="63">
        <f t="shared" si="0"/>
        <v>11</v>
      </c>
      <c r="B12" s="69" t="s">
        <v>73</v>
      </c>
      <c r="C12" s="69" t="s">
        <v>88</v>
      </c>
    </row>
    <row r="13" spans="1:3" x14ac:dyDescent="0.25">
      <c r="A13" s="63">
        <f t="shared" si="0"/>
        <v>12</v>
      </c>
      <c r="B13" s="69" t="s">
        <v>74</v>
      </c>
      <c r="C13" s="69" t="s">
        <v>89</v>
      </c>
    </row>
    <row r="14" spans="1:3" x14ac:dyDescent="0.25">
      <c r="A14" s="63">
        <f t="shared" si="0"/>
        <v>13</v>
      </c>
      <c r="B14" s="69" t="s">
        <v>75</v>
      </c>
      <c r="C14" s="69" t="s">
        <v>83</v>
      </c>
    </row>
    <row r="15" spans="1:3" x14ac:dyDescent="0.25">
      <c r="A15" s="63">
        <f t="shared" si="0"/>
        <v>14</v>
      </c>
      <c r="B15" s="69" t="s">
        <v>76</v>
      </c>
      <c r="C15" s="69" t="s">
        <v>84</v>
      </c>
    </row>
    <row r="16" spans="1:3" x14ac:dyDescent="0.25">
      <c r="A16" s="63">
        <f t="shared" si="0"/>
        <v>15</v>
      </c>
      <c r="B16" s="69" t="s">
        <v>77</v>
      </c>
      <c r="C16" s="69" t="s">
        <v>85</v>
      </c>
    </row>
    <row r="17" spans="1:3" x14ac:dyDescent="0.25">
      <c r="A17" s="63">
        <f t="shared" si="0"/>
        <v>16</v>
      </c>
      <c r="B17" s="69" t="s">
        <v>78</v>
      </c>
      <c r="C17" s="69" t="s">
        <v>86</v>
      </c>
    </row>
    <row r="18" spans="1:3" x14ac:dyDescent="0.25">
      <c r="A18" s="63">
        <f t="shared" si="0"/>
        <v>17</v>
      </c>
      <c r="B18" s="69" t="s">
        <v>79</v>
      </c>
      <c r="C18" s="6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 (2)</vt:lpstr>
      <vt:lpstr>Purchase Indent - TISPL</vt:lpstr>
      <vt:lpstr>O&amp;M Indent - Common</vt:lpstr>
      <vt:lpstr>Project Code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Technosys</cp:lastModifiedBy>
  <cp:lastPrinted>2025-09-02T12:14:57Z</cp:lastPrinted>
  <dcterms:created xsi:type="dcterms:W3CDTF">2020-12-11T04:43:42Z</dcterms:created>
  <dcterms:modified xsi:type="dcterms:W3CDTF">2025-12-15T11:30:43Z</dcterms:modified>
</cp:coreProperties>
</file>